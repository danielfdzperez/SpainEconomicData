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EME" sheetId="1" state="visible" r:id="rId3"/>
    <sheet name="Resumen_Vivienda" sheetId="2" state="visible" r:id="rId4"/>
    <sheet name="IPV_Anual" sheetId="3" state="visible" r:id="rId5"/>
    <sheet name="IPV_Indicadores" sheetId="4" state="visible" r:id="rId6"/>
    <sheet name="IPV_Trimestral" sheetId="5" state="visible" r:id="rId7"/>
    <sheet name="Mercado_Madrid_2T2026" sheetId="6" state="visible" r:id="rId8"/>
    <sheet name="Alquiler_IPVA" sheetId="7" state="visible" r:id="rId9"/>
    <sheet name="Alquiler_IRAV" sheetId="8" state="visible" r:id="rId10"/>
    <sheet name="Alquiler_SERPAVI_2022" sheetId="9" state="visible" r:id="rId11"/>
    <sheet name="Esfuerzo_Alquiler_Madrid_2022" sheetId="10" state="visible" r:id="rId12"/>
    <sheet name="Idealista_CCAA" sheetId="11" state="visible" r:id="rId13"/>
    <sheet name="Idealista_Provincias" sheetId="12" state="visible" r:id="rId14"/>
    <sheet name="Idealista_Madrid_Distritos" sheetId="13" state="visible" r:id="rId15"/>
    <sheet name="Idealista_Madrid_Municipios" sheetId="14" state="visible" r:id="rId16"/>
    <sheet name="Idealista_Historico" sheetId="15" state="visible" r:id="rId17"/>
    <sheet name="Idealista_Esfuerzo" sheetId="16" state="visible" r:id="rId18"/>
    <sheet name="FUENTES" sheetId="17" state="visible" r:id="rId1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<sst xmlns="http://schemas.openxmlformats.org/spreadsheetml/2006/main" count="1222" uniqueCount="761">
  <si>
    <t xml:space="preserve">Base de conocimiento — Vivienda y alquiler (España y Comunidad de Madrid)</t>
  </si>
  <si>
    <t xml:space="preserve">Descripción</t>
  </si>
  <si>
    <t xml:space="preserve">Precio de la vivienda (índices oficiales, valor tasado, precio medio de transacción, compraventas e hipotecas) y alquiler (índice de evolución, índice de actualización legal y niveles €/m² del sistema SERPAVI), con foco en España y la Comunidad de Madrid.</t>
  </si>
  <si>
    <t xml:space="preserve">Fecha de consulta: 2026-10-21. Los cálculos propios están en fórmulas visibles; los indicadores en amarillo son aproximaciones no oficiales.</t>
  </si>
  <si>
    <t xml:space="preserve">Índice de hojas</t>
  </si>
  <si>
    <t xml:space="preserve">Hoja</t>
  </si>
  <si>
    <t xml:space="preserve">Contenido</t>
  </si>
  <si>
    <t xml:space="preserve">Cobertura</t>
  </si>
  <si>
    <t xml:space="preserve">Resumen_Vivienda</t>
  </si>
  <si>
    <t xml:space="preserve">Cuadro de indicadores clave de compra y alquiler.</t>
  </si>
  <si>
    <t xml:space="preserve">Último dato</t>
  </si>
  <si>
    <t xml:space="preserve">IPV_Anual</t>
  </si>
  <si>
    <t xml:space="preserve">Índice de Precios de Vivienda (general, nueva, segunda mano) y variaciones, medias anuales.</t>
  </si>
  <si>
    <t xml:space="preserve">2007–2025</t>
  </si>
  <si>
    <t xml:space="preserve">IPV_Indicadores</t>
  </si>
  <si>
    <t xml:space="preserve">Caída desde el máximo, recuperación desde el mínimo y otras métricas calculadas.</t>
  </si>
  <si>
    <t xml:space="preserve">IPV_Trimestral</t>
  </si>
  <si>
    <t xml:space="preserve">IPV trimestral con variaciones trimestral, anual y acumulada.</t>
  </si>
  <si>
    <t xml:space="preserve">2023T3–2026T2</t>
  </si>
  <si>
    <t xml:space="preserve">Mercado_Madrid_2T2026</t>
  </si>
  <si>
    <t xml:space="preserve">Valor tasado, transacciones, compraventas e hipotecas: Madrid frente a España (boletín).</t>
  </si>
  <si>
    <t xml:space="preserve">2025T4–2026-05 según fila</t>
  </si>
  <si>
    <t xml:space="preserve">Alquiler_IPVA</t>
  </si>
  <si>
    <t xml:space="preserve">Índice de precios de vivienda en alquiler (base 2015) por tipo de edificación.</t>
  </si>
  <si>
    <t xml:space="preserve">2013–2024</t>
  </si>
  <si>
    <t xml:space="preserve">Alquiler_IRAV</t>
  </si>
  <si>
    <t xml:space="preserve">Índice de referencia para actualizar los alquileres (nacional).</t>
  </si>
  <si>
    <t xml:space="preserve">dic-2025 a sep-2026</t>
  </si>
  <si>
    <t xml:space="preserve">Alquiler_SERPAVI_2022</t>
  </si>
  <si>
    <t xml:space="preserve">Renta en €/m² y cuantía mensual de alquiler por CCAA: media y percentiles 25/75.</t>
  </si>
  <si>
    <t xml:space="preserve">2022</t>
  </si>
  <si>
    <t xml:space="preserve">Esfuerzo_Alquiler_Madrid_2022</t>
  </si>
  <si>
    <t xml:space="preserve">Alquiler frente a salario bruto en Madrid (indicativo).</t>
  </si>
  <si>
    <t xml:space="preserve">Idealista_CCAA</t>
  </si>
  <si>
    <t xml:space="preserve">Precios de oferta de alquiler y venta (€/m²), variaciones, rentabilidad bruta y ranking por CCAA y España.</t>
  </si>
  <si>
    <t xml:space="preserve">sep-2026</t>
  </si>
  <si>
    <t xml:space="preserve">Idealista_Provincias</t>
  </si>
  <si>
    <t xml:space="preserve">Lo mismo por provincia (50) y ciudades autónomas.</t>
  </si>
  <si>
    <t xml:space="preserve">Idealista_Madrid_Distritos</t>
  </si>
  <si>
    <t xml:space="preserve">Alquiler y venta en los 21 distritos de Madrid capital, con rentabilidad y alquiler de 70 m².</t>
  </si>
  <si>
    <t xml:space="preserve">Idealista_Madrid_Municipios</t>
  </si>
  <si>
    <t xml:space="preserve">Alquiler (34) y venta (70) en municipios de la Comunidad de Madrid, incluida Madrid capital.</t>
  </si>
  <si>
    <t xml:space="preserve">Idealista_Historico</t>
  </si>
  <si>
    <t xml:space="preserve">Serie mensual de 12 meses: alquiler España, Comunidad y ciudad de Madrid; venta España y ciudad de Madrid.</t>
  </si>
  <si>
    <t xml:space="preserve">oct-2025 a sep-2026</t>
  </si>
  <si>
    <t xml:space="preserve">Idealista_Esfuerzo</t>
  </si>
  <si>
    <t xml:space="preserve">Alquiler de oferta de un piso (m² editable) frente al salario bruto mediano por CCAA (indicativo).</t>
  </si>
  <si>
    <t xml:space="preserve">sep-2026 / 2024</t>
  </si>
  <si>
    <t xml:space="preserve">FUENTES</t>
  </si>
  <si>
    <t xml:space="preserve">Origen de cada bloque.</t>
  </si>
  <si>
    <t xml:space="preserve">Notas, límites y huecos conocidos</t>
  </si>
  <si>
    <t xml:space="preserve">• El IPV (INE) es un índice de precios de compraventa; no da €/m². El €/m² procede del valor tasado (Ministerio de Vivienda), que es un valor de tasación hipotecaria, no el precio de cierre.</t>
  </si>
  <si>
    <t xml:space="preserve">• Alquiler: no existe una serie única oficial de niveles. IPVA mide la evolución (todos los contratos), IRAV es una referencia legal y SERPAVI da niveles (€/m²) pero la hoja solo contiene 2022 por CCAA.</t>
  </si>
  <si>
    <t xml:space="preserve">• SERPAVI 2011–2024 por municipio y distrito (incluidos los distritos de Madrid capital) está en una hoja de cálculo del Ministerio de Vivienda (67,8 MB) que este entorno no pudo descargar; la nota de síntesis estaba bloqueada para lectura automática. Pendiente de cargar manualmente (URL en FUENTES).</t>
  </si>
  <si>
    <t xml:space="preserve">• Idealista (hojas Idealista_*): son precios de OFERTA publicados por un portal privado en sus informes públicos de la sala de prensa; solo se dispone de los últimos 12 meses (hay un enlace a datos anteriores que no se descargó). No son oficiales ni precios de cierre, y Idealista cambió de metodología en julio de 2026. Se transcriben tal cual los informes de septiembre de 2026.</t>
  </si>
  <si>
    <t xml:space="preserve">• No incluidos (huecos): Fotocasa y otros portales; estadística notarial y registral; tenencia de vivienda y sobrecarga de coste (ECV); ETDP/compraventas por municipio; visados de obra nueva (existen en el boletín, no se transcribieron); datos del Ayuntamiento de Madrid por distrito; histórico de Idealista anterior a oct-2025.</t>
  </si>
  <si>
    <t xml:space="preserve">• Valores marcados como provisionales en el boletín (compraventas, transacciones, hipotecas) pueden revisarse. El IPV del boletín (índice general 4T 2025) está en una base distinta (2007) de la tabla del INE (2025=100).</t>
  </si>
  <si>
    <t xml:space="preserve">• Madrid vs España en el boletín: Madrid = Comunidad de Madrid. Tasas siempre interanuales.</t>
  </si>
  <si>
    <t xml:space="preserve">Convención de colores</t>
  </si>
  <si>
    <t xml:space="preserve">Azul: dato copiado de la fuente (valor fijo)</t>
  </si>
  <si>
    <t xml:space="preserve">Negro: fórmula de esta hoja</t>
  </si>
  <si>
    <t xml:space="preserve">Verde: fórmula que enlaza con otra hoja</t>
  </si>
  <si>
    <t xml:space="preserve">Fondo naranja claro: dato con muestra pequeña / poco fiable según la fuente</t>
  </si>
  <si>
    <t xml:space="preserve">Fondo amarillo claro: estimación no oficial (elaboración propia)</t>
  </si>
  <si>
    <t xml:space="preserve">Resumen de vivienda y alquiler — España y Comunidad de Madrid</t>
  </si>
  <si>
    <t xml:space="preserve">Los valores enlazan con las hojas de detalle (verde). Compraventa: INE/Ministerio de Vivienda; alquiler: INE y Ministerio de Vivienda (SERPAVI).</t>
  </si>
  <si>
    <t xml:space="preserve">Indicador</t>
  </si>
  <si>
    <t xml:space="preserve">Periodo</t>
  </si>
  <si>
    <t xml:space="preserve">España</t>
  </si>
  <si>
    <t xml:space="preserve">Madrid</t>
  </si>
  <si>
    <t xml:space="preserve">Madrid − España</t>
  </si>
  <si>
    <t xml:space="preserve">Madrid / España</t>
  </si>
  <si>
    <t xml:space="preserve">Nota</t>
  </si>
  <si>
    <t xml:space="preserve">IPV general, variación anual (%)</t>
  </si>
  <si>
    <t xml:space="preserve">2026T2</t>
  </si>
  <si>
    <t xml:space="preserve">IPV_Trimestral (INE)</t>
  </si>
  <si>
    <t xml:space="preserve">IPV segunda mano, variación anual (%)</t>
  </si>
  <si>
    <t xml:space="preserve">IPV vivienda nueva, variación anual (%)</t>
  </si>
  <si>
    <t xml:space="preserve">IPV 2025 respecto al mínimo de la serie (%)</t>
  </si>
  <si>
    <t xml:space="preserve">2025</t>
  </si>
  <si>
    <t xml:space="preserve">IPV 2025 respecto al máximo previo a la crisis (%)</t>
  </si>
  <si>
    <t xml:space="preserve">Valor tasado vivienda libre (€/m²)</t>
  </si>
  <si>
    <t xml:space="preserve">1T 2026</t>
  </si>
  <si>
    <t xml:space="preserve">Ministerio de Vivienda vía boletín de la Comunidad de Madrid</t>
  </si>
  <si>
    <t xml:space="preserve">Valor tasado vivienda libre, variación anual (%)</t>
  </si>
  <si>
    <t xml:space="preserve">Valor medio de la transacción de vivienda libre (€)</t>
  </si>
  <si>
    <t xml:space="preserve">Provisional</t>
  </si>
  <si>
    <t xml:space="preserve">Compraventas de vivienda (nº, mes)</t>
  </si>
  <si>
    <t xml:space="preserve">mayo 2026</t>
  </si>
  <si>
    <t xml:space="preserve">Compraventas, variación anual (%)</t>
  </si>
  <si>
    <t xml:space="preserve">Cuota hipotecaria mensual media (€)</t>
  </si>
  <si>
    <t xml:space="preserve">Cuota hipotecaria / coste salarial (%)</t>
  </si>
  <si>
    <t xml:space="preserve">Alquiler de piso, renta media (€/m² y mes)</t>
  </si>
  <si>
    <t xml:space="preserve">SERPAVI; España total sin dato en la fuente; Madrid es la CCAA con mayor renta entre las que tienen dato (Navarra y País Vasco n.d.)</t>
  </si>
  <si>
    <t xml:space="preserve">Alquiler de piso, cuantía mensual media (€)</t>
  </si>
  <si>
    <t xml:space="preserve">SERPAVI</t>
  </si>
  <si>
    <t xml:space="preserve">Índice de precios de alquiler (IPVA), variación anual (%)</t>
  </si>
  <si>
    <t xml:space="preserve">2024</t>
  </si>
  <si>
    <t xml:space="preserve">Alquiler_IPVA (INE)</t>
  </si>
  <si>
    <t xml:space="preserve">Índice de precios de alquiler (IPVA) acumulado 2015–2024 (%)</t>
  </si>
  <si>
    <t xml:space="preserve">IRAV (actualización legal del alquiler), variación anual (%)</t>
  </si>
  <si>
    <t xml:space="preserve">Nacional</t>
  </si>
  <si>
    <t xml:space="preserve">Alquiler medio / salario bruto mediano de Madrid (%)</t>
  </si>
  <si>
    <t xml:space="preserve">Indicativo (ver hoja)</t>
  </si>
  <si>
    <t xml:space="preserve">Precios de oferta de Idealista (anuncios, no contratos ni compraventas cerradas)</t>
  </si>
  <si>
    <t xml:space="preserve">Alquiler de oferta (€/m² y mes)</t>
  </si>
  <si>
    <t xml:space="preserve">Idealista_CCAA. Madrid = Comunidad de Madrid</t>
  </si>
  <si>
    <t xml:space="preserve">Alquiler de oferta, variación anual (%)</t>
  </si>
  <si>
    <t xml:space="preserve">Venta de oferta (€/m²)</t>
  </si>
  <si>
    <t xml:space="preserve">Idealista_CCAA. Cambio de metodología en jul-2026</t>
  </si>
  <si>
    <t xml:space="preserve">Venta de oferta, variación anual (%)</t>
  </si>
  <si>
    <t xml:space="preserve">Rentabilidad bruta de oferta: alquiler×12 ÷ venta (%)</t>
  </si>
  <si>
    <t xml:space="preserve">Cálculo propio (no oficial)</t>
  </si>
  <si>
    <t xml:space="preserve">Alquiler de oferta, Madrid ciudad (€/m² y mes)</t>
  </si>
  <si>
    <t xml:space="preserve">Alquiler de un piso de 70 m², Madrid ciudad (€/mes)</t>
  </si>
  <si>
    <t xml:space="preserve">Cálculo propio (70 m² × €/m²)</t>
  </si>
  <si>
    <t xml:space="preserve">Alquiler de 70 m² ÷ salario bruto mediano mensual (%)</t>
  </si>
  <si>
    <t xml:space="preserve">Idealista_Esfuerzo; indicativo, salario individual bruto (EES 2024)</t>
  </si>
  <si>
    <t xml:space="preserve">territorio</t>
  </si>
  <si>
    <t xml:space="preserve">serie</t>
  </si>
  <si>
    <t xml:space="preserve">unidad</t>
  </si>
  <si>
    <t xml:space="preserve">2007</t>
  </si>
  <si>
    <t xml:space="preserve">2008</t>
  </si>
  <si>
    <t xml:space="preserve">2009</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</si>
  <si>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</si>
  <si>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</si>
  <si>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</si>
  <si>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</si>
  <si>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</si>
  <si>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</si>
  <si>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</si>
  <si>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</si>
  <si>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</si>
  <si>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</si>
  <si>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</si>
  <si>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</si>
  <si>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2023</t>
  </si>
  <si>
    <t xml:space="preserve">Índice general</t>
  </si>
  <si>
    <t xml:space="preserve">base 2025=100</t>
  </si>
  <si>
    <t xml:space="preserve">Índice vivienda nueva</t>
  </si>
  <si>
    <t xml:space="preserve">Índice vivienda segunda mano</t>
  </si>
  <si>
    <t xml:space="preserve">Variación anual general</t>
  </si>
  <si>
    <t xml:space="preserve">%</t>
  </si>
  <si>
    <t xml:space="preserve">Variación anual vivienda nueva</t>
  </si>
  <si>
    <t xml:space="preserve">Variación anual vivienda segunda mano</t>
  </si>
  <si>
    <t xml:space="preserve">Total Nacional</t>
  </si>
  <si>
    <t xml:space="preserve">Índice de Precios de Vivienda (IPV, INE), medias anuales, base 2025 = 100 (tablas 80271). Variaciones en %. Precio de compraventa de vivienda (nueva y de segunda mano), no alquiler ni €/m².</t>
  </si>
  <si>
    <t xml:space="preserve">indicador (índice general)</t>
  </si>
  <si>
    <t xml:space="preserve">Índice 2007 (base 2025=100)</t>
  </si>
  <si>
    <t xml:space="preserve">Máximo previo a la crisis (2007–2009)</t>
  </si>
  <si>
    <t xml:space="preserve">Mínimo de la serie</t>
  </si>
  <si>
    <t xml:space="preserve">Año del mínimo</t>
  </si>
  <si>
    <t xml:space="preserve">Índice 2025</t>
  </si>
  <si>
    <t xml:space="preserve">Caída del máximo previo al mínimo (%)</t>
  </si>
  <si>
    <t xml:space="preserve">2025 respecto al máximo previo a la crisis (%)</t>
  </si>
  <si>
    <t xml:space="preserve">2025 respecto al mínimo (%)</t>
  </si>
  <si>
    <t xml:space="preserve">Variación media anual 2014–2025 (%, media aritmética)</t>
  </si>
  <si>
    <t xml:space="preserve">Variación anual 2025 publicada (%)</t>
  </si>
  <si>
    <t xml:space="preserve">Variación 2025 recalculada con los índices (%)</t>
  </si>
  <si>
    <t xml:space="preserve">El máximo previo a la crisis se toma entre 2007 y 2009. Todo son fórmulas sobre IPV_Anual.</t>
  </si>
  <si>
    <t xml:space="preserve">2023T3</t>
  </si>
  <si>
    <t xml:space="preserve">2023T4</t>
  </si>
  <si>
    <t xml:space="preserve">2024T1</t>
  </si>
  <si>
    <t xml:space="preserve">2024T2</t>
  </si>
  <si>
    <t xml:space="preserve">2024T3</t>
  </si>
  <si>
    <t xml:space="preserve">2024T4</t>
  </si>
  <si>
    <t xml:space="preserve">2025T1</t>
  </si>
  <si>
    <t xml:space="preserve">2025T2</t>
  </si>
  <si>
    <t xml:space="preserve">2025T3</t>
  </si>
  <si>
    <t xml:space="preserve">2025T4</t>
  </si>
  <si>
    <t xml:space="preserve">2026T1</t>
  </si>
  <si>
    <t xml:space="preserve">General - Índice (base 2025=100)</t>
  </si>
  <si>
    <t xml:space="preserve">General - Var. trimestral %</t>
  </si>
  <si>
    <t xml:space="preserve">General - Var. anual %</t>
  </si>
  <si>
    <t xml:space="preserve">General - Var. en lo que va de año %</t>
  </si>
  <si>
    <t xml:space="preserve">Vivienda nueva - Índice</t>
  </si>
  <si>
    <t xml:space="preserve">Vivienda nueva - Var. trimestral %</t>
  </si>
  <si>
    <t xml:space="preserve">Vivienda nueva - Var. anual %</t>
  </si>
  <si>
    <t xml:space="preserve">Vivienda nueva - Var. en lo que va de año %</t>
  </si>
  <si>
    <t xml:space="preserve">Vivienda segunda mano - Índice</t>
  </si>
  <si>
    <t xml:space="preserve">Vivienda segunda mano - Var. trimestral %</t>
  </si>
  <si>
    <t xml:space="preserve">Vivienda segunda mano - Var. anual %</t>
  </si>
  <si>
    <t xml:space="preserve">Vivienda segunda mano - Var. en lo que va de año %</t>
  </si>
  <si>
    <t xml:space="preserve">IPV trimestral (INE tabla 80270), base 2025 = 100 (media 2025 = 100). Variaciones en %. Último trimestre: 2026T2.</t>
  </si>
  <si>
    <t xml:space="preserve">bloque</t>
  </si>
  <si>
    <t xml:space="preserve">indicador</t>
  </si>
  <si>
    <t xml:space="preserve">periodo</t>
  </si>
  <si>
    <t xml:space="preserve">madrid</t>
  </si>
  <si>
    <t xml:space="preserve">madrid_var_anual_pct</t>
  </si>
  <si>
    <t xml:space="preserve">espana</t>
  </si>
  <si>
    <t xml:space="preserve">espana_var_anual_pct</t>
  </si>
  <si>
    <t xml:space="preserve">estado</t>
  </si>
  <si>
    <t xml:space="preserve">Valor tasado</t>
  </si>
  <si>
    <t xml:space="preserve">Vivienda libre total</t>
  </si>
  <si>
    <t xml:space="preserve">€/m²</t>
  </si>
  <si>
    <t xml:space="preserve">Vivienda libre hasta 5 años</t>
  </si>
  <si>
    <t xml:space="preserve">Vivienda libre más de 5 años</t>
  </si>
  <si>
    <t xml:space="preserve">Vivienda protegida</t>
  </si>
  <si>
    <t xml:space="preserve">Suelo urbano</t>
  </si>
  <si>
    <t xml:space="preserve">IPV (base INE 2007)</t>
  </si>
  <si>
    <t xml:space="preserve">General</t>
  </si>
  <si>
    <t xml:space="preserve">4T 2025</t>
  </si>
  <si>
    <t xml:space="preserve">índice</t>
  </si>
  <si>
    <t xml:space="preserve">Segunda mano</t>
  </si>
  <si>
    <t xml:space="preserve">Compraventas</t>
  </si>
  <si>
    <t xml:space="preserve">Total</t>
  </si>
  <si>
    <t xml:space="preserve">nº</t>
  </si>
  <si>
    <t xml:space="preserve">provisional</t>
  </si>
  <si>
    <t xml:space="preserve">Libre</t>
  </si>
  <si>
    <t xml:space="preserve">Protegida</t>
  </si>
  <si>
    <t xml:space="preserve">Nueva</t>
  </si>
  <si>
    <t xml:space="preserve">Usada</t>
  </si>
  <si>
    <t xml:space="preserve">Transacciones vivienda libre</t>
  </si>
  <si>
    <t xml:space="preserve">Número</t>
  </si>
  <si>
    <t xml:space="preserve">Valor</t>
  </si>
  <si>
    <t xml:space="preserve">miles €</t>
  </si>
  <si>
    <t xml:space="preserve">Valor medio</t>
  </si>
  <si>
    <t xml:space="preserve">€</t>
  </si>
  <si>
    <t xml:space="preserve">Nueva: número</t>
  </si>
  <si>
    <t xml:space="preserve">Nueva: valor medio</t>
  </si>
  <si>
    <t xml:space="preserve">Usada: número</t>
  </si>
  <si>
    <t xml:space="preserve">Usada: valor medio</t>
  </si>
  <si>
    <t xml:space="preserve">Transacciones vivienda protegida</t>
  </si>
  <si>
    <t xml:space="preserve">Hipotecas</t>
  </si>
  <si>
    <t xml:space="preserve">Hipotecas constituidas número</t>
  </si>
  <si>
    <t xml:space="preserve">Hipotecas constituidas importe</t>
  </si>
  <si>
    <t xml:space="preserve">Duración media</t>
  </si>
  <si>
    <t xml:space="preserve">meses</t>
  </si>
  <si>
    <t xml:space="preserve">Cuota mensual media</t>
  </si>
  <si>
    <t xml:space="preserve">Cuota respecto al coste salarial</t>
  </si>
  <si>
    <t xml:space="preserve">Boletín trimestral de la vivienda, Comunidad de Madrid, 2.º trimestre 2026 (1.ª edición, julio 2026). Reúne datos del Ministerio de Vivienda (valor tasado), INE (compraventas, transacciones, hipotecas, IPV) y visados de arquitectos. Las tasas son interanuales. Valores provisionales donde se indica. El boletín no incluye alquiler. Los visados de obra nueva no se transcribieron.</t>
  </si>
  <si>
    <t xml:space="preserve">Total - Índice</t>
  </si>
  <si>
    <t xml:space="preserve">base 2015=100</t>
  </si>
  <si>
    <t xml:space="preserve">Total - Variación anual</t>
  </si>
  <si>
    <t xml:space="preserve">Vivienda unifamiliar - Índice</t>
  </si>
  <si>
    <t xml:space="preserve">Vivienda unifamiliar - Variación anual</t>
  </si>
  <si>
    <t xml:space="preserve">Vivienda colectiva - Índice</t>
  </si>
  <si>
    <t xml:space="preserve">Vivienda colectiva - Variación anual</t>
  </si>
  <si>
    <t xml:space="preserve">Indicadores derivados (fórmulas)</t>
  </si>
  <si>
    <t xml:space="preserve">Crecimiento acumulado 2015–2024 (%)</t>
  </si>
  <si>
    <t xml:space="preserve">Crecimiento acumulado 2019–2024 (%)</t>
  </si>
  <si>
    <t xml:space="preserve">Índice de Precios de Vivienda en Alquiler (IPVA, INE), medias anuales, base 2015 = 100 (tabla 59056). Mide la evolución del precio del alquiler a partir de datos tributarios; la variación suele ser menor que la de los alquileres de contratos nuevos porque incluye los contratos en vigor. Último año: 2024.</t>
  </si>
  <si>
    <t xml:space="preserve">IRAV_variacion_anual_%</t>
  </si>
  <si>
    <t xml:space="preserve">2025-12</t>
  </si>
  <si>
    <t xml:space="preserve">2026-01</t>
  </si>
  <si>
    <t xml:space="preserve">2026-02</t>
  </si>
  <si>
    <t xml:space="preserve">2026-03</t>
  </si>
  <si>
    <t xml:space="preserve">2026-04</t>
  </si>
  <si>
    <t xml:space="preserve">2026-05</t>
  </si>
  <si>
    <t xml:space="preserve">2026-06</t>
  </si>
  <si>
    <t xml:space="preserve">2026-07</t>
  </si>
  <si>
    <t xml:space="preserve">2026-08</t>
  </si>
  <si>
    <t xml:space="preserve">2026-09</t>
  </si>
  <si>
    <t xml:space="preserve">Índice de Referencia de Arrendamientos de Vivienda (IRAV, INE, tabla 72975): tasa nacional que limita la actualización anual de los contratos de alquiler. Es un índice de referencia legal, no el precio de mercado.</t>
  </si>
  <si>
    <t xml:space="preserve">anio</t>
  </si>
  <si>
    <t xml:space="preserve">vc_contratos</t>
  </si>
  <si>
    <t xml:space="preserve">vc_renta_media_eur_m2</t>
  </si>
  <si>
    <t xml:space="preserve">vc_renta_p25</t>
  </si>
  <si>
    <t xml:space="preserve">vc_renta_p75</t>
  </si>
  <si>
    <t xml:space="preserve">vc_sup_media_m2</t>
  </si>
  <si>
    <t xml:space="preserve">vc_sup_p25</t>
  </si>
  <si>
    <t xml:space="preserve">vc_sup_p75</t>
  </si>
  <si>
    <t xml:space="preserve">vc_cuantia_media_eur</t>
  </si>
  <si>
    <t xml:space="preserve">vc_cuantia_p25</t>
  </si>
  <si>
    <t xml:space="preserve">vc_cuantia_p75</t>
  </si>
  <si>
    <t xml:space="preserve">vu_contratos</t>
  </si>
  <si>
    <t xml:space="preserve">vu_renta_media_eur_m2</t>
  </si>
  <si>
    <t xml:space="preserve">vu_renta_p25</t>
  </si>
  <si>
    <t xml:space="preserve">vu_renta_p75</t>
  </si>
  <si>
    <t xml:space="preserve">vu_sup_media_m2</t>
  </si>
  <si>
    <t xml:space="preserve">vu_sup_p25</t>
  </si>
  <si>
    <t xml:space="preserve">vu_sup_p75</t>
  </si>
  <si>
    <t xml:space="preserve">vu_cuantia_media_eur</t>
  </si>
  <si>
    <t xml:space="preserve">vu_cuantia_p25</t>
  </si>
  <si>
    <t xml:space="preserve">vu_cuantia_p75</t>
  </si>
  <si>
    <t xml:space="preserve">VC €/m² ÷ mediana CCAA</t>
  </si>
  <si>
    <t xml:space="preserve">ranking VC €/m² (1=mayor)</t>
  </si>
  <si>
    <t xml:space="preserve">VC alquiler anual medio €</t>
  </si>
  <si>
    <t xml:space="preserve">Andalucía</t>
  </si>
  <si>
    <t xml:space="preserve">Aragón</t>
  </si>
  <si>
    <t xml:space="preserve">Asturias (Principado de)</t>
  </si>
  <si>
    <t xml:space="preserve">Balears (Illes)</t>
  </si>
  <si>
    <t xml:space="preserve">Canarias</t>
  </si>
  <si>
    <t xml:space="preserve">Cantabria</t>
  </si>
  <si>
    <t xml:space="preserve">Castilla y León</t>
  </si>
  <si>
    <t xml:space="preserve">Castilla-La Mancha</t>
  </si>
  <si>
    <t xml:space="preserve">Cataluña</t>
  </si>
  <si>
    <t xml:space="preserve">Comunidad Valenciana</t>
  </si>
  <si>
    <t xml:space="preserve">Extremadura</t>
  </si>
  <si>
    <t xml:space="preserve">Galicia</t>
  </si>
  <si>
    <t xml:space="preserve">Madrid (Comunidad de)</t>
  </si>
  <si>
    <t xml:space="preserve">Murcia (Región de)</t>
  </si>
  <si>
    <t xml:space="preserve">Navarra (Com. Foral de)</t>
  </si>
  <si>
    <t xml:space="preserve">País Vasco</t>
  </si>
  <si>
    <t xml:space="preserve">Rioja (La)</t>
  </si>
  <si>
    <t xml:space="preserve">Ceuta</t>
  </si>
  <si>
    <t xml:space="preserve">Melilla</t>
  </si>
  <si>
    <t xml:space="preserve">España (total)</t>
  </si>
  <si>
    <t xml:space="preserve">Sistema Estatal de Referencia del Precio del Alquiler de Vivienda (SERPAVI), Ministerio de Vivienda, datos 2022 (publicación de 26/02/2024). vc = vivienda colectiva (pisos), vu = vivienda unifamiliar. Renta en €/m² y mes; cuantía en € al mes. Navarra y País Vasco no figuran (n.d.). La fila "España (total)" solo trae número de contratos. La base completa 2011–2024 con detalle por municipio y distrito (incluidos los distritos de Madrid) existe en el Ministerio, pero no se pudo descargar desde este entorno; ver FUENTES.</t>
  </si>
  <si>
    <t xml:space="preserve">Esfuerzo del alquiler frente al salario — Comunidad de Madrid, 2022 (indicativo)</t>
  </si>
  <si>
    <t xml:space="preserve">Compara la cuantía mensual media de un alquiler de piso (SERPAVI 2022) con el salario bruto individual de 2022 (EES). No es la renta del hogar: es solo un orden de magnitud.</t>
  </si>
  <si>
    <t xml:space="preserve">concepto</t>
  </si>
  <si>
    <t xml:space="preserve">valor</t>
  </si>
  <si>
    <t xml:space="preserve">fuente / fórmula</t>
  </si>
  <si>
    <t xml:space="preserve">Alquiler mensual medio, piso (vivienda colectiva) €</t>
  </si>
  <si>
    <t xml:space="preserve">SERPAVI 2022</t>
  </si>
  <si>
    <t xml:space="preserve">Alquiler mensual, percentil 25 €</t>
  </si>
  <si>
    <t xml:space="preserve">Alquiler mensual, percentil 75 €</t>
  </si>
  <si>
    <t xml:space="preserve">Salario bruto anual medio, Madrid 2022 €</t>
  </si>
  <si>
    <t xml:space="preserve">INE EES tabla 28191 (dato fijo)</t>
  </si>
  <si>
    <t xml:space="preserve">Salario bruto anual mediano, Madrid 2022 €</t>
  </si>
  <si>
    <t xml:space="preserve">Salario bruto anual mediano, España 2022 €</t>
  </si>
  <si>
    <t xml:space="preserve">Alquiler medio anual € (×12)</t>
  </si>
  <si>
    <t xml:space="preserve">Alquiler medio / salario bruto medio de Madrid (%)</t>
  </si>
  <si>
    <t xml:space="preserve">Alquiler P25 / salario bruto mediano de Madrid (%)</t>
  </si>
  <si>
    <t xml:space="preserve">Alquiler P75 / salario bruto mediano de Madrid (%)</t>
  </si>
  <si>
    <t xml:space="preserve">Alquiler medio de Madrid / salario bruto mediano de España (%)</t>
  </si>
  <si>
    <t xml:space="preserve">Limitaciones: salario bruto (no neto), individual (no del hogar) y de todos los asalariados; el alquiler SERPAVI 2022 es el de contratos declarados (no solo nuevos). Los porcentajes sirven para comparar territorios o sensibilidades, no como tasa de esfuerzo oficial.</t>
  </si>
  <si>
    <t xml:space="preserve">Alquiler €/m² (sep-2026)</t>
  </si>
  <si>
    <t xml:space="preserve">alq. var. mensual %</t>
  </si>
  <si>
    <t xml:space="preserve">alq. var. trimestral %</t>
  </si>
  <si>
    <t xml:space="preserve">alq. var. anual %</t>
  </si>
  <si>
    <t xml:space="preserve">alq. máximo histórico</t>
  </si>
  <si>
    <t xml:space="preserve">alq. % sobre máximo</t>
  </si>
  <si>
    <t xml:space="preserve">Venta €/m² (sep-2026)</t>
  </si>
  <si>
    <t xml:space="preserve">venta var. mensual %</t>
  </si>
  <si>
    <t xml:space="preserve">venta var. trimestral %</t>
  </si>
  <si>
    <t xml:space="preserve">venta var. anual %</t>
  </si>
  <si>
    <t xml:space="preserve">Rentabilidad bruta % (alq×12 ÷ venta)</t>
  </si>
  <si>
    <t xml:space="preserve">Años de alquiler = precio de venta</t>
  </si>
  <si>
    <t xml:space="preserve">ranking alquiler (1 = más caro)</t>
  </si>
  <si>
    <t xml:space="preserve">ranking venta (1 = más caro)</t>
  </si>
  <si>
    <t xml:space="preserve">15.3 (jul 2026)</t>
  </si>
  <si>
    <t xml:space="preserve">14.3 (may 2026)</t>
  </si>
  <si>
    <t xml:space="preserve">11.3 (jul 2026)</t>
  </si>
  <si>
    <t xml:space="preserve">Asturias</t>
  </si>
  <si>
    <t xml:space="preserve">11.7 (jun 2008)</t>
  </si>
  <si>
    <t xml:space="preserve">Baleares</t>
  </si>
  <si>
    <t xml:space="preserve">20.3 (may 2026)</t>
  </si>
  <si>
    <t xml:space="preserve">15.5 (jul 2026)</t>
  </si>
  <si>
    <t xml:space="preserve">13.8 (jul 2007)</t>
  </si>
  <si>
    <t xml:space="preserve">9.8 (jun 2026)</t>
  </si>
  <si>
    <t xml:space="preserve">8.9 (jul 2026)</t>
  </si>
  <si>
    <t xml:space="preserve">16.0 (jul 2026)</t>
  </si>
  <si>
    <t xml:space="preserve">Comunitat Valenciana</t>
  </si>
  <si>
    <t xml:space="preserve">13.3 (ago 2026)</t>
  </si>
  <si>
    <t xml:space="preserve">Euskadi</t>
  </si>
  <si>
    <t xml:space="preserve">15.1 (ago 2025)</t>
  </si>
  <si>
    <t xml:space="preserve">7.8 (ago 2026)</t>
  </si>
  <si>
    <t xml:space="preserve">10.0 (jul 2026)</t>
  </si>
  <si>
    <t xml:space="preserve">La Rioja</t>
  </si>
  <si>
    <t xml:space="preserve">9.7 (jul 2026)</t>
  </si>
  <si>
    <t xml:space="preserve">Madrid Comunidad</t>
  </si>
  <si>
    <t xml:space="preserve">21.6 (sep 2026)</t>
  </si>
  <si>
    <t xml:space="preserve">11.7 (jul 2026)</t>
  </si>
  <si>
    <t xml:space="preserve">Murcia Región</t>
  </si>
  <si>
    <t xml:space="preserve">9.6 (jul 2026)</t>
  </si>
  <si>
    <t xml:space="preserve">Navarra</t>
  </si>
  <si>
    <t xml:space="preserve">10.8 (dic 2025)</t>
  </si>
  <si>
    <t xml:space="preserve">Idealista, informes de precios de la sala de prensa (septiembre 2026): precio medio de OFERTA en anuncios, €/m² construido. No son precios de cierre ni contratos firmados. Ceuta no figura en la tabla de alquiler. La rentabilidad bruta y los años de alquiler son cálculos propios (amarillo): no descuentan impuestos, gastos, impagos ni vacíos, y comparan precios de oferta. Idealista cambió de metodología en julio de 2026: las series anteriores pueden no ser comparables.</t>
  </si>
  <si>
    <t xml:space="preserve">CCAA</t>
  </si>
  <si>
    <t xml:space="preserve">provincia</t>
  </si>
  <si>
    <t xml:space="preserve">tipo</t>
  </si>
  <si>
    <t xml:space="preserve">Alquiler €/m²</t>
  </si>
  <si>
    <t xml:space="preserve">Venta €/m²</t>
  </si>
  <si>
    <t xml:space="preserve">Rentabilidad bruta %</t>
  </si>
  <si>
    <t xml:space="preserve">Años de alquiler</t>
  </si>
  <si>
    <t xml:space="preserve">Almería</t>
  </si>
  <si>
    <t xml:space="preserve">Cádiz</t>
  </si>
  <si>
    <t xml:space="preserve">Córdoba</t>
  </si>
  <si>
    <t xml:space="preserve">Granada</t>
  </si>
  <si>
    <t xml:space="preserve">Huelva</t>
  </si>
  <si>
    <t xml:space="preserve">Jaén</t>
  </si>
  <si>
    <t xml:space="preserve">Málaga</t>
  </si>
  <si>
    <t xml:space="preserve">Sevilla</t>
  </si>
  <si>
    <t xml:space="preserve">Huesca</t>
  </si>
  <si>
    <t xml:space="preserve">Teruel</t>
  </si>
  <si>
    <t xml:space="preserve">Zaragoza</t>
  </si>
  <si>
    <t xml:space="preserve">CCAA uniprovincial</t>
  </si>
  <si>
    <t xml:space="preserve">Las Palmas</t>
  </si>
  <si>
    <t xml:space="preserve">Santa Cruz de Tenerife</t>
  </si>
  <si>
    <t xml:space="preserve">Burgos</t>
  </si>
  <si>
    <t xml:space="preserve">León</t>
  </si>
  <si>
    <t xml:space="preserve">Palencia</t>
  </si>
  <si>
    <t xml:space="preserve">Salamanca</t>
  </si>
  <si>
    <t xml:space="preserve">Segovia</t>
  </si>
  <si>
    <t xml:space="preserve">Soria</t>
  </si>
  <si>
    <t xml:space="preserve">Valladolid</t>
  </si>
  <si>
    <t xml:space="preserve">Zamora</t>
  </si>
  <si>
    <t xml:space="preserve">Ávila</t>
  </si>
  <si>
    <t xml:space="preserve">Albacete</t>
  </si>
  <si>
    <t xml:space="preserve">Ciudad Real</t>
  </si>
  <si>
    <t xml:space="preserve">Cuenca</t>
  </si>
  <si>
    <t xml:space="preserve">Guadalajara</t>
  </si>
  <si>
    <t xml:space="preserve">Toledo</t>
  </si>
  <si>
    <t xml:space="preserve">Barcelona</t>
  </si>
  <si>
    <t xml:space="preserve">Girona</t>
  </si>
  <si>
    <t xml:space="preserve">Lleida</t>
  </si>
  <si>
    <t xml:space="preserve">Tarragona</t>
  </si>
  <si>
    <t xml:space="preserve">ciudad autónoma</t>
  </si>
  <si>
    <t xml:space="preserve">Alicante</t>
  </si>
  <si>
    <t xml:space="preserve">Castellón</t>
  </si>
  <si>
    <t xml:space="preserve">València</t>
  </si>
  <si>
    <t xml:space="preserve">Guipúzcoa</t>
  </si>
  <si>
    <t xml:space="preserve">Vizcaya</t>
  </si>
  <si>
    <t xml:space="preserve">Álava</t>
  </si>
  <si>
    <t xml:space="preserve">Badajoz</t>
  </si>
  <si>
    <t xml:space="preserve">Cáceres</t>
  </si>
  <si>
    <t xml:space="preserve">A Coruña</t>
  </si>
  <si>
    <t xml:space="preserve">Lugo</t>
  </si>
  <si>
    <t xml:space="preserve">Ourense</t>
  </si>
  <si>
    <t xml:space="preserve">Pontevedra</t>
  </si>
  <si>
    <t xml:space="preserve">Idealista (sep-2026), 50 provincias y 2 ciudades autónomas. Las CCAA uniprovinciales repiten los valores de la comunidad. Madrid provincia = Comunidad de Madrid. Precios de oferta, no de cierre. Ceuta solo tiene venta.</t>
  </si>
  <si>
    <t xml:space="preserve">distrito</t>
  </si>
  <si>
    <t xml:space="preserve">alq. mensual %</t>
  </si>
  <si>
    <t xml:space="preserve">alq. trimestral %</t>
  </si>
  <si>
    <t xml:space="preserve">alq. anual %</t>
  </si>
  <si>
    <t xml:space="preserve">venta mensual %</t>
  </si>
  <si>
    <t xml:space="preserve">venta trimestral %</t>
  </si>
  <si>
    <t xml:space="preserve">venta anual %</t>
  </si>
  <si>
    <t xml:space="preserve">venta máximo histórico</t>
  </si>
  <si>
    <t xml:space="preserve">Alquiler piso de 70 m² (€/mes)</t>
  </si>
  <si>
    <t xml:space="preserve">alquiler ÷ media de la ciudad</t>
  </si>
  <si>
    <t xml:space="preserve">Madrid (ciudad)</t>
  </si>
  <si>
    <t xml:space="preserve">23.4 (sep 2026)</t>
  </si>
  <si>
    <t xml:space="preserve">6619 (abr 2026)</t>
  </si>
  <si>
    <t xml:space="preserve">Arganzuela</t>
  </si>
  <si>
    <t xml:space="preserve">22.4 (sep 2026)</t>
  </si>
  <si>
    <t xml:space="preserve">6410 (may 2026)</t>
  </si>
  <si>
    <t xml:space="preserve">Barajas</t>
  </si>
  <si>
    <t xml:space="preserve">17.6 (may 2026)</t>
  </si>
  <si>
    <t xml:space="preserve">5171 (ago 2026)</t>
  </si>
  <si>
    <t xml:space="preserve">Barrio de Salamanca</t>
  </si>
  <si>
    <t xml:space="preserve">28.5 (sep 2026)</t>
  </si>
  <si>
    <t xml:space="preserve">11328 (mar 2026)</t>
  </si>
  <si>
    <t xml:space="preserve">Carabanchel</t>
  </si>
  <si>
    <t xml:space="preserve">19.3 (sep 2026)</t>
  </si>
  <si>
    <t xml:space="preserve">3842 (ago 2026)</t>
  </si>
  <si>
    <t xml:space="preserve">Centro</t>
  </si>
  <si>
    <t xml:space="preserve">26.1 (sep 2026)</t>
  </si>
  <si>
    <t xml:space="preserve">7794 (may 2026)</t>
  </si>
  <si>
    <t xml:space="preserve">Chamartín</t>
  </si>
  <si>
    <t xml:space="preserve">23.7 (sep 2026)</t>
  </si>
  <si>
    <t xml:space="preserve">8343 (may 2026)</t>
  </si>
  <si>
    <t xml:space="preserve">Chamberí</t>
  </si>
  <si>
    <t xml:space="preserve">26.0 (sep 2026)</t>
  </si>
  <si>
    <t xml:space="preserve">9359 (mar 2026)</t>
  </si>
  <si>
    <t xml:space="preserve">Ciudad Lineal</t>
  </si>
  <si>
    <t xml:space="preserve">20.1 (sep 2026)</t>
  </si>
  <si>
    <t xml:space="preserve">5327 (may 2026)</t>
  </si>
  <si>
    <t xml:space="preserve">Fuencarral</t>
  </si>
  <si>
    <t xml:space="preserve">18.9 (sep 2026)</t>
  </si>
  <si>
    <t xml:space="preserve">5645 (jul 2026)</t>
  </si>
  <si>
    <t xml:space="preserve">Hortaleza</t>
  </si>
  <si>
    <t xml:space="preserve">19.5 (sep 2026)</t>
  </si>
  <si>
    <t xml:space="preserve">5586 (jun 2026)</t>
  </si>
  <si>
    <t xml:space="preserve">Latina</t>
  </si>
  <si>
    <t xml:space="preserve">19.6 (jul 2026)</t>
  </si>
  <si>
    <t xml:space="preserve">4045 (sep 2026)</t>
  </si>
  <si>
    <t xml:space="preserve">Moncloa</t>
  </si>
  <si>
    <t xml:space="preserve">22.1 (may 2026)</t>
  </si>
  <si>
    <t xml:space="preserve">6401 (abr 2026)</t>
  </si>
  <si>
    <t xml:space="preserve">Moratalaz</t>
  </si>
  <si>
    <t xml:space="preserve">17.6 (sep 2026)</t>
  </si>
  <si>
    <t xml:space="preserve">4563 (ago 2026)</t>
  </si>
  <si>
    <t xml:space="preserve">Puente de Vallecas</t>
  </si>
  <si>
    <t xml:space="preserve">19.7 (feb 2026)</t>
  </si>
  <si>
    <t xml:space="preserve">3535 (sep 2026)</t>
  </si>
  <si>
    <t xml:space="preserve">Retiro</t>
  </si>
  <si>
    <t xml:space="preserve">24.0 (sep 2026)</t>
  </si>
  <si>
    <t xml:space="preserve">8579 (sep 2025)</t>
  </si>
  <si>
    <t xml:space="preserve">San Blas</t>
  </si>
  <si>
    <t xml:space="preserve">18.3 (jun 2026)</t>
  </si>
  <si>
    <t xml:space="preserve">4146 (sep 2026)</t>
  </si>
  <si>
    <t xml:space="preserve">Tetuán</t>
  </si>
  <si>
    <t xml:space="preserve">23.0 (may 2026)</t>
  </si>
  <si>
    <t xml:space="preserve">6245 (jun 2026)</t>
  </si>
  <si>
    <t xml:space="preserve">Usera</t>
  </si>
  <si>
    <t xml:space="preserve">20.1 (jul 2026)</t>
  </si>
  <si>
    <t xml:space="preserve">3628 (sep 2026)</t>
  </si>
  <si>
    <t xml:space="preserve">Vicálvaro</t>
  </si>
  <si>
    <t xml:space="preserve">17.2 (abr 2026)</t>
  </si>
  <si>
    <t xml:space="preserve">4050 (jun 2026)</t>
  </si>
  <si>
    <t xml:space="preserve">Villa de Vallecas</t>
  </si>
  <si>
    <t xml:space="preserve">17.6 (jul 2026)</t>
  </si>
  <si>
    <t xml:space="preserve">3869 (jul 2026)</t>
  </si>
  <si>
    <t xml:space="preserve">Villaverde</t>
  </si>
  <si>
    <t xml:space="preserve">18.2 (sep 2026)</t>
  </si>
  <si>
    <t xml:space="preserve">3365 (sep 2026)</t>
  </si>
  <si>
    <t xml:space="preserve">Idealista (sep-2026), 21 distritos de Madrid capital (fila 2 = media de la ciudad). Precios de oferta. Rentabilidad bruta y alquiler de 70 m² son cálculos propios (amarillo). Distritos con pocos anuncios pueden tener variaciones mensuales muy volátiles.</t>
  </si>
  <si>
    <t xml:space="preserve">municipio (provincia de Madrid)</t>
  </si>
  <si>
    <t xml:space="preserve">Alcalá de Henares</t>
  </si>
  <si>
    <t xml:space="preserve">14.2 (ago 2026)</t>
  </si>
  <si>
    <t xml:space="preserve">3014 (sep 2026)</t>
  </si>
  <si>
    <t xml:space="preserve">Alcobendas</t>
  </si>
  <si>
    <t xml:space="preserve">17.5 (sep 2026)</t>
  </si>
  <si>
    <t xml:space="preserve">4146 (jun 2026)</t>
  </si>
  <si>
    <t xml:space="preserve">Alcorcón</t>
  </si>
  <si>
    <t xml:space="preserve">15.1 (ago 2026)</t>
  </si>
  <si>
    <t xml:space="preserve">3537 (sep 2026)</t>
  </si>
  <si>
    <t xml:space="preserve">Algete</t>
  </si>
  <si>
    <t xml:space="preserve">2315 (sep 2026)</t>
  </si>
  <si>
    <t xml:space="preserve">Alpedrete</t>
  </si>
  <si>
    <t xml:space="preserve">3000 (sep 2026)</t>
  </si>
  <si>
    <t xml:space="preserve">Aranjuez</t>
  </si>
  <si>
    <t xml:space="preserve">12.9 (jun 2026)</t>
  </si>
  <si>
    <t xml:space="preserve">2395 (jun 2008)</t>
  </si>
  <si>
    <t xml:space="preserve">Arganda</t>
  </si>
  <si>
    <t xml:space="preserve">13.4 (mar 2026)</t>
  </si>
  <si>
    <t xml:space="preserve">2707 (ago 2026)</t>
  </si>
  <si>
    <t xml:space="preserve">Arroyomolinos</t>
  </si>
  <si>
    <t xml:space="preserve">12.3 (may 2026)</t>
  </si>
  <si>
    <t xml:space="preserve">2713 (may 2026)</t>
  </si>
  <si>
    <t xml:space="preserve">Becerril de la Sierra</t>
  </si>
  <si>
    <t xml:space="preserve">2353 (ago 2026)</t>
  </si>
  <si>
    <t xml:space="preserve">Boadilla del Monte</t>
  </si>
  <si>
    <t xml:space="preserve">4461 (ago 2026)</t>
  </si>
  <si>
    <t xml:space="preserve">Camarma de Esteruelas</t>
  </si>
  <si>
    <t xml:space="preserve">2313 (jul 2026)</t>
  </si>
  <si>
    <t xml:space="preserve">Campo Real</t>
  </si>
  <si>
    <t xml:space="preserve">2322 (sep 2026)</t>
  </si>
  <si>
    <t xml:space="preserve">Cercedilla</t>
  </si>
  <si>
    <t xml:space="preserve">2578 (jun 2026)</t>
  </si>
  <si>
    <t xml:space="preserve">Ciempozuelos</t>
  </si>
  <si>
    <t xml:space="preserve">2364 (ago 2008)</t>
  </si>
  <si>
    <t xml:space="preserve">Ciudalcampo</t>
  </si>
  <si>
    <t xml:space="preserve">3722 (jul 2026)</t>
  </si>
  <si>
    <t xml:space="preserve">Collado Mediano</t>
  </si>
  <si>
    <t xml:space="preserve">2526 (sep 2026)</t>
  </si>
  <si>
    <t xml:space="preserve">Collado Villalba</t>
  </si>
  <si>
    <t xml:space="preserve">2941 (may 2026)</t>
  </si>
  <si>
    <t xml:space="preserve">Colmenar de Oreja</t>
  </si>
  <si>
    <t xml:space="preserve">1605 (jul 2010)</t>
  </si>
  <si>
    <t xml:space="preserve">Colmenar Viejo</t>
  </si>
  <si>
    <t xml:space="preserve">12.7 (may 2026)</t>
  </si>
  <si>
    <t xml:space="preserve">3266 (jun 2026)</t>
  </si>
  <si>
    <t xml:space="preserve">Colmenarejo</t>
  </si>
  <si>
    <t xml:space="preserve">2639 (abr 2026)</t>
  </si>
  <si>
    <t xml:space="preserve">Coslada</t>
  </si>
  <si>
    <t xml:space="preserve">3344 (jul 2026)</t>
  </si>
  <si>
    <t xml:space="preserve">El Escorial</t>
  </si>
  <si>
    <t xml:space="preserve">2836 (ago 2026)</t>
  </si>
  <si>
    <t xml:space="preserve">El Molar</t>
  </si>
  <si>
    <t xml:space="preserve">2441 (sep 2026)</t>
  </si>
  <si>
    <t xml:space="preserve">Eurovillas</t>
  </si>
  <si>
    <t xml:space="preserve">1763 (sep 2010)</t>
  </si>
  <si>
    <t xml:space="preserve">Fuenlabrada</t>
  </si>
  <si>
    <t xml:space="preserve">14.7 (ago 2026)</t>
  </si>
  <si>
    <t xml:space="preserve">2894 (jun 2026)</t>
  </si>
  <si>
    <t xml:space="preserve">Fuente del Fresno</t>
  </si>
  <si>
    <t xml:space="preserve">3647 (sep 2026)</t>
  </si>
  <si>
    <t xml:space="preserve">Galapagar</t>
  </si>
  <si>
    <t xml:space="preserve">14.6 (jun 2026)</t>
  </si>
  <si>
    <t xml:space="preserve">2840 (sep 2026)</t>
  </si>
  <si>
    <t xml:space="preserve">Getafe</t>
  </si>
  <si>
    <t xml:space="preserve">15.8 (jun 2026)</t>
  </si>
  <si>
    <t xml:space="preserve">3335 (sep 2026)</t>
  </si>
  <si>
    <t xml:space="preserve">Griñón</t>
  </si>
  <si>
    <t xml:space="preserve">2354 (jul 2026)</t>
  </si>
  <si>
    <t xml:space="preserve">Guadarrama</t>
  </si>
  <si>
    <t xml:space="preserve">2761 (ago 2026)</t>
  </si>
  <si>
    <t xml:space="preserve">Hoyo de Manzanares</t>
  </si>
  <si>
    <t xml:space="preserve">3048 (may 2026)</t>
  </si>
  <si>
    <t xml:space="preserve">Humanes de Madrid</t>
  </si>
  <si>
    <t xml:space="preserve">2667 (sep 2026)</t>
  </si>
  <si>
    <t xml:space="preserve">La Moraleja</t>
  </si>
  <si>
    <t xml:space="preserve">21.0 (sep 2026)</t>
  </si>
  <si>
    <t xml:space="preserve">7276 (ago 2026)</t>
  </si>
  <si>
    <t xml:space="preserve">Las Rozas de Madrid</t>
  </si>
  <si>
    <t xml:space="preserve">16.4 (sep 2026)</t>
  </si>
  <si>
    <t xml:space="preserve">4139 (abr 2026)</t>
  </si>
  <si>
    <t xml:space="preserve">Leganés</t>
  </si>
  <si>
    <t xml:space="preserve">16.0 (may 2026)</t>
  </si>
  <si>
    <t xml:space="preserve">3234 (sep 2026)</t>
  </si>
  <si>
    <t xml:space="preserve">Loeches</t>
  </si>
  <si>
    <t xml:space="preserve">2191 (ago 2026)</t>
  </si>
  <si>
    <t xml:space="preserve">Majadahonda</t>
  </si>
  <si>
    <t xml:space="preserve">16.7 (may 2026)</t>
  </si>
  <si>
    <t xml:space="preserve">4957 (jul 2026)</t>
  </si>
  <si>
    <t xml:space="preserve">Manzanares el Real</t>
  </si>
  <si>
    <t xml:space="preserve">2609 (abr 2026)</t>
  </si>
  <si>
    <t xml:space="preserve">Meco</t>
  </si>
  <si>
    <t xml:space="preserve">2334 (may 2026)</t>
  </si>
  <si>
    <t xml:space="preserve">Mejorada del Campo</t>
  </si>
  <si>
    <t xml:space="preserve">2573 (sep 2026)</t>
  </si>
  <si>
    <t xml:space="preserve">Móstoles</t>
  </si>
  <si>
    <t xml:space="preserve">14.4 (ago 2026)</t>
  </si>
  <si>
    <t xml:space="preserve">3047 (sep 2026)</t>
  </si>
  <si>
    <t xml:space="preserve">Navalcarnero</t>
  </si>
  <si>
    <t xml:space="preserve">13.6 (ago 2026)</t>
  </si>
  <si>
    <t xml:space="preserve">2457 (abr 2026)</t>
  </si>
  <si>
    <t xml:space="preserve">Paracuellos de Jarama</t>
  </si>
  <si>
    <t xml:space="preserve">14.6 (may 2026)</t>
  </si>
  <si>
    <t xml:space="preserve">3012 (sep 2026)</t>
  </si>
  <si>
    <t xml:space="preserve">Parla</t>
  </si>
  <si>
    <t xml:space="preserve">14.0 (feb 2026)</t>
  </si>
  <si>
    <t xml:space="preserve">2473 (abr 2008)</t>
  </si>
  <si>
    <t xml:space="preserve">Pinto</t>
  </si>
  <si>
    <t xml:space="preserve">14.6 (mar 2026)</t>
  </si>
  <si>
    <t xml:space="preserve">2930 (sep 2026)</t>
  </si>
  <si>
    <t xml:space="preserve">Pozuelo de Alarcón</t>
  </si>
  <si>
    <t xml:space="preserve">18.3 (sep 2026)</t>
  </si>
  <si>
    <t xml:space="preserve">5078 (may 2026)</t>
  </si>
  <si>
    <t xml:space="preserve">Rivas-Vaciamadrid</t>
  </si>
  <si>
    <t xml:space="preserve">14.5 (jun 2026)</t>
  </si>
  <si>
    <t xml:space="preserve">3310 (sep 2026)</t>
  </si>
  <si>
    <t xml:space="preserve">Robledo de Chavela</t>
  </si>
  <si>
    <t xml:space="preserve">1739 (may 2026)</t>
  </si>
  <si>
    <t xml:space="preserve">San Agustín de Guadalix</t>
  </si>
  <si>
    <t xml:space="preserve">13.4 (oct 2025)</t>
  </si>
  <si>
    <t xml:space="preserve">3176 (sep 2025)</t>
  </si>
  <si>
    <t xml:space="preserve">San Fernando de Henares</t>
  </si>
  <si>
    <t xml:space="preserve">3019 (mar 2026)</t>
  </si>
  <si>
    <t xml:space="preserve">San Lorenzo de El Escorial</t>
  </si>
  <si>
    <t xml:space="preserve">14.0 (jun 2026)</t>
  </si>
  <si>
    <t xml:space="preserve">2994 (ago 2026)</t>
  </si>
  <si>
    <t xml:space="preserve">San Martín de la Vega</t>
  </si>
  <si>
    <t xml:space="preserve">2030 (ago 2026)</t>
  </si>
  <si>
    <t xml:space="preserve">San Sebastián de los Reyes</t>
  </si>
  <si>
    <t xml:space="preserve">19.1 (sep 2026)</t>
  </si>
  <si>
    <t xml:space="preserve">4249 (jun 2026)</t>
  </si>
  <si>
    <t xml:space="preserve">Santo Domingo</t>
  </si>
  <si>
    <t xml:space="preserve">3264 (nov 2025)</t>
  </si>
  <si>
    <t xml:space="preserve">Sevilla la Nueva</t>
  </si>
  <si>
    <t xml:space="preserve">2781 (jun 2026)</t>
  </si>
  <si>
    <t xml:space="preserve">Soto del Real</t>
  </si>
  <si>
    <t xml:space="preserve">2858 (sep 2026)</t>
  </si>
  <si>
    <t xml:space="preserve">Torrejón de Ardoz</t>
  </si>
  <si>
    <t xml:space="preserve">15.6 (sep 2026)</t>
  </si>
  <si>
    <t xml:space="preserve">3127 (ago 2026)</t>
  </si>
  <si>
    <t xml:space="preserve">Torrelaguna</t>
  </si>
  <si>
    <t xml:space="preserve">1713 (feb 2011)</t>
  </si>
  <si>
    <t xml:space="preserve">Torrelodones</t>
  </si>
  <si>
    <t xml:space="preserve">14.9 (abr 2026)</t>
  </si>
  <si>
    <t xml:space="preserve">2992 (jun 2026)</t>
  </si>
  <si>
    <t xml:space="preserve">Tres Cantos</t>
  </si>
  <si>
    <t xml:space="preserve">15.0 (jul 2026)</t>
  </si>
  <si>
    <t xml:space="preserve">4142 (jun 2026)</t>
  </si>
  <si>
    <t xml:space="preserve">Valdemorillo</t>
  </si>
  <si>
    <t xml:space="preserve">2490 (may 2026)</t>
  </si>
  <si>
    <t xml:space="preserve">Valdemoro</t>
  </si>
  <si>
    <t xml:space="preserve">14.0 (jul 2026)</t>
  </si>
  <si>
    <t xml:space="preserve">2553 (jun 2026)</t>
  </si>
  <si>
    <t xml:space="preserve">Velilla de San Antonio</t>
  </si>
  <si>
    <t xml:space="preserve">2620 (sep 2026)</t>
  </si>
  <si>
    <t xml:space="preserve">Villa del Prado</t>
  </si>
  <si>
    <t xml:space="preserve">1519 (sep 2026)</t>
  </si>
  <si>
    <t xml:space="preserve">Villalbilla</t>
  </si>
  <si>
    <t xml:space="preserve">2480 (jun 2026)</t>
  </si>
  <si>
    <t xml:space="preserve">Villanueva de la Cañada</t>
  </si>
  <si>
    <t xml:space="preserve">3049 (jun 2026)</t>
  </si>
  <si>
    <t xml:space="preserve">Villanueva del Pardillo</t>
  </si>
  <si>
    <t xml:space="preserve">16.3 (jul 2026)</t>
  </si>
  <si>
    <t xml:space="preserve">Villarejo de Salvanés</t>
  </si>
  <si>
    <t xml:space="preserve">1669 (ene 2026)</t>
  </si>
  <si>
    <t xml:space="preserve">Villaviciosa de Odón</t>
  </si>
  <si>
    <t xml:space="preserve">3602 (sep 2026)</t>
  </si>
  <si>
    <t xml:space="preserve">Brunete</t>
  </si>
  <si>
    <t xml:space="preserve">16.1 (ago 2026)</t>
  </si>
  <si>
    <t xml:space="preserve">Idealista (sep-2026). Alquiler: 34 municipios (incluida Madrid capital) con informe publicado; venta: 70 municipios (incluida Madrid capital). Celda vacía = sin dato en la fuente (n.d.). Hay municipios pequeños con muestra de anuncios reducida: sus variaciones son muy volátiles. Precios de oferta.</t>
  </si>
  <si>
    <t xml:space="preserve">mes</t>
  </si>
  <si>
    <t xml:space="preserve">Alquiler España €/m²</t>
  </si>
  <si>
    <t xml:space="preserve">Alquiler España var. anual %</t>
  </si>
  <si>
    <t xml:space="preserve">Alquiler Comunidad de Madrid €/m²</t>
  </si>
  <si>
    <t xml:space="preserve">Alquiler Comunidad de Madrid var. anual %</t>
  </si>
  <si>
    <t xml:space="preserve">Alquiler Madrid ciudad €/m²</t>
  </si>
  <si>
    <t xml:space="preserve">Alquiler Madrid ciudad var. anual %</t>
  </si>
  <si>
    <t xml:space="preserve">Venta España €/m²</t>
  </si>
  <si>
    <t xml:space="preserve">Venta España var. anual %</t>
  </si>
  <si>
    <t xml:space="preserve">Venta Madrid ciudad €/m²</t>
  </si>
  <si>
    <t xml:space="preserve">Venta Madrid ciudad var. anual %</t>
  </si>
  <si>
    <t xml:space="preserve">Madrid ciudad: rentabilidad bruta % (alq×12 ÷ venta)</t>
  </si>
  <si>
    <t xml:space="preserve">Alquiler Madrid ciudad ÷ España</t>
  </si>
  <si>
    <t xml:space="preserve">Alquiler Madrid ciudad − España (€/m²)</t>
  </si>
  <si>
    <t xml:space="preserve">Venta Madrid ciudad ÷ España</t>
  </si>
  <si>
    <t xml:space="preserve">2025-10</t>
  </si>
  <si>
    <t xml:space="preserve">2025-11</t>
  </si>
  <si>
    <t xml:space="preserve">Variación en el periodo (primer a último mes, %)</t>
  </si>
  <si>
    <t xml:space="preserve">Media del periodo</t>
  </si>
  <si>
    <t xml:space="preserve">Idealista publica en su web los últimos 12 meses (oct-2025 a sep-2026) en cada informe; hay un enlace a datos anteriores que no se descargó. Precios de oferta. Columnas 12–15 (amarillo) son cálculos propios. Atención: el cambio de metodología de julio de 2026 puede afectar a la comparabilidad con meses anteriores.</t>
  </si>
  <si>
    <t xml:space="preserve">Alquiler de oferta (Idealista) frente al salario bruto — por CCAA (indicativo)</t>
  </si>
  <si>
    <t xml:space="preserve">Compara el alquiler mensual de un piso de la superficie elegida (precio de oferta de sep-2026) con el salario bruto mediano individual de 2024 (INE EES). No es la tasa de esfuerzo de un hogar.</t>
  </si>
  <si>
    <t xml:space="preserve">Superficie del piso (m²)</t>
  </si>
  <si>
    <t xml:space="preserve">Dato modificable (azul)</t>
  </si>
  <si>
    <t xml:space="preserve">Umbral de esfuerzo "razonable" (% del ingreso bruto)</t>
  </si>
  <si>
    <t xml:space="preserve">Convención habitual, no una norma</t>
  </si>
  <si>
    <t xml:space="preserve">SMI anual 2026 (€, 14 pagas, RD 126/2026)</t>
  </si>
  <si>
    <t xml:space="preserve">1.221 €/mes × 14</t>
  </si>
  <si>
    <t xml:space="preserve">Alquiler €/m² (Idealista sep-2026)</t>
  </si>
  <si>
    <t xml:space="preserve">Alquiler mensual del piso (€)</t>
  </si>
  <si>
    <t xml:space="preserve">Salario bruto anual mediano 2024 (€, INE EES)</t>
  </si>
  <si>
    <t xml:space="preserve">Salario bruto mensual mediano (÷12, €)</t>
  </si>
  <si>
    <t xml:space="preserve">Alquiler ÷ salario mediano mensual (%)</t>
  </si>
  <si>
    <t xml:space="preserve">Salario mensual bruto necesario para el umbral (€)</t>
  </si>
  <si>
    <t xml:space="preserve">Alquiler ÷ SMI mensual (÷12) (%)</t>
  </si>
  <si>
    <t xml:space="preserve">ranking esfuerzo (1 = mayor)</t>
  </si>
  <si>
    <t xml:space="preserve">Limitaciones: salario bruto (no neto) e individual (no del hogar, que suele tener más de un ingreso); el alquiler es el de ANUNCIOS (precio de oferta, normalmente superior al de contratos antiguos); se divide el salario anual entre 12 aunque muchos convenios reparten en 14 pagas; Ceuta y Melilla sin salario en la tabla de la EES. Sirve para comparar territorios, no como tasa de esfuerzo oficial.</t>
  </si>
  <si>
    <t xml:space="preserve">Tema</t>
  </si>
  <si>
    <t xml:space="preserve">Organismo</t>
  </si>
  <si>
    <t xml:space="preserve">Tabla / identificador</t>
  </si>
  <si>
    <t xml:space="preserve">URL (API o página)</t>
  </si>
  <si>
    <t xml:space="preserve">Fecha de consulta</t>
  </si>
  <si>
    <t xml:space="preserve">Observaciones</t>
  </si>
  <si>
    <t xml:space="preserve">IPV anual</t>
  </si>
  <si>
    <t xml:space="preserve">INE</t>
  </si>
  <si>
    <t xml:space="preserve">Tabla 80271</t>
  </si>
  <si>
    <t xml:space="preserve">https://servicios.ine.es/wstempus/js/ES/DATOS_TABLA/80271?nult=25&amp;tv=70:9009&amp;tip=A</t>
  </si>
  <si>
    <t xml:space="preserve">Madrid y Total Nacional; 2007–2025</t>
  </si>
  <si>
    <t xml:space="preserve">2026-10-21</t>
  </si>
  <si>
    <t xml:space="preserve">Variante nacional con tv=349:16473.</t>
  </si>
  <si>
    <t xml:space="preserve">IPV trimestral</t>
  </si>
  <si>
    <t xml:space="preserve">Tabla 80270</t>
  </si>
  <si>
    <t xml:space="preserve">https://servicios.ine.es/wstempus/js/ES/DATOS_TABLA/80270?nult=12&amp;tv=70:9009&amp;tip=A</t>
  </si>
  <si>
    <t xml:space="preserve">Boletín de vivienda de Madrid</t>
  </si>
  <si>
    <t xml:space="preserve">Comunidad de Madrid (iEstadis)</t>
  </si>
  <si>
    <t xml:space="preserve">Boletín trimestral de la vivienda, 2T 2026</t>
  </si>
  <si>
    <t xml:space="preserve">https://gestiona3.madrid.org/iestadis/fijas/coyuntu/otros/descarga/btv2t26.pdf</t>
  </si>
  <si>
    <t xml:space="preserve">Madrid y España</t>
  </si>
  <si>
    <t xml:space="preserve">Reúne datos de Ministerio de Vivienda, INE y Colegios de Arquitectos.</t>
  </si>
  <si>
    <t xml:space="preserve">IPVA</t>
  </si>
  <si>
    <t xml:space="preserve">Tabla 59056</t>
  </si>
  <si>
    <t xml:space="preserve">https://servicios.ine.es/wstempus/js/ES/DATOS_TABLA/59056?nult=12&amp;tv=70:9009&amp;tip=A</t>
  </si>
  <si>
    <t xml:space="preserve">Índices también por provincia (59058), municipio (59060) y distrito (59061); no descargados.</t>
  </si>
  <si>
    <t xml:space="preserve">IRAV</t>
  </si>
  <si>
    <t xml:space="preserve">Tabla 72975</t>
  </si>
  <si>
    <t xml:space="preserve">https://servicios.ine.es/wstempus/js/ES/DATOS_TABLA/72975?nult=10</t>
  </si>
  <si>
    <t xml:space="preserve">SERPAVI CCAA 2022</t>
  </si>
  <si>
    <t xml:space="preserve">Ministerio de Vivienda y Agenda Urbana</t>
  </si>
  <si>
    <t xml:space="preserve">Tablas resumen CCAA (26/02/2024)</t>
  </si>
  <si>
    <t xml:space="preserve">https://cdn.mivau.gob.es/portal-web-mivau/vivienda/serpavi/2024-02-26_tablas_resumen_sistema-estatal-alquiler_ccaa.pdf</t>
  </si>
  <si>
    <t xml:space="preserve">El PDF de municipios (147 páginas) no devolvió las páginas de Madrid.</t>
  </si>
  <si>
    <t xml:space="preserve">SERPAVI 2011–2024 (pendiente)</t>
  </si>
  <si>
    <t xml:space="preserve">Base de datos completa (xlsx, 67,8 MB)</t>
  </si>
  <si>
    <t xml:space="preserve">https://cdn.mivau.gob.es/portal-web-mivau/vivienda/serpavi/2026-03_09_bd_SERPAVI_2011-2024%20-%20DEFINITIVO%20WEB_v2.xlsx</t>
  </si>
  <si>
    <t xml:space="preserve">2011–2024; CCAA, provincia, municipio, distrito</t>
  </si>
  <si>
    <t xml:space="preserve">No descargada: acceso de red bloqueado desde el entorno de trabajo. Página: https://www.mivau.gob.es/vivienda/alquila-bien-es-tu-derecho/serpavi</t>
  </si>
  <si>
    <t xml:space="preserve">Idealista, alquiler (nacional y CCAA)</t>
  </si>
  <si>
    <t xml:space="preserve">Idealista (sala de prensa)</t>
  </si>
  <si>
    <t xml:space="preserve">Informe de precios de alquiler</t>
  </si>
  <si>
    <t xml:space="preserve">https://www.idealista.com/sala-de-prensa/informes-precio-vivienda/alquiler/</t>
  </si>
  <si>
    <t xml:space="preserve">España y 18 CCAA; sep-2026 y 12 meses</t>
  </si>
  <si>
    <t xml:space="preserve">Precios de oferta. Páginas por CCAA con el mismo patrón (…/alquiler/andalucia/, …/cataluna/, …).</t>
  </si>
  <si>
    <t xml:space="preserve">Idealista, venta (nacional y CCAA)</t>
  </si>
  <si>
    <t xml:space="preserve">Informe de precios de venta</t>
  </si>
  <si>
    <t xml:space="preserve">https://www.idealista.com/sala-de-prensa/informes-precio-vivienda/venta/</t>
  </si>
  <si>
    <t xml:space="preserve">España y 19 CCAA; sep-2026 y 12 meses</t>
  </si>
  <si>
    <t xml:space="preserve">Precios de oferta. Metodología actualizada en julio de 2026.</t>
  </si>
  <si>
    <t xml:space="preserve">Idealista, Madrid provincia (municipios)</t>
  </si>
  <si>
    <t xml:space="preserve">Informe Madrid provincia</t>
  </si>
  <si>
    <t xml:space="preserve">https://www.idealista.com/sala-de-prensa/informes-precio-vivienda/alquiler/madrid-comunidad/madrid-provincia/</t>
  </si>
  <si>
    <t xml:space="preserve">municipios; sep-2026</t>
  </si>
  <si>
    <t xml:space="preserve">Venta: …/venta/madrid-comunidad/madrid-provincia/</t>
  </si>
  <si>
    <t xml:space="preserve">Idealista, Madrid ciudad (distritos)</t>
  </si>
  <si>
    <t xml:space="preserve">Informe Madrid capital</t>
  </si>
  <si>
    <t xml:space="preserve">https://www.idealista.com/sala-de-prensa/informes-precio-vivienda/alquiler/madrid-comunidad/madrid-provincia/madrid/</t>
  </si>
  <si>
    <t xml:space="preserve">21 distritos; sep-2026 y 12 meses</t>
  </si>
  <si>
    <t xml:space="preserve">Venta: …/venta/madrid-comunidad/madrid-provincia/madrid/</t>
  </si>
  <si>
    <t xml:space="preserve">Salarios (para el esfuerzo de alquiler)</t>
  </si>
  <si>
    <t xml:space="preserve">EES tabla 28191</t>
  </si>
  <si>
    <t xml:space="preserve">https://servicios.ine.es/wstempus/js/ES/DATOS_TABLA/28191?nult=17&amp;tip=A</t>
  </si>
  <si>
    <t xml:space="preserve">Dato fijo copiado a Esfuerzo_Alquiler_Madrid_2022.</t>
  </si>
</sst>
</file>

<file path=xl/styles.xml><?xml version="1.0" encoding="utf-8"?>
<styleSheet xmlns="http://schemas.openxmlformats.org/spreadsheetml/2006/main">
  <numFmts count="8">
    <numFmt numFmtId="164" formatCode="General"/>
    <numFmt numFmtId="165" formatCode="0.0"/>
    <numFmt numFmtId="166" formatCode="#,##0"/>
    <numFmt numFmtId="167" formatCode="0.00"/>
    <numFmt numFmtId="168" formatCode="0.000"/>
    <numFmt numFmtId="169" formatCode="#,##0.0"/>
    <numFmt numFmtId="170" formatCode="0"/>
    <numFmt numFmtId="171" formatCode="#,##0.00"/>
  </numFmts>
  <fonts count="12">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b val="true"/>
      <sz val="10"/>
      <name val="Arial"/>
      <family val="0"/>
      <charset val="1"/>
    </font>
    <font>
      <sz val="10"/>
      <name val="Arial"/>
      <family val="0"/>
      <charset val="1"/>
    </font>
    <font>
      <b val="true"/>
      <sz val="10"/>
      <color rgb="FFFFFFFF"/>
      <name val="Arial"/>
      <family val="0"/>
      <charset val="1"/>
    </font>
    <font>
      <sz val="10"/>
      <color rgb="FF0000FF"/>
      <name val="Arial"/>
      <family val="0"/>
      <charset val="1"/>
    </font>
    <font>
      <sz val="10"/>
      <color rgb="FF000000"/>
      <name val="Arial"/>
      <family val="0"/>
      <charset val="1"/>
    </font>
    <font>
      <sz val="10"/>
      <color rgb="FF008000"/>
      <name val="Arial"/>
      <family val="0"/>
      <charset val="1"/>
    </font>
    <font>
      <i val="true"/>
      <sz val="10"/>
      <color rgb="FF595959"/>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CE4D6"/>
        <bgColor rgb="FFFFF2CC"/>
      </patternFill>
    </fill>
    <fill>
      <patternFill patternType="solid">
        <fgColor rgb="FFFFF2CC"/>
        <bgColor rgb="FFFCE4D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70" fontId="9" fillId="0" borderId="0" xfId="0" applyFont="true" applyBorder="false" applyAlignment="false" applyProtection="false">
      <alignment horizontal="general" vertical="bottom" textRotation="0" wrapText="false" indent="0" shrinkToFit="false"/>
      <protection locked="true" hidden="false"/>
    </xf>
    <xf numFmtId="171" fontId="8" fillId="0" borderId="0" xfId="0" applyFont="true" applyBorder="false" applyAlignment="false" applyProtection="false">
      <alignment horizontal="general" vertical="bottom" textRotation="0" wrapText="false" indent="0" shrinkToFit="false"/>
      <protection locked="true" hidden="false"/>
    </xf>
    <xf numFmtId="165" fontId="9" fillId="4"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7" fontId="9" fillId="4" borderId="0" xfId="0" applyFont="true" applyBorder="false" applyAlignment="false" applyProtection="false">
      <alignment horizontal="general" vertical="bottom" textRotation="0" wrapText="false" indent="0" shrinkToFit="false"/>
      <protection locked="true" hidden="false"/>
    </xf>
    <xf numFmtId="166" fontId="9" fillId="4"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80"/>
    <col collapsed="false" customWidth="true" hidden="false" outlineLevel="0" max="3" min="3" style="0" width="40"/>
  </cols>
  <sheetData>
    <row r="1" customFormat="false" ht="17.35" hidden="false" customHeight="false" outlineLevel="0" collapsed="false">
      <c r="A1" s="1" t="s">
        <v>0</v>
      </c>
    </row>
    <row r="3" customFormat="false" ht="15" hidden="false" customHeight="false" outlineLevel="0" collapsed="false">
      <c r="A3" s="2" t="s">
        <v>1</v>
      </c>
    </row>
    <row r="4" customFormat="false" ht="45" hidden="false" customHeight="true" outlineLevel="0" collapsed="false">
      <c r="A4" s="3" t="s">
        <v>2</v>
      </c>
      <c r="B4" s="3"/>
      <c r="C4" s="3"/>
    </row>
    <row r="5" customFormat="false" ht="30" hidden="false" customHeight="true" outlineLevel="0" collapsed="false">
      <c r="A5" s="3" t="s">
        <v>3</v>
      </c>
      <c r="B5" s="3"/>
      <c r="C5" s="3"/>
    </row>
    <row r="7" customFormat="false" ht="15" hidden="false" customHeight="false" outlineLevel="0" collapsed="false">
      <c r="A7" s="2" t="s">
        <v>4</v>
      </c>
    </row>
    <row r="8" customFormat="false" ht="15" hidden="false" customHeight="false" outlineLevel="0" collapsed="false">
      <c r="A8" s="4" t="s">
        <v>5</v>
      </c>
      <c r="B8" s="4" t="s">
        <v>6</v>
      </c>
      <c r="C8" s="4" t="s">
        <v>7</v>
      </c>
    </row>
    <row r="9" customFormat="false" ht="15" hidden="false" customHeight="true" outlineLevel="0" collapsed="false">
      <c r="A9" s="2" t="s">
        <v>8</v>
      </c>
      <c r="B9" s="5" t="s">
        <v>9</v>
      </c>
      <c r="C9" s="5" t="s">
        <v>10</v>
      </c>
    </row>
    <row r="10" customFormat="false" ht="30" hidden="false" customHeight="true" outlineLevel="0" collapsed="false">
      <c r="A10" s="2" t="s">
        <v>11</v>
      </c>
      <c r="B10" s="5" t="s">
        <v>12</v>
      </c>
      <c r="C10" s="5" t="s">
        <v>13</v>
      </c>
    </row>
    <row r="11" customFormat="false" ht="30" hidden="false" customHeight="true" outlineLevel="0" collapsed="false">
      <c r="A11" s="2" t="s">
        <v>14</v>
      </c>
      <c r="B11" s="5" t="s">
        <v>15</v>
      </c>
      <c r="C11" s="5" t="s">
        <v>13</v>
      </c>
    </row>
    <row r="12" customFormat="false" ht="15" hidden="false" customHeight="true" outlineLevel="0" collapsed="false">
      <c r="A12" s="2" t="s">
        <v>16</v>
      </c>
      <c r="B12" s="5" t="s">
        <v>17</v>
      </c>
      <c r="C12" s="5" t="s">
        <v>18</v>
      </c>
    </row>
    <row r="13" customFormat="false" ht="30" hidden="false" customHeight="true" outlineLevel="0" collapsed="false">
      <c r="A13" s="2" t="s">
        <v>19</v>
      </c>
      <c r="B13" s="5" t="s">
        <v>20</v>
      </c>
      <c r="C13" s="5" t="s">
        <v>21</v>
      </c>
    </row>
    <row r="14" customFormat="false" ht="15" hidden="false" customHeight="true" outlineLevel="0" collapsed="false">
      <c r="A14" s="2" t="s">
        <v>22</v>
      </c>
      <c r="B14" s="5" t="s">
        <v>23</v>
      </c>
      <c r="C14" s="5" t="s">
        <v>24</v>
      </c>
    </row>
    <row r="15" customFormat="false" ht="15" hidden="false" customHeight="true" outlineLevel="0" collapsed="false">
      <c r="A15" s="2" t="s">
        <v>25</v>
      </c>
      <c r="B15" s="5" t="s">
        <v>26</v>
      </c>
      <c r="C15" s="5" t="s">
        <v>27</v>
      </c>
    </row>
    <row r="16" customFormat="false" ht="30" hidden="false" customHeight="true" outlineLevel="0" collapsed="false">
      <c r="A16" s="2" t="s">
        <v>28</v>
      </c>
      <c r="B16" s="5" t="s">
        <v>29</v>
      </c>
      <c r="C16" s="5" t="s">
        <v>30</v>
      </c>
    </row>
    <row r="17" customFormat="false" ht="15" hidden="false" customHeight="true" outlineLevel="0" collapsed="false">
      <c r="A17" s="2" t="s">
        <v>31</v>
      </c>
      <c r="B17" s="5" t="s">
        <v>32</v>
      </c>
      <c r="C17" s="5" t="s">
        <v>30</v>
      </c>
    </row>
    <row r="18" customFormat="false" ht="30" hidden="false" customHeight="true" outlineLevel="0" collapsed="false">
      <c r="A18" s="2" t="s">
        <v>33</v>
      </c>
      <c r="B18" s="5" t="s">
        <v>34</v>
      </c>
      <c r="C18" s="5" t="s">
        <v>35</v>
      </c>
    </row>
    <row r="19" customFormat="false" ht="15" hidden="false" customHeight="true" outlineLevel="0" collapsed="false">
      <c r="A19" s="2" t="s">
        <v>36</v>
      </c>
      <c r="B19" s="5" t="s">
        <v>37</v>
      </c>
      <c r="C19" s="5" t="s">
        <v>35</v>
      </c>
    </row>
    <row r="20" customFormat="false" ht="30" hidden="false" customHeight="true" outlineLevel="0" collapsed="false">
      <c r="A20" s="2" t="s">
        <v>38</v>
      </c>
      <c r="B20" s="5" t="s">
        <v>39</v>
      </c>
      <c r="C20" s="5" t="s">
        <v>35</v>
      </c>
    </row>
    <row r="21" customFormat="false" ht="30" hidden="false" customHeight="true" outlineLevel="0" collapsed="false">
      <c r="A21" s="2" t="s">
        <v>40</v>
      </c>
      <c r="B21" s="5" t="s">
        <v>41</v>
      </c>
      <c r="C21" s="5" t="s">
        <v>35</v>
      </c>
    </row>
    <row r="22" customFormat="false" ht="30" hidden="false" customHeight="true" outlineLevel="0" collapsed="false">
      <c r="A22" s="2" t="s">
        <v>42</v>
      </c>
      <c r="B22" s="5" t="s">
        <v>43</v>
      </c>
      <c r="C22" s="5" t="s">
        <v>44</v>
      </c>
    </row>
    <row r="23" customFormat="false" ht="30" hidden="false" customHeight="true" outlineLevel="0" collapsed="false">
      <c r="A23" s="2" t="s">
        <v>45</v>
      </c>
      <c r="B23" s="5" t="s">
        <v>46</v>
      </c>
      <c r="C23" s="5" t="s">
        <v>47</v>
      </c>
    </row>
    <row r="24" customFormat="false" ht="15" hidden="false" customHeight="true" outlineLevel="0" collapsed="false">
      <c r="A24" s="2" t="s">
        <v>48</v>
      </c>
      <c r="B24" s="5" t="s">
        <v>49</v>
      </c>
      <c r="C24" s="5"/>
    </row>
    <row r="26" customFormat="false" ht="15" hidden="false" customHeight="false" outlineLevel="0" collapsed="false">
      <c r="A26" s="2" t="s">
        <v>50</v>
      </c>
    </row>
    <row r="27" customFormat="false" ht="30" hidden="false" customHeight="true" outlineLevel="0" collapsed="false">
      <c r="A27" s="3" t="s">
        <v>51</v>
      </c>
      <c r="B27" s="3"/>
      <c r="C27" s="3"/>
    </row>
    <row r="28" customFormat="false" ht="30" hidden="false" customHeight="true" outlineLevel="0" collapsed="false">
      <c r="A28" s="3" t="s">
        <v>52</v>
      </c>
      <c r="B28" s="3"/>
      <c r="C28" s="3"/>
    </row>
    <row r="29" customFormat="false" ht="45" hidden="false" customHeight="true" outlineLevel="0" collapsed="false">
      <c r="A29" s="3" t="s">
        <v>53</v>
      </c>
      <c r="B29" s="3"/>
      <c r="C29" s="3"/>
    </row>
    <row r="30" customFormat="false" ht="60" hidden="false" customHeight="true" outlineLevel="0" collapsed="false">
      <c r="A30" s="3" t="s">
        <v>54</v>
      </c>
      <c r="B30" s="3"/>
      <c r="C30" s="3"/>
    </row>
    <row r="31" customFormat="false" ht="60" hidden="false" customHeight="true" outlineLevel="0" collapsed="false">
      <c r="A31" s="3" t="s">
        <v>55</v>
      </c>
      <c r="B31" s="3"/>
      <c r="C31" s="3"/>
    </row>
    <row r="32" customFormat="false" ht="45" hidden="false" customHeight="true" outlineLevel="0" collapsed="false">
      <c r="A32" s="3" t="s">
        <v>56</v>
      </c>
      <c r="B32" s="3"/>
      <c r="C32" s="3"/>
    </row>
    <row r="33" customFormat="false" ht="15" hidden="false" customHeight="true" outlineLevel="0" collapsed="false">
      <c r="A33" s="3" t="s">
        <v>57</v>
      </c>
      <c r="B33" s="3"/>
      <c r="C33" s="3"/>
    </row>
    <row r="35" customFormat="false" ht="15" hidden="false" customHeight="false" outlineLevel="0" collapsed="false">
      <c r="A35" s="2" t="s">
        <v>58</v>
      </c>
    </row>
    <row r="36" customFormat="false" ht="15" hidden="false" customHeight="false" outlineLevel="0" collapsed="false">
      <c r="A36" s="6" t="s">
        <v>59</v>
      </c>
    </row>
    <row r="37" customFormat="false" ht="15" hidden="false" customHeight="false" outlineLevel="0" collapsed="false">
      <c r="A37" s="7" t="s">
        <v>60</v>
      </c>
    </row>
    <row r="38" customFormat="false" ht="15" hidden="false" customHeight="false" outlineLevel="0" collapsed="false">
      <c r="A38" s="8" t="s">
        <v>61</v>
      </c>
    </row>
    <row r="39" customFormat="false" ht="15" hidden="false" customHeight="false" outlineLevel="0" collapsed="false">
      <c r="A39" s="9" t="s">
        <v>62</v>
      </c>
    </row>
    <row r="40" customFormat="false" ht="15" hidden="false" customHeight="false" outlineLevel="0" collapsed="false">
      <c r="A40" s="10" t="s">
        <v>63</v>
      </c>
    </row>
  </sheetData>
  <mergeCells count="9">
    <mergeCell ref="A4:C4"/>
    <mergeCell ref="A5:C5"/>
    <mergeCell ref="A27:C27"/>
    <mergeCell ref="A28:C28"/>
    <mergeCell ref="A29:C29"/>
    <mergeCell ref="A30:C30"/>
    <mergeCell ref="A31:C31"/>
    <mergeCell ref="A32:C32"/>
    <mergeCell ref="A33:C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2"/>
    <col collapsed="false" customWidth="true" hidden="false" outlineLevel="0" max="4" min="3" style="0" width="14"/>
    <col collapsed="false" customWidth="true" hidden="false" outlineLevel="0" max="6" min="5" style="0" width="16"/>
    <col collapsed="false" customWidth="true" hidden="false" outlineLevel="0" max="7" min="7" style="0" width="62"/>
  </cols>
  <sheetData>
    <row r="1" customFormat="false" ht="17.35" hidden="false" customHeight="false" outlineLevel="0" collapsed="false">
      <c r="A1" s="1" t="s">
        <v>64</v>
      </c>
    </row>
    <row r="2" customFormat="false" ht="15" hidden="false" customHeight="false" outlineLevel="0" collapsed="false">
      <c r="A2" s="11" t="s">
        <v>65</v>
      </c>
    </row>
    <row r="4" customFormat="false" ht="15" hidden="false" customHeight="false" outlineLevel="0" collapsed="false">
      <c r="A4" s="4" t="s">
        <v>66</v>
      </c>
      <c r="B4" s="4" t="s">
        <v>67</v>
      </c>
      <c r="C4" s="4" t="s">
        <v>68</v>
      </c>
      <c r="D4" s="4" t="s">
        <v>69</v>
      </c>
      <c r="E4" s="4" t="s">
        <v>70</v>
      </c>
      <c r="F4" s="4" t="s">
        <v>71</v>
      </c>
      <c r="G4" s="4" t="s">
        <v>72</v>
      </c>
    </row>
    <row r="5" customFormat="false" ht="15" hidden="false" customHeight="false" outlineLevel="0" collapsed="false">
      <c r="A5" s="12" t="s">
        <v>73</v>
      </c>
      <c r="B5" s="12" t="s">
        <v>74</v>
      </c>
      <c r="C5" s="13" t="n">
        <f aca="false">IPV_Trimestral!N16</f>
        <v>12.2</v>
      </c>
      <c r="D5" s="13" t="n">
        <f aca="false">IPV_Trimestral!N4</f>
        <v>12.9</v>
      </c>
      <c r="E5" s="14" t="n">
        <f aca="false">D5-C5</f>
        <v>0.700000000000001</v>
      </c>
      <c r="G5" s="11" t="s">
        <v>75</v>
      </c>
    </row>
    <row r="6" customFormat="false" ht="15" hidden="false" customHeight="false" outlineLevel="0" collapsed="false">
      <c r="A6" s="12" t="s">
        <v>76</v>
      </c>
      <c r="B6" s="12" t="s">
        <v>74</v>
      </c>
      <c r="C6" s="13" t="n">
        <f aca="false">IPV_Trimestral!N24</f>
        <v>12.9</v>
      </c>
      <c r="D6" s="13" t="n">
        <f aca="false">IPV_Trimestral!N12</f>
        <v>14.1</v>
      </c>
      <c r="E6" s="14" t="n">
        <f aca="false">D6-C6</f>
        <v>1.2</v>
      </c>
      <c r="G6" s="11" t="s">
        <v>16</v>
      </c>
    </row>
    <row r="7" customFormat="false" ht="15" hidden="false" customHeight="false" outlineLevel="0" collapsed="false">
      <c r="A7" s="12" t="s">
        <v>77</v>
      </c>
      <c r="B7" s="12" t="s">
        <v>74</v>
      </c>
      <c r="C7" s="13" t="n">
        <f aca="false">IPV_Trimestral!N20</f>
        <v>7.4</v>
      </c>
      <c r="D7" s="13" t="n">
        <f aca="false">IPV_Trimestral!N8</f>
        <v>5.6</v>
      </c>
      <c r="E7" s="14" t="n">
        <f aca="false">D7-C7</f>
        <v>-1.8</v>
      </c>
      <c r="G7" s="11" t="s">
        <v>16</v>
      </c>
    </row>
    <row r="8" customFormat="false" ht="15" hidden="false" customHeight="false" outlineLevel="0" collapsed="false">
      <c r="A8" s="12" t="s">
        <v>78</v>
      </c>
      <c r="B8" s="12" t="s">
        <v>79</v>
      </c>
      <c r="C8" s="13" t="n">
        <f aca="false">IPV_Indicadores!B9</f>
        <v>86.88444934497</v>
      </c>
      <c r="D8" s="13" t="n">
        <f aca="false">IPV_Indicadores!C9</f>
        <v>116.328473153636</v>
      </c>
      <c r="E8" s="14" t="n">
        <f aca="false">D8-C8</f>
        <v>29.4440238086665</v>
      </c>
      <c r="G8" s="11" t="s">
        <v>14</v>
      </c>
    </row>
    <row r="9" customFormat="false" ht="15" hidden="false" customHeight="false" outlineLevel="0" collapsed="false">
      <c r="A9" s="12" t="s">
        <v>80</v>
      </c>
      <c r="B9" s="12" t="s">
        <v>79</v>
      </c>
      <c r="C9" s="13" t="n">
        <f aca="false">IPV_Indicadores!B8</f>
        <v>20.2573507305634</v>
      </c>
      <c r="D9" s="13" t="n">
        <f aca="false">IPV_Indicadores!C8</f>
        <v>25.9081122596729</v>
      </c>
      <c r="E9" s="14" t="n">
        <f aca="false">D9-C9</f>
        <v>5.65076152910948</v>
      </c>
      <c r="G9" s="11" t="s">
        <v>14</v>
      </c>
    </row>
    <row r="10" customFormat="false" ht="15" hidden="false" customHeight="false" outlineLevel="0" collapsed="false">
      <c r="A10" s="12" t="s">
        <v>81</v>
      </c>
      <c r="B10" s="12" t="s">
        <v>82</v>
      </c>
      <c r="C10" s="15" t="n">
        <f aca="false">Mercado_Madrid_2T2026!F2</f>
        <v>2315.7</v>
      </c>
      <c r="D10" s="15" t="n">
        <f aca="false">Mercado_Madrid_2T2026!D2</f>
        <v>4048</v>
      </c>
      <c r="E10" s="16" t="n">
        <f aca="false">D10-C10</f>
        <v>1732.3</v>
      </c>
      <c r="F10" s="17" t="n">
        <f aca="false">D10/C10</f>
        <v>1.7480675389731</v>
      </c>
      <c r="G10" s="11" t="s">
        <v>83</v>
      </c>
    </row>
    <row r="11" customFormat="false" ht="15" hidden="false" customHeight="false" outlineLevel="0" collapsed="false">
      <c r="A11" s="12" t="s">
        <v>84</v>
      </c>
      <c r="B11" s="12" t="s">
        <v>82</v>
      </c>
      <c r="C11" s="13" t="n">
        <f aca="false">Mercado_Madrid_2T2026!G2</f>
        <v>13.9</v>
      </c>
      <c r="D11" s="13" t="n">
        <f aca="false">Mercado_Madrid_2T2026!E2</f>
        <v>16.4</v>
      </c>
      <c r="E11" s="14" t="n">
        <f aca="false">D11-C11</f>
        <v>2.5</v>
      </c>
      <c r="G11" s="11"/>
    </row>
    <row r="12" customFormat="false" ht="15" hidden="false" customHeight="false" outlineLevel="0" collapsed="false">
      <c r="A12" s="12" t="s">
        <v>85</v>
      </c>
      <c r="B12" s="12" t="s">
        <v>82</v>
      </c>
      <c r="C12" s="15" t="n">
        <f aca="false">Mercado_Madrid_2T2026!F16</f>
        <v>221746.2</v>
      </c>
      <c r="D12" s="15" t="n">
        <f aca="false">Mercado_Madrid_2T2026!D16</f>
        <v>393857</v>
      </c>
      <c r="E12" s="16" t="n">
        <f aca="false">D12-C12</f>
        <v>172110.8</v>
      </c>
      <c r="F12" s="17" t="n">
        <f aca="false">D12/C12</f>
        <v>1.77616121493852</v>
      </c>
      <c r="G12" s="11" t="s">
        <v>86</v>
      </c>
    </row>
    <row r="13" customFormat="false" ht="15" hidden="false" customHeight="false" outlineLevel="0" collapsed="false">
      <c r="A13" s="12" t="s">
        <v>87</v>
      </c>
      <c r="B13" s="12" t="s">
        <v>88</v>
      </c>
      <c r="C13" s="15" t="n">
        <f aca="false">Mercado_Madrid_2T2026!F9</f>
        <v>56462</v>
      </c>
      <c r="D13" s="15" t="n">
        <f aca="false">Mercado_Madrid_2T2026!D9</f>
        <v>6194</v>
      </c>
      <c r="G13" s="11" t="s">
        <v>86</v>
      </c>
    </row>
    <row r="14" customFormat="false" ht="15" hidden="false" customHeight="false" outlineLevel="0" collapsed="false">
      <c r="A14" s="12" t="s">
        <v>89</v>
      </c>
      <c r="B14" s="12" t="s">
        <v>88</v>
      </c>
      <c r="C14" s="13" t="n">
        <f aca="false">Mercado_Madrid_2T2026!G9</f>
        <v>-7.3</v>
      </c>
      <c r="D14" s="13" t="n">
        <f aca="false">Mercado_Madrid_2T2026!E9</f>
        <v>-11.2</v>
      </c>
      <c r="E14" s="14" t="n">
        <f aca="false">D14-C14</f>
        <v>-3.9</v>
      </c>
      <c r="G14" s="11"/>
    </row>
    <row r="15" customFormat="false" ht="15" hidden="false" customHeight="false" outlineLevel="0" collapsed="false">
      <c r="A15" s="12" t="s">
        <v>90</v>
      </c>
      <c r="B15" s="12" t="s">
        <v>82</v>
      </c>
      <c r="C15" s="15" t="n">
        <f aca="false">Mercado_Madrid_2T2026!F27</f>
        <v>807.8</v>
      </c>
      <c r="D15" s="15" t="n">
        <f aca="false">Mercado_Madrid_2T2026!D27</f>
        <v>1277.4</v>
      </c>
      <c r="E15" s="16" t="n">
        <f aca="false">D15-C15</f>
        <v>469.6</v>
      </c>
      <c r="F15" s="17" t="n">
        <f aca="false">D15/C15</f>
        <v>1.58133201287447</v>
      </c>
      <c r="G15" s="11"/>
    </row>
    <row r="16" customFormat="false" ht="15" hidden="false" customHeight="false" outlineLevel="0" collapsed="false">
      <c r="A16" s="12" t="s">
        <v>91</v>
      </c>
      <c r="B16" s="12" t="s">
        <v>82</v>
      </c>
      <c r="C16" s="13" t="n">
        <f aca="false">Mercado_Madrid_2T2026!F28</f>
        <v>34</v>
      </c>
      <c r="D16" s="13" t="n">
        <f aca="false">Mercado_Madrid_2T2026!D28</f>
        <v>44</v>
      </c>
      <c r="E16" s="14" t="n">
        <f aca="false">D16-C16</f>
        <v>10</v>
      </c>
      <c r="G16" s="11"/>
    </row>
    <row r="17" customFormat="false" ht="15" hidden="false" customHeight="false" outlineLevel="0" collapsed="false">
      <c r="A17" s="12" t="s">
        <v>92</v>
      </c>
      <c r="B17" s="12" t="s">
        <v>30</v>
      </c>
      <c r="D17" s="13" t="n">
        <f aca="false">Alquiler_SERPAVI_2022!D14</f>
        <v>11.1</v>
      </c>
      <c r="G17" s="11" t="s">
        <v>93</v>
      </c>
    </row>
    <row r="18" customFormat="false" ht="15" hidden="false" customHeight="false" outlineLevel="0" collapsed="false">
      <c r="A18" s="12" t="s">
        <v>94</v>
      </c>
      <c r="B18" s="12" t="s">
        <v>30</v>
      </c>
      <c r="D18" s="15" t="n">
        <f aca="false">Alquiler_SERPAVI_2022!J14</f>
        <v>738</v>
      </c>
      <c r="G18" s="11" t="s">
        <v>95</v>
      </c>
    </row>
    <row r="19" customFormat="false" ht="15" hidden="false" customHeight="false" outlineLevel="0" collapsed="false">
      <c r="A19" s="12" t="s">
        <v>96</v>
      </c>
      <c r="B19" s="12" t="s">
        <v>97</v>
      </c>
      <c r="C19" s="13" t="n">
        <f aca="false">Alquiler_IPVA!O9</f>
        <v>3.5</v>
      </c>
      <c r="D19" s="13" t="n">
        <f aca="false">Alquiler_IPVA!O3</f>
        <v>3.4</v>
      </c>
      <c r="E19" s="14" t="n">
        <f aca="false">D19-C19</f>
        <v>-0.1</v>
      </c>
      <c r="G19" s="11" t="s">
        <v>98</v>
      </c>
    </row>
    <row r="20" customFormat="false" ht="15" hidden="false" customHeight="false" outlineLevel="0" collapsed="false">
      <c r="A20" s="12" t="s">
        <v>99</v>
      </c>
      <c r="B20" s="12" t="s">
        <v>97</v>
      </c>
      <c r="C20" s="13" t="n">
        <f aca="false">Alquiler_IPVA!C16</f>
        <v>22.92</v>
      </c>
      <c r="D20" s="13" t="n">
        <f aca="false">Alquiler_IPVA!B16</f>
        <v>22.246</v>
      </c>
      <c r="E20" s="14" t="n">
        <f aca="false">D20-C20</f>
        <v>-0.674000000000021</v>
      </c>
      <c r="G20" s="11"/>
    </row>
    <row r="21" customFormat="false" ht="15" hidden="false" customHeight="false" outlineLevel="0" collapsed="false">
      <c r="A21" s="12" t="s">
        <v>100</v>
      </c>
      <c r="B21" s="12" t="s">
        <v>35</v>
      </c>
      <c r="C21" s="18" t="n">
        <f aca="false">Alquiler_IRAV!B11</f>
        <v>2.54</v>
      </c>
      <c r="G21" s="11" t="s">
        <v>101</v>
      </c>
    </row>
    <row r="22" customFormat="false" ht="15" hidden="false" customHeight="false" outlineLevel="0" collapsed="false">
      <c r="A22" s="12" t="s">
        <v>102</v>
      </c>
      <c r="B22" s="12" t="s">
        <v>30</v>
      </c>
      <c r="D22" s="13" t="n">
        <f aca="false">Esfuerzo_Alquiler_Madrid_2022!B13</f>
        <v>35.1380186934577</v>
      </c>
      <c r="G22" s="11" t="s">
        <v>103</v>
      </c>
    </row>
    <row r="23" customFormat="false" ht="15" hidden="false" customHeight="false" outlineLevel="0" collapsed="false">
      <c r="A23" s="2" t="s">
        <v>104</v>
      </c>
    </row>
    <row r="24" customFormat="false" ht="15" hidden="false" customHeight="false" outlineLevel="0" collapsed="false">
      <c r="A24" s="12" t="s">
        <v>105</v>
      </c>
      <c r="B24" s="12" t="s">
        <v>35</v>
      </c>
      <c r="C24" s="13" t="n">
        <f aca="false">Idealista_CCAA!B2</f>
        <v>15.1</v>
      </c>
      <c r="D24" s="13" t="n">
        <f aca="false">Idealista_CCAA!B18</f>
        <v>21.6</v>
      </c>
      <c r="E24" s="14" t="n">
        <f aca="false">D24-C24</f>
        <v>6.5</v>
      </c>
      <c r="F24" s="17" t="n">
        <f aca="false">D24/C24</f>
        <v>1.43046357615894</v>
      </c>
      <c r="G24" s="11" t="s">
        <v>106</v>
      </c>
    </row>
    <row r="25" customFormat="false" ht="15" hidden="false" customHeight="false" outlineLevel="0" collapsed="false">
      <c r="A25" s="12" t="s">
        <v>107</v>
      </c>
      <c r="B25" s="12" t="s">
        <v>35</v>
      </c>
      <c r="C25" s="13" t="n">
        <f aca="false">Idealista_CCAA!E2</f>
        <v>5.6</v>
      </c>
      <c r="D25" s="13" t="n">
        <f aca="false">Idealista_CCAA!E18</f>
        <v>5.7</v>
      </c>
      <c r="E25" s="14" t="n">
        <f aca="false">D25-C25</f>
        <v>0.100000000000001</v>
      </c>
      <c r="G25" s="11" t="s">
        <v>33</v>
      </c>
    </row>
    <row r="26" customFormat="false" ht="15" hidden="false" customHeight="false" outlineLevel="0" collapsed="false">
      <c r="A26" s="12" t="s">
        <v>108</v>
      </c>
      <c r="B26" s="12" t="s">
        <v>35</v>
      </c>
      <c r="C26" s="15" t="n">
        <f aca="false">Idealista_CCAA!H2</f>
        <v>2930</v>
      </c>
      <c r="D26" s="15" t="n">
        <f aca="false">Idealista_CCAA!H18</f>
        <v>5065</v>
      </c>
      <c r="E26" s="16" t="n">
        <f aca="false">D26-C26</f>
        <v>2135</v>
      </c>
      <c r="F26" s="17" t="n">
        <f aca="false">D26/C26</f>
        <v>1.72866894197952</v>
      </c>
      <c r="G26" s="11" t="s">
        <v>109</v>
      </c>
    </row>
    <row r="27" customFormat="false" ht="15" hidden="false" customHeight="false" outlineLevel="0" collapsed="false">
      <c r="A27" s="12" t="s">
        <v>110</v>
      </c>
      <c r="B27" s="12" t="s">
        <v>35</v>
      </c>
      <c r="C27" s="13" t="n">
        <f aca="false">Idealista_CCAA!K2</f>
        <v>11.8</v>
      </c>
      <c r="D27" s="13" t="n">
        <f aca="false">Idealista_CCAA!K18</f>
        <v>6.9</v>
      </c>
      <c r="E27" s="14" t="n">
        <f aca="false">D27-C27</f>
        <v>-4.9</v>
      </c>
      <c r="G27" s="11" t="s">
        <v>33</v>
      </c>
    </row>
    <row r="28" customFormat="false" ht="15" hidden="false" customHeight="false" outlineLevel="0" collapsed="false">
      <c r="A28" s="12" t="s">
        <v>111</v>
      </c>
      <c r="B28" s="12" t="s">
        <v>35</v>
      </c>
      <c r="C28" s="18" t="n">
        <f aca="false">Idealista_CCAA!L2</f>
        <v>6.18430034129693</v>
      </c>
      <c r="D28" s="18" t="n">
        <f aca="false">Idealista_CCAA!L18</f>
        <v>5.11747285291214</v>
      </c>
      <c r="E28" s="17" t="n">
        <f aca="false">D28-C28</f>
        <v>-1.06682748838479</v>
      </c>
      <c r="G28" s="11" t="s">
        <v>112</v>
      </c>
    </row>
    <row r="29" customFormat="false" ht="15" hidden="false" customHeight="false" outlineLevel="0" collapsed="false">
      <c r="A29" s="12" t="s">
        <v>113</v>
      </c>
      <c r="B29" s="12" t="s">
        <v>35</v>
      </c>
      <c r="D29" s="13" t="n">
        <f aca="false">Idealista_Madrid_Distritos!B2</f>
        <v>23.4</v>
      </c>
      <c r="G29" s="11" t="s">
        <v>38</v>
      </c>
    </row>
    <row r="30" customFormat="false" ht="15" hidden="false" customHeight="false" outlineLevel="0" collapsed="false">
      <c r="A30" s="12" t="s">
        <v>114</v>
      </c>
      <c r="B30" s="12" t="s">
        <v>35</v>
      </c>
      <c r="D30" s="15" t="n">
        <f aca="false">Idealista_Madrid_Distritos!N2</f>
        <v>1638</v>
      </c>
      <c r="G30" s="11" t="s">
        <v>115</v>
      </c>
    </row>
    <row r="31" customFormat="false" ht="15" hidden="false" customHeight="false" outlineLevel="0" collapsed="false">
      <c r="A31" s="12" t="s">
        <v>116</v>
      </c>
      <c r="B31" s="12" t="s">
        <v>47</v>
      </c>
      <c r="C31" s="13" t="n">
        <f aca="false">Idealista_Esfuerzo!F9</f>
        <v>51.7774093905541</v>
      </c>
      <c r="D31" s="13" t="n">
        <f aca="false">Idealista_Esfuerzo!F24</f>
        <v>64.7127533414771</v>
      </c>
      <c r="E31" s="14" t="n">
        <f aca="false">D31-C31</f>
        <v>12.935343950923</v>
      </c>
      <c r="G31" s="11" t="s">
        <v>117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40"/>
    <col collapsed="false" customWidth="true" hidden="false" outlineLevel="0" max="3" min="3" style="0" width="14"/>
    <col collapsed="false" customWidth="true" hidden="false" outlineLevel="0" max="22" min="4" style="0" width="9"/>
  </cols>
  <sheetData>
    <row r="1" customFormat="false" ht="15" hidden="false" customHeight="false" outlineLevel="0" collapsed="false">
      <c r="A1" s="4" t="s">
        <v>118</v>
      </c>
      <c r="B1" s="4" t="s">
        <v>119</v>
      </c>
      <c r="C1" s="4" t="s">
        <v>120</v>
      </c>
      <c r="D1" s="4" t="s">
        <v>121</v>
      </c>
      <c r="E1" s="4" t="s">
        <v>122</v>
      </c>
      <c r="F1" s="4" t="s">
        <v>123</v>
      </c>
      <c r="G1" s="4" t="s">
        <v>124</v>
      </c>
      <c r="H1" s="4" t="s">
        <v>125</v>
      </c>
      <c r="I1" s="4" t="s">
        <v>126</v>
      </c>
      <c r="J1" s="4" t="s">
        <v>127</v>
      </c>
      <c r="K1" s="4" t="s">
        <v>128</v>
      </c>
      <c r="L1" s="4" t="s">
        <v>129</v>
      </c>
      <c r="M1" s="4" t="s">
        <v>130</v>
      </c>
      <c r="N1" s="4" t="s">
        <v>131</v>
      </c>
      <c r="O1" s="4" t="s">
        <v>132</v>
      </c>
      <c r="P1" s="4" t="s">
        <v>133</v>
      </c>
      <c r="Q1" s="4" t="s">
        <v>134</v>
      </c>
      <c r="R1" s="4" t="s">
        <v>135</v>
      </c>
      <c r="S1" s="4" t="s">
        <v>30</v>
      </c>
      <c r="T1" s="4" t="s">
        <v>136</v>
      </c>
      <c r="U1" s="4" t="s">
        <v>97</v>
      </c>
      <c r="V1" s="4" t="s">
        <v>79</v>
      </c>
    </row>
    <row r="2" customFormat="false" ht="15" hidden="false" customHeight="false" outlineLevel="0" collapsed="false">
      <c r="A2" s="12" t="s">
        <v>69</v>
      </c>
      <c r="B2" s="12" t="s">
        <v>137</v>
      </c>
      <c r="C2" s="12" t="s">
        <v>138</v>
      </c>
      <c r="D2" s="19" t="n">
        <v>79.423</v>
      </c>
      <c r="E2" s="19" t="n">
        <v>74.931</v>
      </c>
      <c r="F2" s="19" t="n">
        <v>67.172</v>
      </c>
      <c r="G2" s="19" t="n">
        <v>67.436</v>
      </c>
      <c r="H2" s="19" t="n">
        <v>61.579</v>
      </c>
      <c r="I2" s="19" t="n">
        <v>52.133</v>
      </c>
      <c r="J2" s="19" t="n">
        <v>46.226</v>
      </c>
      <c r="K2" s="19" t="n">
        <v>47.414</v>
      </c>
      <c r="L2" s="19" t="n">
        <v>50.135</v>
      </c>
      <c r="M2" s="19" t="n">
        <v>54.43</v>
      </c>
      <c r="N2" s="19" t="n">
        <v>60.665</v>
      </c>
      <c r="O2" s="19" t="n">
        <v>66.843</v>
      </c>
      <c r="P2" s="19" t="n">
        <v>70.762</v>
      </c>
      <c r="Q2" s="19" t="n">
        <v>71.974</v>
      </c>
      <c r="R2" s="19" t="n">
        <v>73.802</v>
      </c>
      <c r="S2" s="19" t="n">
        <v>78.829</v>
      </c>
      <c r="T2" s="19" t="n">
        <v>81.928</v>
      </c>
      <c r="U2" s="19" t="n">
        <v>88.214</v>
      </c>
      <c r="V2" s="19" t="n">
        <v>100</v>
      </c>
    </row>
    <row r="3" customFormat="false" ht="15" hidden="false" customHeight="false" outlineLevel="0" collapsed="false">
      <c r="A3" s="12" t="s">
        <v>69</v>
      </c>
      <c r="B3" s="12" t="s">
        <v>139</v>
      </c>
      <c r="C3" s="12" t="s">
        <v>138</v>
      </c>
      <c r="D3" s="19" t="n">
        <v>63.116</v>
      </c>
      <c r="E3" s="19" t="n">
        <v>63.326</v>
      </c>
      <c r="F3" s="19" t="n">
        <v>56.069</v>
      </c>
      <c r="G3" s="19" t="n">
        <v>56.838</v>
      </c>
      <c r="H3" s="19" t="n">
        <v>53.737</v>
      </c>
      <c r="I3" s="19" t="n">
        <v>46.278</v>
      </c>
      <c r="J3" s="19" t="n">
        <v>41.262</v>
      </c>
      <c r="K3" s="19" t="n">
        <v>43.02</v>
      </c>
      <c r="L3" s="19" t="n">
        <v>45.965</v>
      </c>
      <c r="M3" s="19" t="n">
        <v>50.109</v>
      </c>
      <c r="N3" s="19" t="n">
        <v>54.739</v>
      </c>
      <c r="O3" s="19" t="n">
        <v>58.216</v>
      </c>
      <c r="P3" s="19" t="n">
        <v>62.618</v>
      </c>
      <c r="Q3" s="19" t="n">
        <v>66.565</v>
      </c>
      <c r="R3" s="19" t="n">
        <v>70.086</v>
      </c>
      <c r="S3" s="19" t="n">
        <v>75.28</v>
      </c>
      <c r="T3" s="19" t="n">
        <v>81.443</v>
      </c>
      <c r="U3" s="19" t="n">
        <v>89.155</v>
      </c>
      <c r="V3" s="19" t="n">
        <v>100</v>
      </c>
    </row>
    <row r="4" customFormat="false" ht="15" hidden="false" customHeight="false" outlineLevel="0" collapsed="false">
      <c r="A4" s="12" t="s">
        <v>69</v>
      </c>
      <c r="B4" s="12" t="s">
        <v>140</v>
      </c>
      <c r="C4" s="12" t="s">
        <v>138</v>
      </c>
      <c r="D4" s="19" t="n">
        <v>88.724</v>
      </c>
      <c r="E4" s="19" t="n">
        <v>79.836</v>
      </c>
      <c r="F4" s="19" t="n">
        <v>72.413</v>
      </c>
      <c r="G4" s="19" t="n">
        <v>72.239</v>
      </c>
      <c r="H4" s="19" t="n">
        <v>64.528</v>
      </c>
      <c r="I4" s="19" t="n">
        <v>54.203</v>
      </c>
      <c r="J4" s="19" t="n">
        <v>47.856</v>
      </c>
      <c r="K4" s="19" t="n">
        <v>48.68</v>
      </c>
      <c r="L4" s="19" t="n">
        <v>51.356</v>
      </c>
      <c r="M4" s="19" t="n">
        <v>55.716</v>
      </c>
      <c r="N4" s="19" t="n">
        <v>62.299</v>
      </c>
      <c r="O4" s="19" t="n">
        <v>69.096</v>
      </c>
      <c r="P4" s="19" t="n">
        <v>72.907</v>
      </c>
      <c r="Q4" s="19" t="n">
        <v>73.405</v>
      </c>
      <c r="R4" s="19" t="n">
        <v>74.835</v>
      </c>
      <c r="S4" s="19" t="n">
        <v>79.798</v>
      </c>
      <c r="T4" s="19" t="n">
        <v>82.068</v>
      </c>
      <c r="U4" s="19" t="n">
        <v>87.995</v>
      </c>
      <c r="V4" s="19" t="n">
        <v>100</v>
      </c>
    </row>
    <row r="5" customFormat="false" ht="15" hidden="false" customHeight="false" outlineLevel="0" collapsed="false">
      <c r="A5" s="12" t="s">
        <v>69</v>
      </c>
      <c r="B5" s="12" t="s">
        <v>141</v>
      </c>
      <c r="C5" s="12" t="s">
        <v>142</v>
      </c>
      <c r="D5" s="19" t="n">
        <v>6.9</v>
      </c>
      <c r="E5" s="19" t="n">
        <v>-5.7</v>
      </c>
      <c r="F5" s="19" t="n">
        <v>-10.4</v>
      </c>
      <c r="G5" s="19" t="n">
        <v>0.4</v>
      </c>
      <c r="H5" s="19" t="n">
        <v>-8.7</v>
      </c>
      <c r="I5" s="19" t="n">
        <v>-15.3</v>
      </c>
      <c r="J5" s="19" t="n">
        <v>-11.3</v>
      </c>
      <c r="K5" s="19" t="n">
        <v>2.6</v>
      </c>
      <c r="L5" s="19" t="n">
        <v>5.7</v>
      </c>
      <c r="M5" s="19" t="n">
        <v>8.6</v>
      </c>
      <c r="N5" s="19" t="n">
        <v>11.5</v>
      </c>
      <c r="O5" s="19" t="n">
        <v>10.2</v>
      </c>
      <c r="P5" s="19" t="n">
        <v>5.9</v>
      </c>
      <c r="Q5" s="19" t="n">
        <v>1.7</v>
      </c>
      <c r="R5" s="19" t="n">
        <v>2.5</v>
      </c>
      <c r="S5" s="19" t="n">
        <v>6.8</v>
      </c>
      <c r="T5" s="19" t="n">
        <v>3.9</v>
      </c>
      <c r="U5" s="19" t="n">
        <v>7.7</v>
      </c>
      <c r="V5" s="19" t="n">
        <v>13.4</v>
      </c>
    </row>
    <row r="6" customFormat="false" ht="15" hidden="false" customHeight="false" outlineLevel="0" collapsed="false">
      <c r="A6" s="12" t="s">
        <v>69</v>
      </c>
      <c r="B6" s="12" t="s">
        <v>143</v>
      </c>
      <c r="C6" s="12" t="s">
        <v>142</v>
      </c>
      <c r="D6" s="19" t="n">
        <v>8.4</v>
      </c>
      <c r="E6" s="19" t="n">
        <v>0.3</v>
      </c>
      <c r="F6" s="19" t="n">
        <v>-11.5</v>
      </c>
      <c r="G6" s="19" t="n">
        <v>1.4</v>
      </c>
      <c r="H6" s="19" t="n">
        <v>-5.5</v>
      </c>
      <c r="I6" s="19" t="n">
        <v>-13.9</v>
      </c>
      <c r="J6" s="19" t="n">
        <v>-10.8</v>
      </c>
      <c r="K6" s="19" t="n">
        <v>4.3</v>
      </c>
      <c r="L6" s="19" t="n">
        <v>6.8</v>
      </c>
      <c r="M6" s="19" t="n">
        <v>9</v>
      </c>
      <c r="N6" s="19" t="n">
        <v>9.2</v>
      </c>
      <c r="O6" s="19" t="n">
        <v>6.4</v>
      </c>
      <c r="P6" s="19" t="n">
        <v>7.6</v>
      </c>
      <c r="Q6" s="19" t="n">
        <v>6.3</v>
      </c>
      <c r="R6" s="19" t="n">
        <v>5.3</v>
      </c>
      <c r="S6" s="19" t="n">
        <v>7.4</v>
      </c>
      <c r="T6" s="19" t="n">
        <v>8.2</v>
      </c>
      <c r="U6" s="19" t="n">
        <v>9.5</v>
      </c>
      <c r="V6" s="19" t="n">
        <v>12.2</v>
      </c>
    </row>
    <row r="7" customFormat="false" ht="15" hidden="false" customHeight="false" outlineLevel="0" collapsed="false">
      <c r="A7" s="12" t="s">
        <v>69</v>
      </c>
      <c r="B7" s="12" t="s">
        <v>144</v>
      </c>
      <c r="C7" s="12" t="s">
        <v>142</v>
      </c>
      <c r="D7" s="19" t="n">
        <v>5.9</v>
      </c>
      <c r="E7" s="19" t="n">
        <v>-10</v>
      </c>
      <c r="F7" s="19" t="n">
        <v>-9.3</v>
      </c>
      <c r="G7" s="19" t="n">
        <v>-0.2</v>
      </c>
      <c r="H7" s="19" t="n">
        <v>-10.7</v>
      </c>
      <c r="I7" s="19" t="n">
        <v>-16</v>
      </c>
      <c r="J7" s="19" t="n">
        <v>-11.7</v>
      </c>
      <c r="K7" s="19" t="n">
        <v>1.7</v>
      </c>
      <c r="L7" s="19" t="n">
        <v>5.5</v>
      </c>
      <c r="M7" s="19" t="n">
        <v>8.5</v>
      </c>
      <c r="N7" s="19" t="n">
        <v>11.8</v>
      </c>
      <c r="O7" s="19" t="n">
        <v>10.9</v>
      </c>
      <c r="P7" s="19" t="n">
        <v>5.5</v>
      </c>
      <c r="Q7" s="19" t="n">
        <v>0.7</v>
      </c>
      <c r="R7" s="19" t="n">
        <v>1.9</v>
      </c>
      <c r="S7" s="19" t="n">
        <v>6.6</v>
      </c>
      <c r="T7" s="19" t="n">
        <v>2.8</v>
      </c>
      <c r="U7" s="19" t="n">
        <v>7.2</v>
      </c>
      <c r="V7" s="19" t="n">
        <v>13.6</v>
      </c>
    </row>
    <row r="8" customFormat="false" ht="15" hidden="false" customHeight="false" outlineLevel="0" collapsed="false">
      <c r="A8" s="12" t="s">
        <v>145</v>
      </c>
      <c r="B8" s="12" t="s">
        <v>137</v>
      </c>
      <c r="C8" s="12" t="s">
        <v>138</v>
      </c>
      <c r="D8" s="19" t="n">
        <v>83.155</v>
      </c>
      <c r="E8" s="19" t="n">
        <v>81.897</v>
      </c>
      <c r="F8" s="19" t="n">
        <v>76.42</v>
      </c>
      <c r="G8" s="19" t="n">
        <v>74.898</v>
      </c>
      <c r="H8" s="19" t="n">
        <v>69.386</v>
      </c>
      <c r="I8" s="19" t="n">
        <v>59.853</v>
      </c>
      <c r="J8" s="19" t="n">
        <v>53.509</v>
      </c>
      <c r="K8" s="19" t="n">
        <v>53.669</v>
      </c>
      <c r="L8" s="19" t="n">
        <v>55.585</v>
      </c>
      <c r="M8" s="19" t="n">
        <v>58.177</v>
      </c>
      <c r="N8" s="19" t="n">
        <v>61.776</v>
      </c>
      <c r="O8" s="19" t="n">
        <v>65.921</v>
      </c>
      <c r="P8" s="19" t="n">
        <v>69.257</v>
      </c>
      <c r="Q8" s="19" t="n">
        <v>70.722</v>
      </c>
      <c r="R8" s="19" t="n">
        <v>73.332</v>
      </c>
      <c r="S8" s="19" t="n">
        <v>78.75</v>
      </c>
      <c r="T8" s="19" t="n">
        <v>81.867</v>
      </c>
      <c r="U8" s="19" t="n">
        <v>88.749</v>
      </c>
      <c r="V8" s="19" t="n">
        <v>100</v>
      </c>
    </row>
    <row r="9" customFormat="false" ht="15" hidden="false" customHeight="false" outlineLevel="0" collapsed="false">
      <c r="A9" s="12" t="s">
        <v>145</v>
      </c>
      <c r="B9" s="12" t="s">
        <v>139</v>
      </c>
      <c r="C9" s="12" t="s">
        <v>138</v>
      </c>
      <c r="D9" s="19" t="n">
        <v>63.288</v>
      </c>
      <c r="E9" s="19" t="n">
        <v>65.94</v>
      </c>
      <c r="F9" s="19" t="n">
        <v>63.213</v>
      </c>
      <c r="G9" s="19" t="n">
        <v>61.531</v>
      </c>
      <c r="H9" s="19" t="n">
        <v>58.351</v>
      </c>
      <c r="I9" s="19" t="n">
        <v>51.181</v>
      </c>
      <c r="J9" s="19" t="n">
        <v>45.85</v>
      </c>
      <c r="K9" s="19" t="n">
        <v>46.248</v>
      </c>
      <c r="L9" s="19" t="n">
        <v>48.438</v>
      </c>
      <c r="M9" s="19" t="n">
        <v>51.598</v>
      </c>
      <c r="N9" s="19" t="n">
        <v>54.659</v>
      </c>
      <c r="O9" s="19" t="n">
        <v>58.147</v>
      </c>
      <c r="P9" s="19" t="n">
        <v>62.403</v>
      </c>
      <c r="Q9" s="19" t="n">
        <v>66.457</v>
      </c>
      <c r="R9" s="19" t="n">
        <v>69.524</v>
      </c>
      <c r="S9" s="19" t="n">
        <v>75.032</v>
      </c>
      <c r="T9" s="19" t="n">
        <v>81.053</v>
      </c>
      <c r="U9" s="19" t="n">
        <v>89.851</v>
      </c>
      <c r="V9" s="19" t="n">
        <v>100</v>
      </c>
    </row>
    <row r="10" customFormat="false" ht="15" hidden="false" customHeight="false" outlineLevel="0" collapsed="false">
      <c r="A10" s="12" t="s">
        <v>145</v>
      </c>
      <c r="B10" s="12" t="s">
        <v>140</v>
      </c>
      <c r="C10" s="12" t="s">
        <v>138</v>
      </c>
      <c r="D10" s="19" t="n">
        <v>94.904</v>
      </c>
      <c r="E10" s="19" t="n">
        <v>88.988</v>
      </c>
      <c r="F10" s="19" t="n">
        <v>80.981</v>
      </c>
      <c r="G10" s="19" t="n">
        <v>80.013</v>
      </c>
      <c r="H10" s="19" t="n">
        <v>72.452</v>
      </c>
      <c r="I10" s="19" t="n">
        <v>61.699</v>
      </c>
      <c r="J10" s="19" t="n">
        <v>54.971</v>
      </c>
      <c r="K10" s="19" t="n">
        <v>55.021</v>
      </c>
      <c r="L10" s="19" t="n">
        <v>56.877</v>
      </c>
      <c r="M10" s="19" t="n">
        <v>59.361</v>
      </c>
      <c r="N10" s="19" t="n">
        <v>63.071</v>
      </c>
      <c r="O10" s="19" t="n">
        <v>67.334</v>
      </c>
      <c r="P10" s="19" t="n">
        <v>70.523</v>
      </c>
      <c r="Q10" s="19" t="n">
        <v>71.517</v>
      </c>
      <c r="R10" s="19" t="n">
        <v>74.079</v>
      </c>
      <c r="S10" s="19" t="n">
        <v>79.473</v>
      </c>
      <c r="T10" s="19" t="n">
        <v>82.011</v>
      </c>
      <c r="U10" s="19" t="n">
        <v>88.566</v>
      </c>
      <c r="V10" s="19" t="n">
        <v>100</v>
      </c>
    </row>
    <row r="11" customFormat="false" ht="15" hidden="false" customHeight="false" outlineLevel="0" collapsed="false">
      <c r="A11" s="12" t="s">
        <v>145</v>
      </c>
      <c r="B11" s="12" t="s">
        <v>141</v>
      </c>
      <c r="C11" s="12" t="s">
        <v>142</v>
      </c>
      <c r="D11" s="19" t="n">
        <v>9.8</v>
      </c>
      <c r="E11" s="19" t="n">
        <v>-1.5</v>
      </c>
      <c r="F11" s="19" t="n">
        <v>-6.7</v>
      </c>
      <c r="G11" s="19" t="n">
        <v>-2</v>
      </c>
      <c r="H11" s="19" t="n">
        <v>-7.4</v>
      </c>
      <c r="I11" s="19" t="n">
        <v>-13.7</v>
      </c>
      <c r="J11" s="19" t="n">
        <v>-10.6</v>
      </c>
      <c r="K11" s="19" t="n">
        <v>0.3</v>
      </c>
      <c r="L11" s="19" t="n">
        <v>3.6</v>
      </c>
      <c r="M11" s="19" t="n">
        <v>4.7</v>
      </c>
      <c r="N11" s="19" t="n">
        <v>6.2</v>
      </c>
      <c r="O11" s="19" t="n">
        <v>6.7</v>
      </c>
      <c r="P11" s="19" t="n">
        <v>5.1</v>
      </c>
      <c r="Q11" s="19" t="n">
        <v>2.1</v>
      </c>
      <c r="R11" s="19" t="n">
        <v>3.7</v>
      </c>
      <c r="S11" s="19" t="n">
        <v>7.4</v>
      </c>
      <c r="T11" s="19" t="n">
        <v>4</v>
      </c>
      <c r="U11" s="19" t="n">
        <v>8.4</v>
      </c>
      <c r="V11" s="19" t="n">
        <v>12.7</v>
      </c>
    </row>
    <row r="12" customFormat="false" ht="15" hidden="false" customHeight="false" outlineLevel="0" collapsed="false">
      <c r="A12" s="12" t="s">
        <v>145</v>
      </c>
      <c r="B12" s="12" t="s">
        <v>143</v>
      </c>
      <c r="C12" s="12" t="s">
        <v>142</v>
      </c>
      <c r="D12" s="19" t="n">
        <v>11.9</v>
      </c>
      <c r="E12" s="19" t="n">
        <v>4.2</v>
      </c>
      <c r="F12" s="19" t="n">
        <v>-4.1</v>
      </c>
      <c r="G12" s="19" t="n">
        <v>-2.7</v>
      </c>
      <c r="H12" s="19" t="n">
        <v>-5.2</v>
      </c>
      <c r="I12" s="19" t="n">
        <v>-12.3</v>
      </c>
      <c r="J12" s="19" t="n">
        <v>-10.4</v>
      </c>
      <c r="K12" s="19" t="n">
        <v>0.9</v>
      </c>
      <c r="L12" s="19" t="n">
        <v>4.7</v>
      </c>
      <c r="M12" s="19" t="n">
        <v>6.5</v>
      </c>
      <c r="N12" s="19" t="n">
        <v>5.9</v>
      </c>
      <c r="O12" s="19" t="n">
        <v>6.4</v>
      </c>
      <c r="P12" s="19" t="n">
        <v>7.3</v>
      </c>
      <c r="Q12" s="19" t="n">
        <v>6.5</v>
      </c>
      <c r="R12" s="19" t="n">
        <v>4.6</v>
      </c>
      <c r="S12" s="19" t="n">
        <v>7.9</v>
      </c>
      <c r="T12" s="19" t="n">
        <v>8</v>
      </c>
      <c r="U12" s="19" t="n">
        <v>10.9</v>
      </c>
      <c r="V12" s="19" t="n">
        <v>11.3</v>
      </c>
    </row>
    <row r="13" customFormat="false" ht="15" hidden="false" customHeight="false" outlineLevel="0" collapsed="false">
      <c r="A13" s="12" t="s">
        <v>145</v>
      </c>
      <c r="B13" s="12" t="s">
        <v>144</v>
      </c>
      <c r="C13" s="12" t="s">
        <v>142</v>
      </c>
      <c r="D13" s="19" t="n">
        <v>8.2</v>
      </c>
      <c r="E13" s="19" t="n">
        <v>-6.2</v>
      </c>
      <c r="F13" s="19" t="n">
        <v>-9</v>
      </c>
      <c r="G13" s="19" t="n">
        <v>-1.2</v>
      </c>
      <c r="H13" s="19" t="n">
        <v>-9.4</v>
      </c>
      <c r="I13" s="19" t="n">
        <v>-14.8</v>
      </c>
      <c r="J13" s="19" t="n">
        <v>-10.9</v>
      </c>
      <c r="K13" s="19" t="n">
        <v>0.1</v>
      </c>
      <c r="L13" s="19" t="n">
        <v>3.4</v>
      </c>
      <c r="M13" s="19" t="n">
        <v>4.4</v>
      </c>
      <c r="N13" s="19" t="n">
        <v>6.3</v>
      </c>
      <c r="O13" s="19" t="n">
        <v>6.8</v>
      </c>
      <c r="P13" s="19" t="n">
        <v>4.7</v>
      </c>
      <c r="Q13" s="19" t="n">
        <v>1.4</v>
      </c>
      <c r="R13" s="19" t="n">
        <v>3.6</v>
      </c>
      <c r="S13" s="19" t="n">
        <v>7.3</v>
      </c>
      <c r="T13" s="19" t="n">
        <v>3.2</v>
      </c>
      <c r="U13" s="19" t="n">
        <v>8</v>
      </c>
      <c r="V13" s="19" t="n">
        <v>12.9</v>
      </c>
    </row>
    <row r="15" customFormat="false" ht="15" hidden="false" customHeight="false" outlineLevel="0" collapsed="false">
      <c r="A15" s="11" t="s">
        <v>146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3" min="2" style="0" width="14"/>
    <col collapsed="false" customWidth="true" hidden="false" outlineLevel="0" max="4" min="4" style="0" width="18"/>
  </cols>
  <sheetData>
    <row r="1" customFormat="false" ht="15" hidden="false" customHeight="false" outlineLevel="0" collapsed="false">
      <c r="A1" s="4" t="s">
        <v>147</v>
      </c>
      <c r="B1" s="4" t="s">
        <v>68</v>
      </c>
      <c r="C1" s="4" t="s">
        <v>69</v>
      </c>
      <c r="D1" s="4" t="s">
        <v>70</v>
      </c>
    </row>
    <row r="2" customFormat="false" ht="15" hidden="false" customHeight="false" outlineLevel="0" collapsed="false">
      <c r="A2" s="12" t="s">
        <v>148</v>
      </c>
      <c r="B2" s="13" t="n">
        <f aca="false">IPV_Anual!D8</f>
        <v>83.155</v>
      </c>
      <c r="C2" s="13" t="n">
        <f aca="false">IPV_Anual!D2</f>
        <v>79.423</v>
      </c>
      <c r="D2" s="14" t="n">
        <f aca="false">C2-B2</f>
        <v>-3.732</v>
      </c>
    </row>
    <row r="3" customFormat="false" ht="15" hidden="false" customHeight="false" outlineLevel="0" collapsed="false">
      <c r="A3" s="12" t="s">
        <v>149</v>
      </c>
      <c r="B3" s="13" t="n">
        <f aca="false">MAX(IPV_Anual!D8:F8)</f>
        <v>83.155</v>
      </c>
      <c r="C3" s="13" t="n">
        <f aca="false">MAX(IPV_Anual!D2:F2)</f>
        <v>79.423</v>
      </c>
      <c r="D3" s="14" t="n">
        <f aca="false">C3-B3</f>
        <v>-3.732</v>
      </c>
    </row>
    <row r="4" customFormat="false" ht="15" hidden="false" customHeight="false" outlineLevel="0" collapsed="false">
      <c r="A4" s="12" t="s">
        <v>150</v>
      </c>
      <c r="B4" s="13" t="n">
        <f aca="false">MIN(IPV_Anual!D8:V8)</f>
        <v>53.509</v>
      </c>
      <c r="C4" s="13" t="n">
        <f aca="false">MIN(IPV_Anual!D2:V2)</f>
        <v>46.226</v>
      </c>
      <c r="D4" s="14" t="n">
        <f aca="false">C4-B4</f>
        <v>-7.283</v>
      </c>
    </row>
    <row r="5" customFormat="false" ht="15" hidden="false" customHeight="false" outlineLevel="0" collapsed="false">
      <c r="A5" s="12" t="s">
        <v>151</v>
      </c>
      <c r="B5" s="8" t="str">
        <f aca="false">INDEX(IPV_Anual!D$1:V$1,MATCH(MIN(IPV_Anual!D8:V8),IPV_Anual!D8:V8,0))</f>
        <v>2013</v>
      </c>
      <c r="C5" s="8" t="str">
        <f aca="false">INDEX(IPV_Anual!D$1:V$1,MATCH(MIN(IPV_Anual!D2:V2),IPV_Anual!D2:V2,0))</f>
        <v>2013</v>
      </c>
    </row>
    <row r="6" customFormat="false" ht="15" hidden="false" customHeight="false" outlineLevel="0" collapsed="false">
      <c r="A6" s="12" t="s">
        <v>152</v>
      </c>
      <c r="B6" s="13" t="n">
        <f aca="false">IPV_Anual!V8</f>
        <v>100</v>
      </c>
      <c r="C6" s="13" t="n">
        <f aca="false">IPV_Anual!V2</f>
        <v>100</v>
      </c>
      <c r="D6" s="14" t="n">
        <f aca="false">C6-B6</f>
        <v>0</v>
      </c>
    </row>
    <row r="7" customFormat="false" ht="15" hidden="false" customHeight="false" outlineLevel="0" collapsed="false">
      <c r="A7" s="12" t="s">
        <v>153</v>
      </c>
      <c r="B7" s="14" t="n">
        <f aca="false">(B4/B3-1)*100</f>
        <v>-35.6514941975828</v>
      </c>
      <c r="C7" s="14" t="n">
        <f aca="false">(C4/C3-1)*100</f>
        <v>-41.7977160268436</v>
      </c>
      <c r="D7" s="14" t="n">
        <f aca="false">C7-B7</f>
        <v>-6.14622182926079</v>
      </c>
    </row>
    <row r="8" customFormat="false" ht="15" hidden="false" customHeight="false" outlineLevel="0" collapsed="false">
      <c r="A8" s="12" t="s">
        <v>154</v>
      </c>
      <c r="B8" s="14" t="n">
        <f aca="false">(B6/B3-1)*100</f>
        <v>20.2573507305634</v>
      </c>
      <c r="C8" s="14" t="n">
        <f aca="false">(C6/C3-1)*100</f>
        <v>25.9081122596729</v>
      </c>
      <c r="D8" s="14" t="n">
        <f aca="false">C8-B8</f>
        <v>5.65076152910948</v>
      </c>
    </row>
    <row r="9" customFormat="false" ht="15" hidden="false" customHeight="false" outlineLevel="0" collapsed="false">
      <c r="A9" s="12" t="s">
        <v>155</v>
      </c>
      <c r="B9" s="14" t="n">
        <f aca="false">(B6/B4-1)*100</f>
        <v>86.88444934497</v>
      </c>
      <c r="C9" s="14" t="n">
        <f aca="false">(C6/C4-1)*100</f>
        <v>116.328473153636</v>
      </c>
      <c r="D9" s="14" t="n">
        <f aca="false">C9-B9</f>
        <v>29.4440238086665</v>
      </c>
    </row>
    <row r="10" customFormat="false" ht="15" hidden="false" customHeight="false" outlineLevel="0" collapsed="false">
      <c r="A10" s="12" t="s">
        <v>156</v>
      </c>
      <c r="B10" s="13" t="n">
        <f aca="false">AVERAGE(IPV_Anual!K11:V11)</f>
        <v>5.40833333333333</v>
      </c>
      <c r="C10" s="13" t="n">
        <f aca="false">AVERAGE(IPV_Anual!K5:V5)</f>
        <v>6.70833333333333</v>
      </c>
      <c r="D10" s="14" t="n">
        <f aca="false">C10-B10</f>
        <v>1.3</v>
      </c>
    </row>
    <row r="11" customFormat="false" ht="15" hidden="false" customHeight="false" outlineLevel="0" collapsed="false">
      <c r="A11" s="12" t="s">
        <v>157</v>
      </c>
      <c r="B11" s="13" t="n">
        <f aca="false">IPV_Anual!V11</f>
        <v>12.7</v>
      </c>
      <c r="C11" s="13" t="n">
        <f aca="false">IPV_Anual!V5</f>
        <v>13.4</v>
      </c>
      <c r="D11" s="14" t="n">
        <f aca="false">C11-B11</f>
        <v>0.700000000000001</v>
      </c>
    </row>
    <row r="12" customFormat="false" ht="15" hidden="false" customHeight="false" outlineLevel="0" collapsed="false">
      <c r="A12" s="12" t="s">
        <v>158</v>
      </c>
      <c r="B12" s="13" t="n">
        <f aca="false">(IPV_Anual!V8/IPV_Anual!U8-1)*100</f>
        <v>12.6773259417008</v>
      </c>
      <c r="C12" s="13" t="n">
        <f aca="false">(IPV_Anual!V2/IPV_Anual!U2-1)*100</f>
        <v>13.3606910467726</v>
      </c>
      <c r="D12" s="14" t="n">
        <f aca="false">C12-B12</f>
        <v>0.683365105071854</v>
      </c>
    </row>
    <row r="15" customFormat="false" ht="15" hidden="false" customHeight="false" outlineLevel="0" collapsed="false">
      <c r="A15" s="11" t="s">
        <v>159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44"/>
    <col collapsed="false" customWidth="true" hidden="false" outlineLevel="0" max="14" min="3" style="0" width="9"/>
  </cols>
  <sheetData>
    <row r="1" customFormat="false" ht="15" hidden="false" customHeight="false" outlineLevel="0" collapsed="false">
      <c r="A1" s="4" t="s">
        <v>118</v>
      </c>
      <c r="B1" s="4" t="s">
        <v>119</v>
      </c>
      <c r="C1" s="4" t="s">
        <v>160</v>
      </c>
      <c r="D1" s="4" t="s">
        <v>161</v>
      </c>
      <c r="E1" s="4" t="s">
        <v>162</v>
      </c>
      <c r="F1" s="4" t="s">
        <v>163</v>
      </c>
      <c r="G1" s="4" t="s">
        <v>164</v>
      </c>
      <c r="H1" s="4" t="s">
        <v>165</v>
      </c>
      <c r="I1" s="4" t="s">
        <v>166</v>
      </c>
      <c r="J1" s="4" t="s">
        <v>167</v>
      </c>
      <c r="K1" s="4" t="s">
        <v>168</v>
      </c>
      <c r="L1" s="4" t="s">
        <v>169</v>
      </c>
      <c r="M1" s="4" t="s">
        <v>170</v>
      </c>
      <c r="N1" s="4" t="s">
        <v>74</v>
      </c>
    </row>
    <row r="2" customFormat="false" ht="15" hidden="false" customHeight="false" outlineLevel="0" collapsed="false">
      <c r="A2" s="12" t="s">
        <v>69</v>
      </c>
      <c r="B2" s="12" t="s">
        <v>171</v>
      </c>
      <c r="C2" s="19" t="n">
        <v>83.52</v>
      </c>
      <c r="D2" s="19" t="n">
        <v>82.634</v>
      </c>
      <c r="E2" s="19" t="n">
        <v>84.621</v>
      </c>
      <c r="F2" s="19" t="n">
        <v>87.504</v>
      </c>
      <c r="G2" s="19" t="n">
        <v>89.567</v>
      </c>
      <c r="H2" s="19" t="n">
        <v>91.164</v>
      </c>
      <c r="I2" s="19" t="n">
        <v>94.468</v>
      </c>
      <c r="J2" s="19" t="n">
        <v>99.111</v>
      </c>
      <c r="K2" s="19" t="n">
        <v>102.306</v>
      </c>
      <c r="L2" s="19" t="n">
        <v>104.115</v>
      </c>
      <c r="M2" s="19" t="n">
        <v>107.296</v>
      </c>
      <c r="N2" s="19" t="n">
        <v>111.85</v>
      </c>
    </row>
    <row r="3" customFormat="false" ht="15" hidden="false" customHeight="false" outlineLevel="0" collapsed="false">
      <c r="A3" s="12" t="s">
        <v>69</v>
      </c>
      <c r="B3" s="12" t="s">
        <v>172</v>
      </c>
      <c r="C3" s="19" t="n">
        <v>2.3</v>
      </c>
      <c r="D3" s="19" t="n">
        <v>-1.1</v>
      </c>
      <c r="E3" s="19" t="n">
        <v>2.4</v>
      </c>
      <c r="F3" s="19" t="n">
        <v>3.4</v>
      </c>
      <c r="G3" s="19" t="n">
        <v>2.4</v>
      </c>
      <c r="H3" s="19" t="n">
        <v>1.8</v>
      </c>
      <c r="I3" s="19" t="n">
        <v>3.6</v>
      </c>
      <c r="J3" s="19" t="n">
        <v>4.9</v>
      </c>
      <c r="K3" s="19" t="n">
        <v>3.2</v>
      </c>
      <c r="L3" s="19" t="n">
        <v>1.8</v>
      </c>
      <c r="M3" s="19" t="n">
        <v>3.1</v>
      </c>
      <c r="N3" s="19" t="n">
        <v>4.2</v>
      </c>
    </row>
    <row r="4" customFormat="false" ht="15" hidden="false" customHeight="false" outlineLevel="0" collapsed="false">
      <c r="A4" s="12" t="s">
        <v>69</v>
      </c>
      <c r="B4" s="12" t="s">
        <v>173</v>
      </c>
      <c r="C4" s="19" t="n">
        <v>4.1</v>
      </c>
      <c r="D4" s="19" t="n">
        <v>4.5</v>
      </c>
      <c r="E4" s="19" t="n">
        <v>5.9</v>
      </c>
      <c r="F4" s="19" t="n">
        <v>7.2</v>
      </c>
      <c r="G4" s="19" t="n">
        <v>7.2</v>
      </c>
      <c r="H4" s="19" t="n">
        <v>10.3</v>
      </c>
      <c r="I4" s="19" t="n">
        <v>11.6</v>
      </c>
      <c r="J4" s="19" t="n">
        <v>13.3</v>
      </c>
      <c r="K4" s="19" t="n">
        <v>14.2</v>
      </c>
      <c r="L4" s="19" t="n">
        <v>14.2</v>
      </c>
      <c r="M4" s="19" t="n">
        <v>13.6</v>
      </c>
      <c r="N4" s="19" t="n">
        <v>12.9</v>
      </c>
    </row>
    <row r="5" customFormat="false" ht="15" hidden="false" customHeight="false" outlineLevel="0" collapsed="false">
      <c r="A5" s="12" t="s">
        <v>69</v>
      </c>
      <c r="B5" s="12" t="s">
        <v>174</v>
      </c>
      <c r="C5" s="19" t="n">
        <v>5.6</v>
      </c>
      <c r="D5" s="19" t="n">
        <v>4.5</v>
      </c>
      <c r="E5" s="19" t="n">
        <v>2.4</v>
      </c>
      <c r="F5" s="19" t="n">
        <v>5.9</v>
      </c>
      <c r="G5" s="19" t="n">
        <v>8.4</v>
      </c>
      <c r="H5" s="19" t="n">
        <v>10.3</v>
      </c>
      <c r="I5" s="19" t="n">
        <v>3.6</v>
      </c>
      <c r="J5" s="19" t="n">
        <v>8.7</v>
      </c>
      <c r="K5" s="19" t="n">
        <v>12.2</v>
      </c>
      <c r="L5" s="19" t="n">
        <v>14.2</v>
      </c>
      <c r="M5" s="19" t="n">
        <v>3.1</v>
      </c>
      <c r="N5" s="19" t="n">
        <v>7.4</v>
      </c>
    </row>
    <row r="6" customFormat="false" ht="15" hidden="false" customHeight="false" outlineLevel="0" collapsed="false">
      <c r="A6" s="12" t="s">
        <v>69</v>
      </c>
      <c r="B6" s="12" t="s">
        <v>175</v>
      </c>
      <c r="C6" s="19" t="n">
        <v>83.961</v>
      </c>
      <c r="D6" s="19" t="n">
        <v>83.163</v>
      </c>
      <c r="E6" s="19" t="n">
        <v>86.308</v>
      </c>
      <c r="F6" s="19" t="n">
        <v>89.192</v>
      </c>
      <c r="G6" s="19" t="n">
        <v>90.428</v>
      </c>
      <c r="H6" s="19" t="n">
        <v>90.692</v>
      </c>
      <c r="I6" s="19" t="n">
        <v>96.866</v>
      </c>
      <c r="J6" s="19" t="n">
        <v>101.099</v>
      </c>
      <c r="K6" s="19" t="n">
        <v>100.203</v>
      </c>
      <c r="L6" s="19" t="n">
        <v>101.833</v>
      </c>
      <c r="M6" s="19" t="n">
        <v>103.572</v>
      </c>
      <c r="N6" s="19" t="n">
        <v>106.728</v>
      </c>
    </row>
    <row r="7" customFormat="false" ht="15" hidden="false" customHeight="false" outlineLevel="0" collapsed="false">
      <c r="A7" s="12" t="s">
        <v>69</v>
      </c>
      <c r="B7" s="12" t="s">
        <v>176</v>
      </c>
      <c r="C7" s="19" t="n">
        <v>4.3</v>
      </c>
      <c r="D7" s="19" t="n">
        <v>-1</v>
      </c>
      <c r="E7" s="19" t="n">
        <v>3.8</v>
      </c>
      <c r="F7" s="19" t="n">
        <v>3.3</v>
      </c>
      <c r="G7" s="19" t="n">
        <v>1.4</v>
      </c>
      <c r="H7" s="19" t="n">
        <v>0.3</v>
      </c>
      <c r="I7" s="19" t="n">
        <v>6.8</v>
      </c>
      <c r="J7" s="19" t="n">
        <v>4.4</v>
      </c>
      <c r="K7" s="19" t="n">
        <v>-0.9</v>
      </c>
      <c r="L7" s="19" t="n">
        <v>1.6</v>
      </c>
      <c r="M7" s="19" t="n">
        <v>1.7</v>
      </c>
      <c r="N7" s="19" t="n">
        <v>3</v>
      </c>
    </row>
    <row r="8" customFormat="false" ht="15" hidden="false" customHeight="false" outlineLevel="0" collapsed="false">
      <c r="A8" s="12" t="s">
        <v>69</v>
      </c>
      <c r="B8" s="12" t="s">
        <v>177</v>
      </c>
      <c r="C8" s="19" t="n">
        <v>11.6</v>
      </c>
      <c r="D8" s="19" t="n">
        <v>9.8</v>
      </c>
      <c r="E8" s="19" t="n">
        <v>10.4</v>
      </c>
      <c r="F8" s="19" t="n">
        <v>10.8</v>
      </c>
      <c r="G8" s="19" t="n">
        <v>7.7</v>
      </c>
      <c r="H8" s="19" t="n">
        <v>9.1</v>
      </c>
      <c r="I8" s="19" t="n">
        <v>12.2</v>
      </c>
      <c r="J8" s="19" t="n">
        <v>13.3</v>
      </c>
      <c r="K8" s="19" t="n">
        <v>10.8</v>
      </c>
      <c r="L8" s="19" t="n">
        <v>12.3</v>
      </c>
      <c r="M8" s="19" t="n">
        <v>6.9</v>
      </c>
      <c r="N8" s="19" t="n">
        <v>5.6</v>
      </c>
    </row>
    <row r="9" customFormat="false" ht="15" hidden="false" customHeight="false" outlineLevel="0" collapsed="false">
      <c r="A9" s="12" t="s">
        <v>69</v>
      </c>
      <c r="B9" s="12" t="s">
        <v>178</v>
      </c>
      <c r="C9" s="19" t="n">
        <v>10.8</v>
      </c>
      <c r="D9" s="19" t="n">
        <v>9.8</v>
      </c>
      <c r="E9" s="19" t="n">
        <v>3.8</v>
      </c>
      <c r="F9" s="19" t="n">
        <v>7.3</v>
      </c>
      <c r="G9" s="19" t="n">
        <v>8.7</v>
      </c>
      <c r="H9" s="19" t="n">
        <v>9.1</v>
      </c>
      <c r="I9" s="19" t="n">
        <v>6.8</v>
      </c>
      <c r="J9" s="19" t="n">
        <v>11.5</v>
      </c>
      <c r="K9" s="19" t="n">
        <v>10.5</v>
      </c>
      <c r="L9" s="19" t="n">
        <v>12.3</v>
      </c>
      <c r="M9" s="19" t="n">
        <v>1.7</v>
      </c>
      <c r="N9" s="19" t="n">
        <v>4.8</v>
      </c>
    </row>
    <row r="10" customFormat="false" ht="15" hidden="false" customHeight="false" outlineLevel="0" collapsed="false">
      <c r="A10" s="12" t="s">
        <v>69</v>
      </c>
      <c r="B10" s="12" t="s">
        <v>179</v>
      </c>
      <c r="C10" s="19" t="n">
        <v>83.414</v>
      </c>
      <c r="D10" s="19" t="n">
        <v>82.504</v>
      </c>
      <c r="E10" s="19" t="n">
        <v>84.245</v>
      </c>
      <c r="F10" s="19" t="n">
        <v>87.127</v>
      </c>
      <c r="G10" s="19" t="n">
        <v>89.365</v>
      </c>
      <c r="H10" s="19" t="n">
        <v>91.245</v>
      </c>
      <c r="I10" s="19" t="n">
        <v>94.057</v>
      </c>
      <c r="J10" s="19" t="n">
        <v>98.771</v>
      </c>
      <c r="K10" s="19" t="n">
        <v>102.666</v>
      </c>
      <c r="L10" s="19" t="n">
        <v>104.506</v>
      </c>
      <c r="M10" s="19" t="n">
        <v>107.894</v>
      </c>
      <c r="N10" s="19" t="n">
        <v>112.649</v>
      </c>
    </row>
    <row r="11" customFormat="false" ht="15" hidden="false" customHeight="false" outlineLevel="0" collapsed="false">
      <c r="A11" s="12" t="s">
        <v>69</v>
      </c>
      <c r="B11" s="12" t="s">
        <v>180</v>
      </c>
      <c r="C11" s="19" t="n">
        <v>1.8</v>
      </c>
      <c r="D11" s="19" t="n">
        <v>-1.1</v>
      </c>
      <c r="E11" s="19" t="n">
        <v>2.1</v>
      </c>
      <c r="F11" s="19" t="n">
        <v>3.4</v>
      </c>
      <c r="G11" s="19" t="n">
        <v>2.6</v>
      </c>
      <c r="H11" s="19" t="n">
        <v>2.1</v>
      </c>
      <c r="I11" s="19" t="n">
        <v>3.1</v>
      </c>
      <c r="J11" s="19" t="n">
        <v>5</v>
      </c>
      <c r="K11" s="19" t="n">
        <v>3.9</v>
      </c>
      <c r="L11" s="19" t="n">
        <v>1.8</v>
      </c>
      <c r="M11" s="19" t="n">
        <v>3.2</v>
      </c>
      <c r="N11" s="19" t="n">
        <v>4.4</v>
      </c>
    </row>
    <row r="12" customFormat="false" ht="15" hidden="false" customHeight="false" outlineLevel="0" collapsed="false">
      <c r="A12" s="12" t="s">
        <v>69</v>
      </c>
      <c r="B12" s="12" t="s">
        <v>181</v>
      </c>
      <c r="C12" s="19" t="n">
        <v>2.1</v>
      </c>
      <c r="D12" s="19" t="n">
        <v>3.1</v>
      </c>
      <c r="E12" s="19" t="n">
        <v>4.8</v>
      </c>
      <c r="F12" s="19" t="n">
        <v>6.3</v>
      </c>
      <c r="G12" s="19" t="n">
        <v>7.1</v>
      </c>
      <c r="H12" s="19" t="n">
        <v>10.6</v>
      </c>
      <c r="I12" s="19" t="n">
        <v>11.6</v>
      </c>
      <c r="J12" s="19" t="n">
        <v>13.4</v>
      </c>
      <c r="K12" s="19" t="n">
        <v>14.9</v>
      </c>
      <c r="L12" s="19" t="n">
        <v>14.5</v>
      </c>
      <c r="M12" s="19" t="n">
        <v>14.7</v>
      </c>
      <c r="N12" s="19" t="n">
        <v>14.1</v>
      </c>
    </row>
    <row r="13" customFormat="false" ht="15" hidden="false" customHeight="false" outlineLevel="0" collapsed="false">
      <c r="A13" s="12" t="s">
        <v>69</v>
      </c>
      <c r="B13" s="12" t="s">
        <v>182</v>
      </c>
      <c r="C13" s="19" t="n">
        <v>4.3</v>
      </c>
      <c r="D13" s="19" t="n">
        <v>3.1</v>
      </c>
      <c r="E13" s="19" t="n">
        <v>2.1</v>
      </c>
      <c r="F13" s="19" t="n">
        <v>5.6</v>
      </c>
      <c r="G13" s="19" t="n">
        <v>8.3</v>
      </c>
      <c r="H13" s="19" t="n">
        <v>10.6</v>
      </c>
      <c r="I13" s="19" t="n">
        <v>3.1</v>
      </c>
      <c r="J13" s="19" t="n">
        <v>8.2</v>
      </c>
      <c r="K13" s="19" t="n">
        <v>12.5</v>
      </c>
      <c r="L13" s="19" t="n">
        <v>14.5</v>
      </c>
      <c r="M13" s="19" t="n">
        <v>3.2</v>
      </c>
      <c r="N13" s="19" t="n">
        <v>7.8</v>
      </c>
    </row>
    <row r="14" customFormat="false" ht="15" hidden="false" customHeight="false" outlineLevel="0" collapsed="false">
      <c r="A14" s="12" t="s">
        <v>145</v>
      </c>
      <c r="B14" s="12" t="s">
        <v>171</v>
      </c>
      <c r="C14" s="19" t="n">
        <v>83.529</v>
      </c>
      <c r="D14" s="19" t="n">
        <v>82.649</v>
      </c>
      <c r="E14" s="19" t="n">
        <v>84.833</v>
      </c>
      <c r="F14" s="19" t="n">
        <v>87.87</v>
      </c>
      <c r="G14" s="19" t="n">
        <v>90.337</v>
      </c>
      <c r="H14" s="19" t="n">
        <v>91.956</v>
      </c>
      <c r="I14" s="19" t="n">
        <v>95.215</v>
      </c>
      <c r="J14" s="19" t="n">
        <v>99.043</v>
      </c>
      <c r="K14" s="19" t="n">
        <v>101.937</v>
      </c>
      <c r="L14" s="19" t="n">
        <v>103.805</v>
      </c>
      <c r="M14" s="19" t="n">
        <v>107.458</v>
      </c>
      <c r="N14" s="19" t="n">
        <v>111.095</v>
      </c>
    </row>
    <row r="15" customFormat="false" ht="15" hidden="false" customHeight="false" outlineLevel="0" collapsed="false">
      <c r="A15" s="12" t="s">
        <v>145</v>
      </c>
      <c r="B15" s="12" t="s">
        <v>172</v>
      </c>
      <c r="C15" s="19" t="n">
        <v>2.5</v>
      </c>
      <c r="D15" s="19" t="n">
        <v>-1.1</v>
      </c>
      <c r="E15" s="19" t="n">
        <v>2.6</v>
      </c>
      <c r="F15" s="19" t="n">
        <v>3.6</v>
      </c>
      <c r="G15" s="19" t="n">
        <v>2.8</v>
      </c>
      <c r="H15" s="19" t="n">
        <v>1.8</v>
      </c>
      <c r="I15" s="19" t="n">
        <v>3.5</v>
      </c>
      <c r="J15" s="19" t="n">
        <v>4</v>
      </c>
      <c r="K15" s="19" t="n">
        <v>2.9</v>
      </c>
      <c r="L15" s="19" t="n">
        <v>1.8</v>
      </c>
      <c r="M15" s="19" t="n">
        <v>3.5</v>
      </c>
      <c r="N15" s="19" t="n">
        <v>3.4</v>
      </c>
    </row>
    <row r="16" customFormat="false" ht="15" hidden="false" customHeight="false" outlineLevel="0" collapsed="false">
      <c r="A16" s="12" t="s">
        <v>145</v>
      </c>
      <c r="B16" s="12" t="s">
        <v>173</v>
      </c>
      <c r="C16" s="19" t="n">
        <v>4.5</v>
      </c>
      <c r="D16" s="19" t="n">
        <v>4.2</v>
      </c>
      <c r="E16" s="19" t="n">
        <v>6.3</v>
      </c>
      <c r="F16" s="19" t="n">
        <v>7.8</v>
      </c>
      <c r="G16" s="19" t="n">
        <v>8.1</v>
      </c>
      <c r="H16" s="19" t="n">
        <v>11.3</v>
      </c>
      <c r="I16" s="19" t="n">
        <v>12.2</v>
      </c>
      <c r="J16" s="19" t="n">
        <v>12.7</v>
      </c>
      <c r="K16" s="19" t="n">
        <v>12.8</v>
      </c>
      <c r="L16" s="19" t="n">
        <v>12.9</v>
      </c>
      <c r="M16" s="19" t="n">
        <v>12.9</v>
      </c>
      <c r="N16" s="19" t="n">
        <v>12.2</v>
      </c>
    </row>
    <row r="17" customFormat="false" ht="15" hidden="false" customHeight="false" outlineLevel="0" collapsed="false">
      <c r="A17" s="12" t="s">
        <v>145</v>
      </c>
      <c r="B17" s="12" t="s">
        <v>174</v>
      </c>
      <c r="C17" s="19" t="n">
        <v>5.3</v>
      </c>
      <c r="D17" s="19" t="n">
        <v>4.2</v>
      </c>
      <c r="E17" s="19" t="n">
        <v>2.6</v>
      </c>
      <c r="F17" s="19" t="n">
        <v>6.3</v>
      </c>
      <c r="G17" s="19" t="n">
        <v>9.3</v>
      </c>
      <c r="H17" s="19" t="n">
        <v>11.3</v>
      </c>
      <c r="I17" s="19" t="n">
        <v>3.5</v>
      </c>
      <c r="J17" s="19" t="n">
        <v>7.7</v>
      </c>
      <c r="K17" s="19" t="n">
        <v>10.9</v>
      </c>
      <c r="L17" s="19" t="n">
        <v>12.9</v>
      </c>
      <c r="M17" s="19" t="n">
        <v>3.5</v>
      </c>
      <c r="N17" s="19" t="n">
        <v>7</v>
      </c>
    </row>
    <row r="18" customFormat="false" ht="15" hidden="false" customHeight="false" outlineLevel="0" collapsed="false">
      <c r="A18" s="12" t="s">
        <v>145</v>
      </c>
      <c r="B18" s="12" t="s">
        <v>175</v>
      </c>
      <c r="C18" s="19" t="n">
        <v>83.301</v>
      </c>
      <c r="D18" s="19" t="n">
        <v>82.142</v>
      </c>
      <c r="E18" s="19" t="n">
        <v>86.656</v>
      </c>
      <c r="F18" s="19" t="n">
        <v>89.036</v>
      </c>
      <c r="G18" s="19" t="n">
        <v>91.5</v>
      </c>
      <c r="H18" s="19" t="n">
        <v>92.211</v>
      </c>
      <c r="I18" s="19" t="n">
        <v>97.26</v>
      </c>
      <c r="J18" s="19" t="n">
        <v>99.81</v>
      </c>
      <c r="K18" s="19" t="n">
        <v>100.371</v>
      </c>
      <c r="L18" s="19" t="n">
        <v>102.559</v>
      </c>
      <c r="M18" s="19" t="n">
        <v>106.129</v>
      </c>
      <c r="N18" s="19" t="n">
        <v>107.228</v>
      </c>
    </row>
    <row r="19" customFormat="false" ht="15" hidden="false" customHeight="false" outlineLevel="0" collapsed="false">
      <c r="A19" s="12" t="s">
        <v>145</v>
      </c>
      <c r="B19" s="12" t="s">
        <v>176</v>
      </c>
      <c r="C19" s="19" t="n">
        <v>4.1</v>
      </c>
      <c r="D19" s="19" t="n">
        <v>-1.4</v>
      </c>
      <c r="E19" s="19" t="n">
        <v>5.5</v>
      </c>
      <c r="F19" s="19" t="n">
        <v>2.7</v>
      </c>
      <c r="G19" s="19" t="n">
        <v>2.8</v>
      </c>
      <c r="H19" s="19" t="n">
        <v>0.8</v>
      </c>
      <c r="I19" s="19" t="n">
        <v>5.5</v>
      </c>
      <c r="J19" s="19" t="n">
        <v>2.6</v>
      </c>
      <c r="K19" s="19" t="n">
        <v>0.6</v>
      </c>
      <c r="L19" s="19" t="n">
        <v>2.2</v>
      </c>
      <c r="M19" s="19" t="n">
        <v>3.5</v>
      </c>
      <c r="N19" s="19" t="n">
        <v>1</v>
      </c>
    </row>
    <row r="20" customFormat="false" ht="15" hidden="false" customHeight="false" outlineLevel="0" collapsed="false">
      <c r="A20" s="12" t="s">
        <v>145</v>
      </c>
      <c r="B20" s="12" t="s">
        <v>177</v>
      </c>
      <c r="C20" s="19" t="n">
        <v>11</v>
      </c>
      <c r="D20" s="19" t="n">
        <v>7.5</v>
      </c>
      <c r="E20" s="19" t="n">
        <v>10.1</v>
      </c>
      <c r="F20" s="19" t="n">
        <v>11.2</v>
      </c>
      <c r="G20" s="19" t="n">
        <v>9.8</v>
      </c>
      <c r="H20" s="19" t="n">
        <v>12.3</v>
      </c>
      <c r="I20" s="19" t="n">
        <v>12.2</v>
      </c>
      <c r="J20" s="19" t="n">
        <v>12.1</v>
      </c>
      <c r="K20" s="19" t="n">
        <v>9.7</v>
      </c>
      <c r="L20" s="19" t="n">
        <v>11.2</v>
      </c>
      <c r="M20" s="19" t="n">
        <v>9.1</v>
      </c>
      <c r="N20" s="19" t="n">
        <v>7.4</v>
      </c>
    </row>
    <row r="21" customFormat="false" ht="15" hidden="false" customHeight="false" outlineLevel="0" collapsed="false">
      <c r="A21" s="12" t="s">
        <v>145</v>
      </c>
      <c r="B21" s="12" t="s">
        <v>178</v>
      </c>
      <c r="C21" s="19" t="n">
        <v>9</v>
      </c>
      <c r="D21" s="19" t="n">
        <v>7.5</v>
      </c>
      <c r="E21" s="19" t="n">
        <v>5.5</v>
      </c>
      <c r="F21" s="19" t="n">
        <v>8.4</v>
      </c>
      <c r="G21" s="19" t="n">
        <v>11.4</v>
      </c>
      <c r="H21" s="19" t="n">
        <v>12.3</v>
      </c>
      <c r="I21" s="19" t="n">
        <v>5.5</v>
      </c>
      <c r="J21" s="19" t="n">
        <v>8.2</v>
      </c>
      <c r="K21" s="19" t="n">
        <v>8.8</v>
      </c>
      <c r="L21" s="19" t="n">
        <v>11.2</v>
      </c>
      <c r="M21" s="19" t="n">
        <v>3.5</v>
      </c>
      <c r="N21" s="19" t="n">
        <v>4.6</v>
      </c>
    </row>
    <row r="22" customFormat="false" ht="15" hidden="false" customHeight="false" outlineLevel="0" collapsed="false">
      <c r="A22" s="12" t="s">
        <v>145</v>
      </c>
      <c r="B22" s="12" t="s">
        <v>179</v>
      </c>
      <c r="C22" s="19" t="n">
        <v>83.565</v>
      </c>
      <c r="D22" s="19" t="n">
        <v>82.737</v>
      </c>
      <c r="E22" s="19" t="n">
        <v>84.529</v>
      </c>
      <c r="F22" s="19" t="n">
        <v>87.677</v>
      </c>
      <c r="G22" s="19" t="n">
        <v>90.144</v>
      </c>
      <c r="H22" s="19" t="n">
        <v>91.916</v>
      </c>
      <c r="I22" s="19" t="n">
        <v>94.893</v>
      </c>
      <c r="J22" s="19" t="n">
        <v>98.923</v>
      </c>
      <c r="K22" s="19" t="n">
        <v>102.183</v>
      </c>
      <c r="L22" s="19" t="n">
        <v>104.001</v>
      </c>
      <c r="M22" s="19" t="n">
        <v>107.666</v>
      </c>
      <c r="N22" s="19" t="n">
        <v>111.682</v>
      </c>
    </row>
    <row r="23" customFormat="false" ht="15" hidden="false" customHeight="false" outlineLevel="0" collapsed="false">
      <c r="A23" s="12" t="s">
        <v>145</v>
      </c>
      <c r="B23" s="12" t="s">
        <v>180</v>
      </c>
      <c r="C23" s="19" t="n">
        <v>2.2</v>
      </c>
      <c r="D23" s="19" t="n">
        <v>-1</v>
      </c>
      <c r="E23" s="19" t="n">
        <v>2.2</v>
      </c>
      <c r="F23" s="19" t="n">
        <v>3.7</v>
      </c>
      <c r="G23" s="19" t="n">
        <v>2.8</v>
      </c>
      <c r="H23" s="19" t="n">
        <v>2</v>
      </c>
      <c r="I23" s="19" t="n">
        <v>3.2</v>
      </c>
      <c r="J23" s="19" t="n">
        <v>4.2</v>
      </c>
      <c r="K23" s="19" t="n">
        <v>3.3</v>
      </c>
      <c r="L23" s="19" t="n">
        <v>1.8</v>
      </c>
      <c r="M23" s="19" t="n">
        <v>3.5</v>
      </c>
      <c r="N23" s="19" t="n">
        <v>3.7</v>
      </c>
    </row>
    <row r="24" customFormat="false" ht="15" hidden="false" customHeight="false" outlineLevel="0" collapsed="false">
      <c r="A24" s="12" t="s">
        <v>145</v>
      </c>
      <c r="B24" s="12" t="s">
        <v>181</v>
      </c>
      <c r="C24" s="19" t="n">
        <v>3.2</v>
      </c>
      <c r="D24" s="19" t="n">
        <v>3.6</v>
      </c>
      <c r="E24" s="19" t="n">
        <v>5.7</v>
      </c>
      <c r="F24" s="19" t="n">
        <v>7.3</v>
      </c>
      <c r="G24" s="19" t="n">
        <v>7.9</v>
      </c>
      <c r="H24" s="19" t="n">
        <v>11.1</v>
      </c>
      <c r="I24" s="19" t="n">
        <v>12.3</v>
      </c>
      <c r="J24" s="19" t="n">
        <v>12.8</v>
      </c>
      <c r="K24" s="19" t="n">
        <v>13.4</v>
      </c>
      <c r="L24" s="19" t="n">
        <v>13.1</v>
      </c>
      <c r="M24" s="19" t="n">
        <v>13.5</v>
      </c>
      <c r="N24" s="19" t="n">
        <v>12.9</v>
      </c>
    </row>
    <row r="25" customFormat="false" ht="15" hidden="false" customHeight="false" outlineLevel="0" collapsed="false">
      <c r="A25" s="12" t="s">
        <v>145</v>
      </c>
      <c r="B25" s="12" t="s">
        <v>182</v>
      </c>
      <c r="C25" s="19" t="n">
        <v>4.7</v>
      </c>
      <c r="D25" s="19" t="n">
        <v>3.6</v>
      </c>
      <c r="E25" s="19" t="n">
        <v>2.2</v>
      </c>
      <c r="F25" s="19" t="n">
        <v>6</v>
      </c>
      <c r="G25" s="19" t="n">
        <v>9</v>
      </c>
      <c r="H25" s="19" t="n">
        <v>11.1</v>
      </c>
      <c r="I25" s="19" t="n">
        <v>3.2</v>
      </c>
      <c r="J25" s="19" t="n">
        <v>7.6</v>
      </c>
      <c r="K25" s="19" t="n">
        <v>11.2</v>
      </c>
      <c r="L25" s="19" t="n">
        <v>13.1</v>
      </c>
      <c r="M25" s="19" t="n">
        <v>3.5</v>
      </c>
      <c r="N25" s="19" t="n">
        <v>7.4</v>
      </c>
    </row>
    <row r="27" customFormat="false" ht="15" hidden="false" customHeight="false" outlineLevel="0" collapsed="false">
      <c r="A27" s="11" t="s">
        <v>183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38"/>
    <col collapsed="false" customWidth="true" hidden="false" outlineLevel="0" max="3" min="3" style="0" width="12"/>
    <col collapsed="false" customWidth="true" hidden="false" outlineLevel="0" max="4" min="4" style="0" width="14"/>
    <col collapsed="false" customWidth="true" hidden="false" outlineLevel="0" max="5" min="5" style="0" width="18"/>
    <col collapsed="false" customWidth="true" hidden="false" outlineLevel="0" max="6" min="6" style="0" width="14"/>
    <col collapsed="false" customWidth="true" hidden="false" outlineLevel="0" max="7" min="7" style="0" width="18"/>
    <col collapsed="false" customWidth="true" hidden="false" outlineLevel="0" max="8" min="8" style="0" width="10"/>
    <col collapsed="false" customWidth="true" hidden="false" outlineLevel="0" max="9" min="9" style="0" width="14"/>
  </cols>
  <sheetData>
    <row r="1" customFormat="false" ht="31.5" hidden="false" customHeight="true" outlineLevel="0" collapsed="false">
      <c r="A1" s="4" t="s">
        <v>184</v>
      </c>
      <c r="B1" s="4" t="s">
        <v>185</v>
      </c>
      <c r="C1" s="4" t="s">
        <v>186</v>
      </c>
      <c r="D1" s="4" t="s">
        <v>187</v>
      </c>
      <c r="E1" s="4" t="s">
        <v>188</v>
      </c>
      <c r="F1" s="4" t="s">
        <v>189</v>
      </c>
      <c r="G1" s="4" t="s">
        <v>190</v>
      </c>
      <c r="H1" s="4" t="s">
        <v>120</v>
      </c>
      <c r="I1" s="4" t="s">
        <v>191</v>
      </c>
    </row>
    <row r="2" customFormat="false" ht="15" hidden="false" customHeight="false" outlineLevel="0" collapsed="false">
      <c r="A2" s="12" t="s">
        <v>192</v>
      </c>
      <c r="B2" s="12" t="s">
        <v>193</v>
      </c>
      <c r="C2" s="12" t="s">
        <v>82</v>
      </c>
      <c r="D2" s="20" t="n">
        <v>4048</v>
      </c>
      <c r="E2" s="20" t="n">
        <v>16.4</v>
      </c>
      <c r="F2" s="20" t="n">
        <v>2315.7</v>
      </c>
      <c r="G2" s="20" t="n">
        <v>13.9</v>
      </c>
      <c r="H2" s="12" t="s">
        <v>194</v>
      </c>
      <c r="I2" s="12"/>
    </row>
    <row r="3" customFormat="false" ht="15" hidden="false" customHeight="false" outlineLevel="0" collapsed="false">
      <c r="A3" s="12" t="s">
        <v>192</v>
      </c>
      <c r="B3" s="12" t="s">
        <v>195</v>
      </c>
      <c r="C3" s="12" t="s">
        <v>82</v>
      </c>
      <c r="D3" s="20" t="n">
        <v>4590.7</v>
      </c>
      <c r="E3" s="20" t="n">
        <v>18.6</v>
      </c>
      <c r="F3" s="20" t="n">
        <v>2685.2</v>
      </c>
      <c r="G3" s="20" t="n">
        <v>13.9</v>
      </c>
      <c r="H3" s="12" t="s">
        <v>194</v>
      </c>
      <c r="I3" s="12"/>
    </row>
    <row r="4" customFormat="false" ht="15" hidden="false" customHeight="false" outlineLevel="0" collapsed="false">
      <c r="A4" s="12" t="s">
        <v>192</v>
      </c>
      <c r="B4" s="12" t="s">
        <v>196</v>
      </c>
      <c r="C4" s="12" t="s">
        <v>82</v>
      </c>
      <c r="D4" s="20" t="n">
        <v>4025.6</v>
      </c>
      <c r="E4" s="20" t="n">
        <v>16.3</v>
      </c>
      <c r="F4" s="20" t="n">
        <v>2303.8</v>
      </c>
      <c r="G4" s="20" t="n">
        <v>13.8</v>
      </c>
      <c r="H4" s="12" t="s">
        <v>194</v>
      </c>
      <c r="I4" s="12"/>
    </row>
    <row r="5" customFormat="false" ht="15" hidden="false" customHeight="false" outlineLevel="0" collapsed="false">
      <c r="A5" s="12" t="s">
        <v>192</v>
      </c>
      <c r="B5" s="12" t="s">
        <v>197</v>
      </c>
      <c r="C5" s="12" t="s">
        <v>82</v>
      </c>
      <c r="D5" s="20" t="n">
        <v>1503.6</v>
      </c>
      <c r="E5" s="20" t="n">
        <v>5</v>
      </c>
      <c r="F5" s="20" t="n">
        <v>1222.3</v>
      </c>
      <c r="G5" s="20" t="n">
        <v>4.5</v>
      </c>
      <c r="H5" s="12" t="s">
        <v>194</v>
      </c>
      <c r="I5" s="12"/>
    </row>
    <row r="6" customFormat="false" ht="15" hidden="false" customHeight="false" outlineLevel="0" collapsed="false">
      <c r="A6" s="12" t="s">
        <v>192</v>
      </c>
      <c r="B6" s="12" t="s">
        <v>198</v>
      </c>
      <c r="C6" s="12" t="s">
        <v>82</v>
      </c>
      <c r="D6" s="20" t="n">
        <v>380.6</v>
      </c>
      <c r="E6" s="20" t="n">
        <v>24.2</v>
      </c>
      <c r="F6" s="20" t="n">
        <v>187.8</v>
      </c>
      <c r="G6" s="20" t="n">
        <v>8.7</v>
      </c>
      <c r="H6" s="12" t="s">
        <v>194</v>
      </c>
      <c r="I6" s="12"/>
    </row>
    <row r="7" customFormat="false" ht="15" hidden="false" customHeight="false" outlineLevel="0" collapsed="false">
      <c r="A7" s="12" t="s">
        <v>199</v>
      </c>
      <c r="B7" s="12" t="s">
        <v>200</v>
      </c>
      <c r="C7" s="12" t="s">
        <v>201</v>
      </c>
      <c r="D7" s="20" t="n">
        <v>207.67</v>
      </c>
      <c r="E7" s="20" t="n">
        <v>14.2</v>
      </c>
      <c r="F7" s="20" t="n">
        <v>186.75</v>
      </c>
      <c r="G7" s="20" t="n">
        <v>12.9</v>
      </c>
      <c r="H7" s="12" t="s">
        <v>202</v>
      </c>
      <c r="I7" s="12"/>
    </row>
    <row r="8" customFormat="false" ht="15" hidden="false" customHeight="false" outlineLevel="0" collapsed="false">
      <c r="A8" s="12" t="s">
        <v>199</v>
      </c>
      <c r="B8" s="12" t="s">
        <v>203</v>
      </c>
      <c r="C8" s="12" t="s">
        <v>82</v>
      </c>
      <c r="D8" s="20" t="n">
        <v>107.89</v>
      </c>
      <c r="E8" s="20" t="n">
        <v>14.7</v>
      </c>
      <c r="F8" s="20" t="n">
        <v>107.67</v>
      </c>
      <c r="G8" s="20" t="n">
        <v>13.5</v>
      </c>
      <c r="H8" s="12" t="s">
        <v>202</v>
      </c>
      <c r="I8" s="12"/>
    </row>
    <row r="9" customFormat="false" ht="15" hidden="false" customHeight="false" outlineLevel="0" collapsed="false">
      <c r="A9" s="12" t="s">
        <v>204</v>
      </c>
      <c r="B9" s="12" t="s">
        <v>205</v>
      </c>
      <c r="C9" s="12" t="s">
        <v>88</v>
      </c>
      <c r="D9" s="20" t="n">
        <v>6194</v>
      </c>
      <c r="E9" s="20" t="n">
        <v>-11.2</v>
      </c>
      <c r="F9" s="20" t="n">
        <v>56462</v>
      </c>
      <c r="G9" s="20" t="n">
        <v>-7.3</v>
      </c>
      <c r="H9" s="12" t="s">
        <v>206</v>
      </c>
      <c r="I9" s="12" t="s">
        <v>207</v>
      </c>
    </row>
    <row r="10" customFormat="false" ht="15" hidden="false" customHeight="false" outlineLevel="0" collapsed="false">
      <c r="A10" s="12" t="s">
        <v>204</v>
      </c>
      <c r="B10" s="12" t="s">
        <v>208</v>
      </c>
      <c r="C10" s="12" t="s">
        <v>88</v>
      </c>
      <c r="D10" s="20" t="n">
        <v>5861</v>
      </c>
      <c r="E10" s="20" t="n">
        <v>-11.5</v>
      </c>
      <c r="F10" s="20" t="n">
        <v>52831</v>
      </c>
      <c r="G10" s="20" t="n">
        <v>-7.2</v>
      </c>
      <c r="H10" s="12" t="s">
        <v>206</v>
      </c>
      <c r="I10" s="12" t="s">
        <v>207</v>
      </c>
    </row>
    <row r="11" customFormat="false" ht="15" hidden="false" customHeight="false" outlineLevel="0" collapsed="false">
      <c r="A11" s="12" t="s">
        <v>204</v>
      </c>
      <c r="B11" s="12" t="s">
        <v>209</v>
      </c>
      <c r="C11" s="12" t="s">
        <v>88</v>
      </c>
      <c r="D11" s="20" t="n">
        <v>333</v>
      </c>
      <c r="E11" s="20" t="n">
        <v>-7.2</v>
      </c>
      <c r="F11" s="20" t="n">
        <v>3631</v>
      </c>
      <c r="G11" s="20" t="n">
        <v>-8.3</v>
      </c>
      <c r="H11" s="12" t="s">
        <v>206</v>
      </c>
      <c r="I11" s="12" t="s">
        <v>207</v>
      </c>
    </row>
    <row r="12" customFormat="false" ht="15" hidden="false" customHeight="false" outlineLevel="0" collapsed="false">
      <c r="A12" s="12" t="s">
        <v>204</v>
      </c>
      <c r="B12" s="12" t="s">
        <v>210</v>
      </c>
      <c r="C12" s="12" t="s">
        <v>88</v>
      </c>
      <c r="D12" s="20" t="n">
        <v>1231</v>
      </c>
      <c r="E12" s="20" t="n">
        <v>-19.2</v>
      </c>
      <c r="F12" s="20" t="n">
        <v>11888</v>
      </c>
      <c r="G12" s="20" t="n">
        <v>-6</v>
      </c>
      <c r="H12" s="12" t="s">
        <v>206</v>
      </c>
      <c r="I12" s="12" t="s">
        <v>207</v>
      </c>
    </row>
    <row r="13" customFormat="false" ht="15" hidden="false" customHeight="false" outlineLevel="0" collapsed="false">
      <c r="A13" s="12" t="s">
        <v>204</v>
      </c>
      <c r="B13" s="12" t="s">
        <v>211</v>
      </c>
      <c r="C13" s="12" t="s">
        <v>88</v>
      </c>
      <c r="D13" s="20" t="n">
        <v>4963</v>
      </c>
      <c r="E13" s="20" t="n">
        <v>-9</v>
      </c>
      <c r="F13" s="20" t="n">
        <v>44574</v>
      </c>
      <c r="G13" s="20" t="n">
        <v>-7.6</v>
      </c>
      <c r="H13" s="12" t="s">
        <v>206</v>
      </c>
      <c r="I13" s="12" t="s">
        <v>207</v>
      </c>
    </row>
    <row r="14" customFormat="false" ht="15" hidden="false" customHeight="false" outlineLevel="0" collapsed="false">
      <c r="A14" s="12" t="s">
        <v>212</v>
      </c>
      <c r="B14" s="12" t="s">
        <v>213</v>
      </c>
      <c r="C14" s="12" t="s">
        <v>82</v>
      </c>
      <c r="D14" s="20" t="n">
        <v>18462</v>
      </c>
      <c r="E14" s="20" t="n">
        <v>-14.3</v>
      </c>
      <c r="F14" s="20" t="n">
        <v>159317</v>
      </c>
      <c r="G14" s="20" t="n">
        <v>-11</v>
      </c>
      <c r="H14" s="12" t="s">
        <v>206</v>
      </c>
      <c r="I14" s="12" t="s">
        <v>207</v>
      </c>
    </row>
    <row r="15" customFormat="false" ht="15" hidden="false" customHeight="false" outlineLevel="0" collapsed="false">
      <c r="A15" s="12" t="s">
        <v>212</v>
      </c>
      <c r="B15" s="12" t="s">
        <v>214</v>
      </c>
      <c r="C15" s="12" t="s">
        <v>82</v>
      </c>
      <c r="D15" s="20" t="n">
        <v>7271387.2</v>
      </c>
      <c r="E15" s="20" t="n">
        <v>-7.7</v>
      </c>
      <c r="F15" s="20" t="n">
        <v>35327939.1</v>
      </c>
      <c r="G15" s="20" t="n">
        <v>-3.7</v>
      </c>
      <c r="H15" s="12" t="s">
        <v>215</v>
      </c>
      <c r="I15" s="12" t="s">
        <v>207</v>
      </c>
    </row>
    <row r="16" customFormat="false" ht="15" hidden="false" customHeight="false" outlineLevel="0" collapsed="false">
      <c r="A16" s="12" t="s">
        <v>212</v>
      </c>
      <c r="B16" s="12" t="s">
        <v>216</v>
      </c>
      <c r="C16" s="12" t="s">
        <v>82</v>
      </c>
      <c r="D16" s="20" t="n">
        <v>393857</v>
      </c>
      <c r="E16" s="20" t="n">
        <v>7.6</v>
      </c>
      <c r="F16" s="20" t="n">
        <v>221746.2</v>
      </c>
      <c r="G16" s="20" t="n">
        <v>8.2</v>
      </c>
      <c r="H16" s="12" t="s">
        <v>217</v>
      </c>
      <c r="I16" s="12" t="s">
        <v>207</v>
      </c>
    </row>
    <row r="17" customFormat="false" ht="15" hidden="false" customHeight="false" outlineLevel="0" collapsed="false">
      <c r="A17" s="12" t="s">
        <v>212</v>
      </c>
      <c r="B17" s="12" t="s">
        <v>218</v>
      </c>
      <c r="C17" s="12" t="s">
        <v>82</v>
      </c>
      <c r="D17" s="20" t="n">
        <v>1261</v>
      </c>
      <c r="E17" s="20" t="n">
        <v>-28.4</v>
      </c>
      <c r="F17" s="20" t="n">
        <v>13025</v>
      </c>
      <c r="G17" s="20" t="n">
        <v>-12.2</v>
      </c>
      <c r="H17" s="12" t="s">
        <v>206</v>
      </c>
      <c r="I17" s="12" t="s">
        <v>207</v>
      </c>
    </row>
    <row r="18" customFormat="false" ht="15" hidden="false" customHeight="false" outlineLevel="0" collapsed="false">
      <c r="A18" s="12" t="s">
        <v>212</v>
      </c>
      <c r="B18" s="12" t="s">
        <v>219</v>
      </c>
      <c r="C18" s="12" t="s">
        <v>82</v>
      </c>
      <c r="D18" s="20" t="n">
        <v>455094.5</v>
      </c>
      <c r="E18" s="20" t="n">
        <v>-0.3</v>
      </c>
      <c r="F18" s="20" t="n">
        <v>307781.6</v>
      </c>
      <c r="G18" s="20" t="n">
        <v>6.4</v>
      </c>
      <c r="H18" s="12" t="s">
        <v>217</v>
      </c>
      <c r="I18" s="12" t="s">
        <v>207</v>
      </c>
    </row>
    <row r="19" customFormat="false" ht="15" hidden="false" customHeight="false" outlineLevel="0" collapsed="false">
      <c r="A19" s="12" t="s">
        <v>212</v>
      </c>
      <c r="B19" s="12" t="s">
        <v>220</v>
      </c>
      <c r="C19" s="12" t="s">
        <v>82</v>
      </c>
      <c r="D19" s="20" t="n">
        <v>17201</v>
      </c>
      <c r="E19" s="20" t="n">
        <v>-13</v>
      </c>
      <c r="F19" s="20" t="n">
        <v>146292</v>
      </c>
      <c r="G19" s="20" t="n">
        <v>-10.9</v>
      </c>
      <c r="H19" s="12" t="s">
        <v>206</v>
      </c>
      <c r="I19" s="12" t="s">
        <v>207</v>
      </c>
    </row>
    <row r="20" customFormat="false" ht="15" hidden="false" customHeight="false" outlineLevel="0" collapsed="false">
      <c r="A20" s="12" t="s">
        <v>212</v>
      </c>
      <c r="B20" s="12" t="s">
        <v>221</v>
      </c>
      <c r="C20" s="12" t="s">
        <v>82</v>
      </c>
      <c r="D20" s="20" t="n">
        <v>389367.7</v>
      </c>
      <c r="E20" s="20" t="n">
        <v>8.8</v>
      </c>
      <c r="F20" s="20" t="n">
        <v>214086.1</v>
      </c>
      <c r="G20" s="20" t="n">
        <v>8.5</v>
      </c>
      <c r="H20" s="12" t="s">
        <v>217</v>
      </c>
      <c r="I20" s="12" t="s">
        <v>207</v>
      </c>
    </row>
    <row r="21" customFormat="false" ht="15" hidden="false" customHeight="false" outlineLevel="0" collapsed="false">
      <c r="A21" s="12" t="s">
        <v>222</v>
      </c>
      <c r="B21" s="12" t="s">
        <v>205</v>
      </c>
      <c r="C21" s="12" t="s">
        <v>82</v>
      </c>
      <c r="D21" s="20" t="n">
        <v>403</v>
      </c>
      <c r="E21" s="20" t="n">
        <v>22.5</v>
      </c>
      <c r="F21" s="20" t="n">
        <v>4005</v>
      </c>
      <c r="G21" s="20" t="n">
        <v>-20.4</v>
      </c>
      <c r="H21" s="12" t="s">
        <v>206</v>
      </c>
      <c r="I21" s="12" t="s">
        <v>207</v>
      </c>
    </row>
    <row r="22" customFormat="false" ht="15" hidden="false" customHeight="false" outlineLevel="0" collapsed="false">
      <c r="A22" s="12" t="s">
        <v>222</v>
      </c>
      <c r="B22" s="12" t="s">
        <v>210</v>
      </c>
      <c r="C22" s="12" t="s">
        <v>82</v>
      </c>
      <c r="D22" s="20" t="n">
        <v>102</v>
      </c>
      <c r="E22" s="20" t="n">
        <v>67.2</v>
      </c>
      <c r="F22" s="20" t="n">
        <v>764</v>
      </c>
      <c r="G22" s="20" t="n">
        <v>-29.3</v>
      </c>
      <c r="H22" s="12" t="s">
        <v>206</v>
      </c>
      <c r="I22" s="12" t="s">
        <v>207</v>
      </c>
    </row>
    <row r="23" customFormat="false" ht="15" hidden="false" customHeight="false" outlineLevel="0" collapsed="false">
      <c r="A23" s="12" t="s">
        <v>222</v>
      </c>
      <c r="B23" s="12" t="s">
        <v>211</v>
      </c>
      <c r="C23" s="12" t="s">
        <v>82</v>
      </c>
      <c r="D23" s="20" t="n">
        <v>301</v>
      </c>
      <c r="E23" s="20" t="n">
        <v>12.3</v>
      </c>
      <c r="F23" s="20" t="n">
        <v>3241</v>
      </c>
      <c r="G23" s="20" t="n">
        <v>-18</v>
      </c>
      <c r="H23" s="12" t="s">
        <v>206</v>
      </c>
      <c r="I23" s="12" t="s">
        <v>207</v>
      </c>
    </row>
    <row r="24" customFormat="false" ht="15" hidden="false" customHeight="false" outlineLevel="0" collapsed="false">
      <c r="A24" s="12" t="s">
        <v>223</v>
      </c>
      <c r="B24" s="12" t="s">
        <v>224</v>
      </c>
      <c r="C24" s="12" t="s">
        <v>88</v>
      </c>
      <c r="D24" s="20" t="n">
        <v>6497</v>
      </c>
      <c r="E24" s="20" t="n">
        <v>4.6</v>
      </c>
      <c r="F24" s="20" t="n">
        <v>42213</v>
      </c>
      <c r="G24" s="20" t="n">
        <v>-0.1</v>
      </c>
      <c r="H24" s="12" t="s">
        <v>206</v>
      </c>
      <c r="I24" s="12" t="s">
        <v>207</v>
      </c>
    </row>
    <row r="25" customFormat="false" ht="15" hidden="false" customHeight="false" outlineLevel="0" collapsed="false">
      <c r="A25" s="12" t="s">
        <v>223</v>
      </c>
      <c r="B25" s="12" t="s">
        <v>225</v>
      </c>
      <c r="C25" s="12" t="s">
        <v>88</v>
      </c>
      <c r="D25" s="20" t="n">
        <v>1657468</v>
      </c>
      <c r="E25" s="20" t="n">
        <v>12.5</v>
      </c>
      <c r="F25" s="20" t="n">
        <v>7381626</v>
      </c>
      <c r="G25" s="20" t="n">
        <v>9.6</v>
      </c>
      <c r="H25" s="12" t="s">
        <v>215</v>
      </c>
      <c r="I25" s="12" t="s">
        <v>207</v>
      </c>
    </row>
    <row r="26" customFormat="false" ht="15" hidden="false" customHeight="false" outlineLevel="0" collapsed="false">
      <c r="A26" s="12" t="s">
        <v>223</v>
      </c>
      <c r="B26" s="12" t="s">
        <v>226</v>
      </c>
      <c r="C26" s="12" t="s">
        <v>82</v>
      </c>
      <c r="D26" s="20" t="n">
        <v>299</v>
      </c>
      <c r="E26" s="20" t="n">
        <v>-5.7</v>
      </c>
      <c r="F26" s="20" t="n">
        <v>305</v>
      </c>
      <c r="G26" s="20" t="n">
        <v>0.7</v>
      </c>
      <c r="H26" s="12" t="s">
        <v>227</v>
      </c>
      <c r="I26" s="12"/>
    </row>
    <row r="27" customFormat="false" ht="15" hidden="false" customHeight="false" outlineLevel="0" collapsed="false">
      <c r="A27" s="12" t="s">
        <v>223</v>
      </c>
      <c r="B27" s="12" t="s">
        <v>228</v>
      </c>
      <c r="C27" s="12" t="s">
        <v>82</v>
      </c>
      <c r="D27" s="20" t="n">
        <v>1277.4</v>
      </c>
      <c r="E27" s="20" t="n">
        <v>12.3</v>
      </c>
      <c r="F27" s="20" t="n">
        <v>807.8</v>
      </c>
      <c r="G27" s="20" t="n">
        <v>8.4</v>
      </c>
      <c r="H27" s="12" t="s">
        <v>217</v>
      </c>
      <c r="I27" s="12"/>
    </row>
    <row r="28" customFormat="false" ht="15" hidden="false" customHeight="false" outlineLevel="0" collapsed="false">
      <c r="A28" s="12" t="s">
        <v>223</v>
      </c>
      <c r="B28" s="12" t="s">
        <v>229</v>
      </c>
      <c r="C28" s="12" t="s">
        <v>82</v>
      </c>
      <c r="D28" s="20" t="n">
        <v>44</v>
      </c>
      <c r="E28" s="20" t="n">
        <v>8.6</v>
      </c>
      <c r="F28" s="20" t="n">
        <v>34</v>
      </c>
      <c r="G28" s="20" t="n">
        <v>4.9</v>
      </c>
      <c r="H28" s="12" t="s">
        <v>142</v>
      </c>
      <c r="I28" s="12"/>
    </row>
    <row r="30" customFormat="false" ht="15" hidden="false" customHeight="false" outlineLevel="0" collapsed="false">
      <c r="A30" s="11" t="s">
        <v>230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40"/>
    <col collapsed="false" customWidth="true" hidden="false" outlineLevel="0" max="3" min="3" style="0" width="14"/>
    <col collapsed="false" customWidth="true" hidden="false" outlineLevel="0" max="15" min="4" style="0" width="9"/>
  </cols>
  <sheetData>
    <row r="1" customFormat="false" ht="15" hidden="false" customHeight="false" outlineLevel="0" collapsed="false">
      <c r="A1" s="4" t="s">
        <v>118</v>
      </c>
      <c r="B1" s="4" t="s">
        <v>119</v>
      </c>
      <c r="C1" s="4" t="s">
        <v>120</v>
      </c>
      <c r="D1" s="4" t="s">
        <v>127</v>
      </c>
      <c r="E1" s="4" t="s">
        <v>128</v>
      </c>
      <c r="F1" s="4" t="s">
        <v>129</v>
      </c>
      <c r="G1" s="4" t="s">
        <v>130</v>
      </c>
      <c r="H1" s="4" t="s">
        <v>131</v>
      </c>
      <c r="I1" s="4" t="s">
        <v>132</v>
      </c>
      <c r="J1" s="4" t="s">
        <v>133</v>
      </c>
      <c r="K1" s="4" t="s">
        <v>134</v>
      </c>
      <c r="L1" s="4" t="s">
        <v>135</v>
      </c>
      <c r="M1" s="4" t="s">
        <v>30</v>
      </c>
      <c r="N1" s="4" t="s">
        <v>136</v>
      </c>
      <c r="O1" s="4" t="s">
        <v>97</v>
      </c>
    </row>
    <row r="2" customFormat="false" ht="15" hidden="false" customHeight="false" outlineLevel="0" collapsed="false">
      <c r="A2" s="12" t="s">
        <v>69</v>
      </c>
      <c r="B2" s="12" t="s">
        <v>231</v>
      </c>
      <c r="C2" s="12" t="s">
        <v>232</v>
      </c>
      <c r="D2" s="19" t="n">
        <v>100.486</v>
      </c>
      <c r="E2" s="19" t="n">
        <v>99.568</v>
      </c>
      <c r="F2" s="19" t="n">
        <v>100</v>
      </c>
      <c r="G2" s="19" t="n">
        <v>101.755</v>
      </c>
      <c r="H2" s="19" t="n">
        <v>103.653</v>
      </c>
      <c r="I2" s="19" t="n">
        <v>106.485</v>
      </c>
      <c r="J2" s="19" t="n">
        <v>110.717</v>
      </c>
      <c r="K2" s="19" t="n">
        <v>111.433</v>
      </c>
      <c r="L2" s="19" t="n">
        <v>112.539</v>
      </c>
      <c r="M2" s="19" t="n">
        <v>115.294</v>
      </c>
      <c r="N2" s="19" t="n">
        <v>118.178</v>
      </c>
      <c r="O2" s="19" t="n">
        <v>122.246</v>
      </c>
    </row>
    <row r="3" customFormat="false" ht="15" hidden="false" customHeight="false" outlineLevel="0" collapsed="false">
      <c r="A3" s="12" t="s">
        <v>69</v>
      </c>
      <c r="B3" s="12" t="s">
        <v>233</v>
      </c>
      <c r="C3" s="12" t="s">
        <v>142</v>
      </c>
      <c r="D3" s="19" t="n">
        <v>-3.1</v>
      </c>
      <c r="E3" s="19" t="n">
        <v>-0.9</v>
      </c>
      <c r="F3" s="19" t="n">
        <v>0.4</v>
      </c>
      <c r="G3" s="19" t="n">
        <v>1.8</v>
      </c>
      <c r="H3" s="19" t="n">
        <v>1.9</v>
      </c>
      <c r="I3" s="19" t="n">
        <v>2.7</v>
      </c>
      <c r="J3" s="19" t="n">
        <v>4</v>
      </c>
      <c r="K3" s="19" t="n">
        <v>0.6</v>
      </c>
      <c r="L3" s="19" t="n">
        <v>1</v>
      </c>
      <c r="M3" s="19" t="n">
        <v>2.4</v>
      </c>
      <c r="N3" s="19" t="n">
        <v>2.5</v>
      </c>
      <c r="O3" s="19" t="n">
        <v>3.4</v>
      </c>
    </row>
    <row r="4" customFormat="false" ht="15" hidden="false" customHeight="false" outlineLevel="0" collapsed="false">
      <c r="A4" s="12" t="s">
        <v>69</v>
      </c>
      <c r="B4" s="12" t="s">
        <v>234</v>
      </c>
      <c r="C4" s="12" t="s">
        <v>232</v>
      </c>
      <c r="D4" s="19" t="n">
        <v>99.86</v>
      </c>
      <c r="E4" s="19" t="n">
        <v>99.205</v>
      </c>
      <c r="F4" s="19" t="n">
        <v>100</v>
      </c>
      <c r="G4" s="19" t="n">
        <v>101.305</v>
      </c>
      <c r="H4" s="19" t="n">
        <v>102.999</v>
      </c>
      <c r="I4" s="19" t="n">
        <v>104.718</v>
      </c>
      <c r="J4" s="19" t="n">
        <v>106.716</v>
      </c>
      <c r="K4" s="19" t="n">
        <v>107.279</v>
      </c>
      <c r="L4" s="19" t="n">
        <v>109.206</v>
      </c>
      <c r="M4" s="19" t="n">
        <v>111.966</v>
      </c>
      <c r="N4" s="19" t="n">
        <v>114.383</v>
      </c>
      <c r="O4" s="19" t="n">
        <v>117.708</v>
      </c>
    </row>
    <row r="5" customFormat="false" ht="15" hidden="false" customHeight="false" outlineLevel="0" collapsed="false">
      <c r="A5" s="12" t="s">
        <v>69</v>
      </c>
      <c r="B5" s="12" t="s">
        <v>235</v>
      </c>
      <c r="C5" s="12" t="s">
        <v>142</v>
      </c>
      <c r="D5" s="19" t="n">
        <v>-2.6</v>
      </c>
      <c r="E5" s="19" t="n">
        <v>-0.7</v>
      </c>
      <c r="F5" s="19" t="n">
        <v>0.8</v>
      </c>
      <c r="G5" s="19" t="n">
        <v>1.3</v>
      </c>
      <c r="H5" s="19" t="n">
        <v>1.7</v>
      </c>
      <c r="I5" s="19" t="n">
        <v>1.7</v>
      </c>
      <c r="J5" s="19" t="n">
        <v>1.9</v>
      </c>
      <c r="K5" s="19" t="n">
        <v>0.5</v>
      </c>
      <c r="L5" s="19" t="n">
        <v>1.8</v>
      </c>
      <c r="M5" s="19" t="n">
        <v>2.5</v>
      </c>
      <c r="N5" s="19" t="n">
        <v>2.2</v>
      </c>
      <c r="O5" s="19" t="n">
        <v>2.9</v>
      </c>
    </row>
    <row r="6" customFormat="false" ht="15" hidden="false" customHeight="false" outlineLevel="0" collapsed="false">
      <c r="A6" s="12" t="s">
        <v>69</v>
      </c>
      <c r="B6" s="12" t="s">
        <v>236</v>
      </c>
      <c r="C6" s="12" t="s">
        <v>232</v>
      </c>
      <c r="D6" s="19" t="n">
        <v>100.531</v>
      </c>
      <c r="E6" s="19" t="n">
        <v>99.594</v>
      </c>
      <c r="F6" s="19" t="n">
        <v>100</v>
      </c>
      <c r="G6" s="19" t="n">
        <v>101.787</v>
      </c>
      <c r="H6" s="19" t="n">
        <v>103.701</v>
      </c>
      <c r="I6" s="19" t="n">
        <v>106.612</v>
      </c>
      <c r="J6" s="19" t="n">
        <v>110.998</v>
      </c>
      <c r="K6" s="19" t="n">
        <v>111.724</v>
      </c>
      <c r="L6" s="19" t="n">
        <v>112.774</v>
      </c>
      <c r="M6" s="19" t="n">
        <v>115.529</v>
      </c>
      <c r="N6" s="19" t="n">
        <v>118.443</v>
      </c>
      <c r="O6" s="19" t="n">
        <v>122.559</v>
      </c>
    </row>
    <row r="7" customFormat="false" ht="15" hidden="false" customHeight="false" outlineLevel="0" collapsed="false">
      <c r="A7" s="12" t="s">
        <v>69</v>
      </c>
      <c r="B7" s="12" t="s">
        <v>237</v>
      </c>
      <c r="C7" s="12" t="s">
        <v>142</v>
      </c>
      <c r="D7" s="19" t="n">
        <v>-3.1</v>
      </c>
      <c r="E7" s="19" t="n">
        <v>-0.9</v>
      </c>
      <c r="F7" s="19" t="n">
        <v>0.4</v>
      </c>
      <c r="G7" s="19" t="n">
        <v>1.8</v>
      </c>
      <c r="H7" s="19" t="n">
        <v>1.9</v>
      </c>
      <c r="I7" s="19" t="n">
        <v>2.8</v>
      </c>
      <c r="J7" s="19" t="n">
        <v>4.1</v>
      </c>
      <c r="K7" s="19" t="n">
        <v>0.7</v>
      </c>
      <c r="L7" s="19" t="n">
        <v>0.9</v>
      </c>
      <c r="M7" s="19" t="n">
        <v>2.4</v>
      </c>
      <c r="N7" s="19" t="n">
        <v>2.5</v>
      </c>
      <c r="O7" s="19" t="n">
        <v>3.5</v>
      </c>
    </row>
    <row r="8" customFormat="false" ht="15" hidden="false" customHeight="false" outlineLevel="0" collapsed="false">
      <c r="A8" s="12" t="s">
        <v>145</v>
      </c>
      <c r="B8" s="12" t="s">
        <v>231</v>
      </c>
      <c r="C8" s="12" t="s">
        <v>232</v>
      </c>
      <c r="D8" s="19" t="n">
        <v>100.493</v>
      </c>
      <c r="E8" s="19" t="n">
        <v>99.741</v>
      </c>
      <c r="F8" s="19" t="n">
        <v>100</v>
      </c>
      <c r="G8" s="19" t="n">
        <v>101.681</v>
      </c>
      <c r="H8" s="19" t="n">
        <v>103.528</v>
      </c>
      <c r="I8" s="19" t="n">
        <v>106.247</v>
      </c>
      <c r="J8" s="19" t="n">
        <v>109.999</v>
      </c>
      <c r="K8" s="19" t="n">
        <v>110.942</v>
      </c>
      <c r="L8" s="19" t="n">
        <v>112.694</v>
      </c>
      <c r="M8" s="19" t="n">
        <v>115.684</v>
      </c>
      <c r="N8" s="19" t="n">
        <v>118.727</v>
      </c>
      <c r="O8" s="19" t="n">
        <v>122.92</v>
      </c>
    </row>
    <row r="9" customFormat="false" ht="15" hidden="false" customHeight="false" outlineLevel="0" collapsed="false">
      <c r="A9" s="12" t="s">
        <v>145</v>
      </c>
      <c r="B9" s="12" t="s">
        <v>233</v>
      </c>
      <c r="C9" s="12" t="s">
        <v>142</v>
      </c>
      <c r="D9" s="19" t="n">
        <v>-2.6</v>
      </c>
      <c r="E9" s="19" t="n">
        <v>-0.7</v>
      </c>
      <c r="F9" s="19" t="n">
        <v>0.3</v>
      </c>
      <c r="G9" s="19" t="n">
        <v>1.7</v>
      </c>
      <c r="H9" s="19" t="n">
        <v>1.8</v>
      </c>
      <c r="I9" s="19" t="n">
        <v>2.6</v>
      </c>
      <c r="J9" s="19" t="n">
        <v>3.5</v>
      </c>
      <c r="K9" s="19" t="n">
        <v>0.9</v>
      </c>
      <c r="L9" s="19" t="n">
        <v>1.6</v>
      </c>
      <c r="M9" s="19" t="n">
        <v>2.7</v>
      </c>
      <c r="N9" s="19" t="n">
        <v>2.6</v>
      </c>
      <c r="O9" s="19" t="n">
        <v>3.5</v>
      </c>
    </row>
    <row r="10" customFormat="false" ht="15" hidden="false" customHeight="false" outlineLevel="0" collapsed="false">
      <c r="A10" s="12" t="s">
        <v>145</v>
      </c>
      <c r="B10" s="12" t="s">
        <v>234</v>
      </c>
      <c r="C10" s="12" t="s">
        <v>232</v>
      </c>
      <c r="D10" s="19" t="n">
        <v>99.347</v>
      </c>
      <c r="E10" s="19" t="n">
        <v>99.367</v>
      </c>
      <c r="F10" s="19" t="n">
        <v>100</v>
      </c>
      <c r="G10" s="19" t="n">
        <v>101.744</v>
      </c>
      <c r="H10" s="19" t="n">
        <v>103.327</v>
      </c>
      <c r="I10" s="19" t="n">
        <v>105.205</v>
      </c>
      <c r="J10" s="19" t="n">
        <v>106.79</v>
      </c>
      <c r="K10" s="19" t="n">
        <v>107.422</v>
      </c>
      <c r="L10" s="19" t="n">
        <v>109.513</v>
      </c>
      <c r="M10" s="19" t="n">
        <v>112.215</v>
      </c>
      <c r="N10" s="19" t="n">
        <v>114.608</v>
      </c>
      <c r="O10" s="19" t="n">
        <v>118.005</v>
      </c>
    </row>
    <row r="11" customFormat="false" ht="15" hidden="false" customHeight="false" outlineLevel="0" collapsed="false">
      <c r="A11" s="12" t="s">
        <v>145</v>
      </c>
      <c r="B11" s="12" t="s">
        <v>235</v>
      </c>
      <c r="C11" s="12" t="s">
        <v>142</v>
      </c>
      <c r="D11" s="19" t="n">
        <v>-1.7</v>
      </c>
      <c r="E11" s="19" t="n">
        <v>0</v>
      </c>
      <c r="F11" s="19" t="n">
        <v>0.6</v>
      </c>
      <c r="G11" s="19" t="n">
        <v>1.7</v>
      </c>
      <c r="H11" s="19" t="n">
        <v>1.6</v>
      </c>
      <c r="I11" s="19" t="n">
        <v>1.8</v>
      </c>
      <c r="J11" s="19" t="n">
        <v>1.5</v>
      </c>
      <c r="K11" s="19" t="n">
        <v>0.6</v>
      </c>
      <c r="L11" s="19" t="n">
        <v>1.9</v>
      </c>
      <c r="M11" s="19" t="n">
        <v>2.5</v>
      </c>
      <c r="N11" s="19" t="n">
        <v>2.1</v>
      </c>
      <c r="O11" s="19" t="n">
        <v>3</v>
      </c>
    </row>
    <row r="12" customFormat="false" ht="15" hidden="false" customHeight="false" outlineLevel="0" collapsed="false">
      <c r="A12" s="12" t="s">
        <v>145</v>
      </c>
      <c r="B12" s="12" t="s">
        <v>236</v>
      </c>
      <c r="C12" s="12" t="s">
        <v>232</v>
      </c>
      <c r="D12" s="19" t="n">
        <v>100.629</v>
      </c>
      <c r="E12" s="19" t="n">
        <v>99.786</v>
      </c>
      <c r="F12" s="19" t="n">
        <v>100</v>
      </c>
      <c r="G12" s="19" t="n">
        <v>101.673</v>
      </c>
      <c r="H12" s="19" t="n">
        <v>103.553</v>
      </c>
      <c r="I12" s="19" t="n">
        <v>106.378</v>
      </c>
      <c r="J12" s="19" t="n">
        <v>110.4</v>
      </c>
      <c r="K12" s="19" t="n">
        <v>111.382</v>
      </c>
      <c r="L12" s="19" t="n">
        <v>113.088</v>
      </c>
      <c r="M12" s="19" t="n">
        <v>116.115</v>
      </c>
      <c r="N12" s="19" t="n">
        <v>119.24</v>
      </c>
      <c r="O12" s="19" t="n">
        <v>123.533</v>
      </c>
    </row>
    <row r="13" customFormat="false" ht="15" hidden="false" customHeight="false" outlineLevel="0" collapsed="false">
      <c r="A13" s="12" t="s">
        <v>145</v>
      </c>
      <c r="B13" s="12" t="s">
        <v>237</v>
      </c>
      <c r="C13" s="12" t="s">
        <v>142</v>
      </c>
      <c r="D13" s="19" t="n">
        <v>-2.7</v>
      </c>
      <c r="E13" s="19" t="n">
        <v>-0.8</v>
      </c>
      <c r="F13" s="19" t="n">
        <v>0.2</v>
      </c>
      <c r="G13" s="19" t="n">
        <v>1.7</v>
      </c>
      <c r="H13" s="19" t="n">
        <v>1.8</v>
      </c>
      <c r="I13" s="19" t="n">
        <v>2.7</v>
      </c>
      <c r="J13" s="19" t="n">
        <v>3.8</v>
      </c>
      <c r="K13" s="19" t="n">
        <v>0.9</v>
      </c>
      <c r="L13" s="19" t="n">
        <v>1.5</v>
      </c>
      <c r="M13" s="19" t="n">
        <v>2.7</v>
      </c>
      <c r="N13" s="19" t="n">
        <v>2.7</v>
      </c>
      <c r="O13" s="19" t="n">
        <v>3.6</v>
      </c>
    </row>
    <row r="15" customFormat="false" ht="15" hidden="false" customHeight="false" outlineLevel="0" collapsed="false">
      <c r="A15" s="2" t="s">
        <v>238</v>
      </c>
      <c r="B15" s="2" t="s">
        <v>69</v>
      </c>
      <c r="C15" s="2" t="s">
        <v>68</v>
      </c>
    </row>
    <row r="16" customFormat="false" ht="15" hidden="false" customHeight="false" outlineLevel="0" collapsed="false">
      <c r="A16" s="12" t="s">
        <v>239</v>
      </c>
      <c r="B16" s="14" t="n">
        <f aca="false">(O2/100-1)*100</f>
        <v>22.246</v>
      </c>
      <c r="C16" s="14" t="n">
        <f aca="false">(O8/100-1)*100</f>
        <v>22.92</v>
      </c>
    </row>
    <row r="17" customFormat="false" ht="15" hidden="false" customHeight="false" outlineLevel="0" collapsed="false">
      <c r="A17" s="12" t="s">
        <v>240</v>
      </c>
      <c r="B17" s="14" t="n">
        <f aca="false">(O2/J2-1)*100</f>
        <v>10.4130350352701</v>
      </c>
      <c r="C17" s="14" t="n">
        <f aca="false">(O8/J8-1)*100</f>
        <v>11.7464704224584</v>
      </c>
    </row>
    <row r="19" customFormat="false" ht="15" hidden="false" customHeight="false" outlineLevel="0" collapsed="false">
      <c r="A19" s="11" t="s">
        <v>241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s>
  <sheetData>
    <row r="1" customFormat="false" ht="15" hidden="false" customHeight="false" outlineLevel="0" collapsed="false">
      <c r="A1" s="4" t="s">
        <v>186</v>
      </c>
      <c r="B1" s="4" t="s">
        <v>242</v>
      </c>
    </row>
    <row r="2" customFormat="false" ht="15" hidden="false" customHeight="false" outlineLevel="0" collapsed="false">
      <c r="A2" s="12" t="s">
        <v>243</v>
      </c>
      <c r="B2" s="21" t="n">
        <v>2.32</v>
      </c>
    </row>
    <row r="3" customFormat="false" ht="15" hidden="false" customHeight="false" outlineLevel="0" collapsed="false">
      <c r="A3" s="12" t="s">
        <v>244</v>
      </c>
      <c r="B3" s="21" t="n">
        <v>2.14</v>
      </c>
    </row>
    <row r="4" customFormat="false" ht="15" hidden="false" customHeight="false" outlineLevel="0" collapsed="false">
      <c r="A4" s="12" t="s">
        <v>245</v>
      </c>
      <c r="B4" s="21" t="n">
        <v>2.16</v>
      </c>
    </row>
    <row r="5" customFormat="false" ht="15" hidden="false" customHeight="false" outlineLevel="0" collapsed="false">
      <c r="A5" s="12" t="s">
        <v>246</v>
      </c>
      <c r="B5" s="21" t="n">
        <v>2.47</v>
      </c>
    </row>
    <row r="6" customFormat="false" ht="15" hidden="false" customHeight="false" outlineLevel="0" collapsed="false">
      <c r="A6" s="12" t="s">
        <v>247</v>
      </c>
      <c r="B6" s="21" t="n">
        <v>2.4</v>
      </c>
    </row>
    <row r="7" customFormat="false" ht="15" hidden="false" customHeight="false" outlineLevel="0" collapsed="false">
      <c r="A7" s="12" t="s">
        <v>248</v>
      </c>
      <c r="B7" s="21" t="n">
        <v>2.48</v>
      </c>
    </row>
    <row r="8" customFormat="false" ht="15" hidden="false" customHeight="false" outlineLevel="0" collapsed="false">
      <c r="A8" s="12" t="s">
        <v>249</v>
      </c>
      <c r="B8" s="21" t="n">
        <v>2.44</v>
      </c>
    </row>
    <row r="9" customFormat="false" ht="15" hidden="false" customHeight="false" outlineLevel="0" collapsed="false">
      <c r="A9" s="12" t="s">
        <v>250</v>
      </c>
      <c r="B9" s="21" t="n">
        <v>2.49</v>
      </c>
    </row>
    <row r="10" customFormat="false" ht="15" hidden="false" customHeight="false" outlineLevel="0" collapsed="false">
      <c r="A10" s="12" t="s">
        <v>251</v>
      </c>
      <c r="B10" s="21" t="n">
        <v>2.47</v>
      </c>
    </row>
    <row r="11" customFormat="false" ht="15" hidden="false" customHeight="false" outlineLevel="0" collapsed="false">
      <c r="A11" s="12" t="s">
        <v>252</v>
      </c>
      <c r="B11" s="21" t="n">
        <v>2.54</v>
      </c>
    </row>
    <row r="13" customFormat="false" ht="15" hidden="false" customHeight="false" outlineLevel="0" collapsed="false">
      <c r="A13" s="11" t="s">
        <v>253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4" min="2" style="0" width="12"/>
  </cols>
  <sheetData>
    <row r="1" customFormat="false" ht="45.75" hidden="false" customHeight="true" outlineLevel="0" collapsed="false">
      <c r="A1" s="4" t="s">
        <v>118</v>
      </c>
      <c r="B1" s="4" t="s">
        <v>254</v>
      </c>
      <c r="C1" s="4" t="s">
        <v>255</v>
      </c>
      <c r="D1" s="4" t="s">
        <v>256</v>
      </c>
      <c r="E1" s="4" t="s">
        <v>257</v>
      </c>
      <c r="F1" s="4" t="s">
        <v>258</v>
      </c>
      <c r="G1" s="4" t="s">
        <v>259</v>
      </c>
      <c r="H1" s="4" t="s">
        <v>260</v>
      </c>
      <c r="I1" s="4" t="s">
        <v>261</v>
      </c>
      <c r="J1" s="4" t="s">
        <v>262</v>
      </c>
      <c r="K1" s="4" t="s">
        <v>263</v>
      </c>
      <c r="L1" s="4" t="s">
        <v>264</v>
      </c>
      <c r="M1" s="4" t="s">
        <v>265</v>
      </c>
      <c r="N1" s="4" t="s">
        <v>266</v>
      </c>
      <c r="O1" s="4" t="s">
        <v>267</v>
      </c>
      <c r="P1" s="4" t="s">
        <v>268</v>
      </c>
      <c r="Q1" s="4" t="s">
        <v>269</v>
      </c>
      <c r="R1" s="4" t="s">
        <v>270</v>
      </c>
      <c r="S1" s="4" t="s">
        <v>271</v>
      </c>
      <c r="T1" s="4" t="s">
        <v>272</v>
      </c>
      <c r="U1" s="4" t="s">
        <v>273</v>
      </c>
      <c r="V1" s="4" t="s">
        <v>274</v>
      </c>
      <c r="W1" s="4" t="s">
        <v>275</v>
      </c>
      <c r="X1" s="4" t="s">
        <v>276</v>
      </c>
      <c r="Y1" s="4" t="s">
        <v>277</v>
      </c>
    </row>
    <row r="2" customFormat="false" ht="15" hidden="false" customHeight="false" outlineLevel="0" collapsed="false">
      <c r="A2" s="12" t="s">
        <v>278</v>
      </c>
      <c r="B2" s="22" t="n">
        <v>2022</v>
      </c>
      <c r="C2" s="23" t="n">
        <v>210162</v>
      </c>
      <c r="D2" s="24" t="n">
        <v>6.6</v>
      </c>
      <c r="E2" s="24" t="n">
        <v>4.9</v>
      </c>
      <c r="F2" s="24" t="n">
        <v>8.7</v>
      </c>
      <c r="G2" s="23" t="n">
        <v>82</v>
      </c>
      <c r="H2" s="23" t="n">
        <v>65</v>
      </c>
      <c r="I2" s="23" t="n">
        <v>102</v>
      </c>
      <c r="J2" s="23" t="n">
        <v>500</v>
      </c>
      <c r="K2" s="23" t="n">
        <v>398</v>
      </c>
      <c r="L2" s="23" t="n">
        <v>650</v>
      </c>
      <c r="M2" s="23" t="n">
        <v>41838</v>
      </c>
      <c r="N2" s="24" t="n">
        <v>4.5</v>
      </c>
      <c r="O2" s="24" t="n">
        <v>3</v>
      </c>
      <c r="P2" s="24" t="n">
        <v>6.5</v>
      </c>
      <c r="Q2" s="23" t="n">
        <v>140</v>
      </c>
      <c r="R2" s="23" t="n">
        <v>104</v>
      </c>
      <c r="S2" s="23" t="n">
        <v>201</v>
      </c>
      <c r="T2" s="23" t="n">
        <v>499</v>
      </c>
      <c r="U2" s="23" t="n">
        <v>350</v>
      </c>
      <c r="V2" s="23" t="n">
        <v>703</v>
      </c>
      <c r="W2" s="17" t="n">
        <f aca="false">IF(D2="","",D2/MEDIAN(D$2:D$20))</f>
        <v>1.01538461538462</v>
      </c>
      <c r="X2" s="25" t="n">
        <f aca="false">IF(D2="","",RANK(D2,D$2:D$20,0))</f>
        <v>7</v>
      </c>
      <c r="Y2" s="16" t="n">
        <f aca="false">IF(J2="","",J2*12)</f>
        <v>6000</v>
      </c>
    </row>
    <row r="3" customFormat="false" ht="15" hidden="false" customHeight="false" outlineLevel="0" collapsed="false">
      <c r="A3" s="12" t="s">
        <v>279</v>
      </c>
      <c r="B3" s="22" t="n">
        <v>2022</v>
      </c>
      <c r="C3" s="23" t="n">
        <v>74133</v>
      </c>
      <c r="D3" s="24" t="n">
        <v>6.5</v>
      </c>
      <c r="E3" s="24" t="n">
        <v>5</v>
      </c>
      <c r="F3" s="24" t="n">
        <v>8</v>
      </c>
      <c r="G3" s="23" t="n">
        <v>75</v>
      </c>
      <c r="H3" s="23" t="n">
        <v>61</v>
      </c>
      <c r="I3" s="23" t="n">
        <v>94</v>
      </c>
      <c r="J3" s="23" t="n">
        <v>456</v>
      </c>
      <c r="K3" s="23" t="n">
        <v>375</v>
      </c>
      <c r="L3" s="23" t="n">
        <v>560</v>
      </c>
      <c r="M3" s="23" t="n">
        <v>6950</v>
      </c>
      <c r="N3" s="24" t="n">
        <v>3.5</v>
      </c>
      <c r="O3" s="24" t="n">
        <v>2.3</v>
      </c>
      <c r="P3" s="24" t="n">
        <v>4.8</v>
      </c>
      <c r="Q3" s="23" t="n">
        <v>178</v>
      </c>
      <c r="R3" s="23" t="n">
        <v>129</v>
      </c>
      <c r="S3" s="23" t="n">
        <v>251</v>
      </c>
      <c r="T3" s="23" t="n">
        <v>400</v>
      </c>
      <c r="U3" s="23" t="n">
        <v>290</v>
      </c>
      <c r="V3" s="23" t="n">
        <v>540</v>
      </c>
      <c r="W3" s="17" t="n">
        <f aca="false">IF(D3="","",D3/MEDIAN(D$2:D$20))</f>
        <v>1</v>
      </c>
      <c r="X3" s="25" t="n">
        <f aca="false">IF(D3="","",RANK(D3,D$2:D$20,0))</f>
        <v>8</v>
      </c>
      <c r="Y3" s="16" t="n">
        <f aca="false">IF(J3="","",J3*12)</f>
        <v>5472</v>
      </c>
    </row>
    <row r="4" customFormat="false" ht="15" hidden="false" customHeight="false" outlineLevel="0" collapsed="false">
      <c r="A4" s="12" t="s">
        <v>280</v>
      </c>
      <c r="B4" s="22" t="n">
        <v>2022</v>
      </c>
      <c r="C4" s="23" t="n">
        <v>52555</v>
      </c>
      <c r="D4" s="24" t="n">
        <v>6.1</v>
      </c>
      <c r="E4" s="24" t="n">
        <v>4.8</v>
      </c>
      <c r="F4" s="24" t="n">
        <v>7.8</v>
      </c>
      <c r="G4" s="23" t="n">
        <v>76</v>
      </c>
      <c r="H4" s="23" t="n">
        <v>61</v>
      </c>
      <c r="I4" s="23" t="n">
        <v>91</v>
      </c>
      <c r="J4" s="23" t="n">
        <v>440</v>
      </c>
      <c r="K4" s="23" t="n">
        <v>355</v>
      </c>
      <c r="L4" s="23" t="n">
        <v>521</v>
      </c>
      <c r="M4" s="23" t="n">
        <v>4078</v>
      </c>
      <c r="N4" s="24" t="n">
        <v>4</v>
      </c>
      <c r="O4" s="24" t="n">
        <v>2.5</v>
      </c>
      <c r="P4" s="24" t="n">
        <v>5.7</v>
      </c>
      <c r="Q4" s="23" t="n">
        <v>144</v>
      </c>
      <c r="R4" s="23" t="n">
        <v>91</v>
      </c>
      <c r="S4" s="23" t="n">
        <v>217</v>
      </c>
      <c r="T4" s="23" t="n">
        <v>390</v>
      </c>
      <c r="U4" s="23" t="n">
        <v>267</v>
      </c>
      <c r="V4" s="23" t="n">
        <v>583</v>
      </c>
      <c r="W4" s="17" t="n">
        <f aca="false">IF(D4="","",D4/MEDIAN(D$2:D$20))</f>
        <v>0.938461538461539</v>
      </c>
      <c r="X4" s="25" t="n">
        <f aca="false">IF(D4="","",RANK(D4,D$2:D$20,0))</f>
        <v>10</v>
      </c>
      <c r="Y4" s="16" t="n">
        <f aca="false">IF(J4="","",J4*12)</f>
        <v>5280</v>
      </c>
    </row>
    <row r="5" customFormat="false" ht="15" hidden="false" customHeight="false" outlineLevel="0" collapsed="false">
      <c r="A5" s="12" t="s">
        <v>281</v>
      </c>
      <c r="B5" s="22" t="n">
        <v>2022</v>
      </c>
      <c r="C5" s="23" t="n">
        <v>63188</v>
      </c>
      <c r="D5" s="24" t="n">
        <v>8.6</v>
      </c>
      <c r="E5" s="24" t="n">
        <v>6.3</v>
      </c>
      <c r="F5" s="24" t="n">
        <v>11.5</v>
      </c>
      <c r="G5" s="23" t="n">
        <v>84</v>
      </c>
      <c r="H5" s="23" t="n">
        <v>64</v>
      </c>
      <c r="I5" s="23" t="n">
        <v>106</v>
      </c>
      <c r="J5" s="23" t="n">
        <v>671</v>
      </c>
      <c r="K5" s="23" t="n">
        <v>520</v>
      </c>
      <c r="L5" s="23" t="n">
        <v>850</v>
      </c>
      <c r="M5" s="23" t="n">
        <v>34816</v>
      </c>
      <c r="N5" s="24" t="n">
        <v>5.9</v>
      </c>
      <c r="O5" s="24" t="n">
        <v>3.6</v>
      </c>
      <c r="P5" s="24" t="n">
        <v>9.2</v>
      </c>
      <c r="Q5" s="23" t="n">
        <v>167</v>
      </c>
      <c r="R5" s="23" t="n">
        <v>108</v>
      </c>
      <c r="S5" s="23" t="n">
        <v>262</v>
      </c>
      <c r="T5" s="23" t="n">
        <v>675</v>
      </c>
      <c r="U5" s="23" t="n">
        <v>465</v>
      </c>
      <c r="V5" s="23" t="n">
        <v>1000</v>
      </c>
      <c r="W5" s="17" t="n">
        <f aca="false">IF(D5="","",D5/MEDIAN(D$2:D$20))</f>
        <v>1.32307692307692</v>
      </c>
      <c r="X5" s="25" t="n">
        <f aca="false">IF(D5="","",RANK(D5,D$2:D$20,0))</f>
        <v>4</v>
      </c>
      <c r="Y5" s="16" t="n">
        <f aca="false">IF(J5="","",J5*12)</f>
        <v>8052</v>
      </c>
    </row>
    <row r="6" customFormat="false" ht="15" hidden="false" customHeight="false" outlineLevel="0" collapsed="false">
      <c r="A6" s="12" t="s">
        <v>282</v>
      </c>
      <c r="B6" s="22" t="n">
        <v>2022</v>
      </c>
      <c r="C6" s="23" t="n">
        <v>88129</v>
      </c>
      <c r="D6" s="24" t="n">
        <v>7</v>
      </c>
      <c r="E6" s="24" t="n">
        <v>5.4</v>
      </c>
      <c r="F6" s="24" t="n">
        <v>9</v>
      </c>
      <c r="G6" s="23" t="n">
        <v>75</v>
      </c>
      <c r="H6" s="23" t="n">
        <v>59</v>
      </c>
      <c r="I6" s="23" t="n">
        <v>94</v>
      </c>
      <c r="J6" s="23" t="n">
        <v>500</v>
      </c>
      <c r="K6" s="23" t="n">
        <v>400</v>
      </c>
      <c r="L6" s="23" t="n">
        <v>601</v>
      </c>
      <c r="M6" s="23" t="n">
        <v>22297</v>
      </c>
      <c r="N6" s="24" t="n">
        <v>5.6</v>
      </c>
      <c r="O6" s="24" t="n">
        <v>3.2</v>
      </c>
      <c r="P6" s="24" t="n">
        <v>8.4</v>
      </c>
      <c r="Q6" s="23" t="n">
        <v>122</v>
      </c>
      <c r="R6" s="23" t="n">
        <v>74</v>
      </c>
      <c r="S6" s="23" t="n">
        <v>209</v>
      </c>
      <c r="T6" s="23" t="n">
        <v>501</v>
      </c>
      <c r="U6" s="23" t="n">
        <v>400</v>
      </c>
      <c r="V6" s="23" t="n">
        <v>708</v>
      </c>
      <c r="W6" s="17" t="n">
        <f aca="false">IF(D6="","",D6/MEDIAN(D$2:D$20))</f>
        <v>1.07692307692308</v>
      </c>
      <c r="X6" s="25" t="n">
        <f aca="false">IF(D6="","",RANK(D6,D$2:D$20,0))</f>
        <v>6</v>
      </c>
      <c r="Y6" s="16" t="n">
        <f aca="false">IF(J6="","",J6*12)</f>
        <v>6000</v>
      </c>
    </row>
    <row r="7" customFormat="false" ht="15" hidden="false" customHeight="false" outlineLevel="0" collapsed="false">
      <c r="A7" s="12" t="s">
        <v>283</v>
      </c>
      <c r="B7" s="22" t="n">
        <v>2022</v>
      </c>
      <c r="C7" s="23" t="n">
        <v>24884</v>
      </c>
      <c r="D7" s="24" t="n">
        <v>6.5</v>
      </c>
      <c r="E7" s="24" t="n">
        <v>5.2</v>
      </c>
      <c r="F7" s="24" t="n">
        <v>8.2</v>
      </c>
      <c r="G7" s="23" t="n">
        <v>77</v>
      </c>
      <c r="H7" s="23" t="n">
        <v>64</v>
      </c>
      <c r="I7" s="23" t="n">
        <v>93</v>
      </c>
      <c r="J7" s="23" t="n">
        <v>479</v>
      </c>
      <c r="K7" s="23" t="n">
        <v>400</v>
      </c>
      <c r="L7" s="23" t="n">
        <v>583</v>
      </c>
      <c r="M7" s="23" t="n">
        <v>2420</v>
      </c>
      <c r="N7" s="24" t="n">
        <v>4.7</v>
      </c>
      <c r="O7" s="24" t="n">
        <v>3.4</v>
      </c>
      <c r="P7" s="24" t="n">
        <v>6.1</v>
      </c>
      <c r="Q7" s="23" t="n">
        <v>159</v>
      </c>
      <c r="R7" s="23" t="n">
        <v>106</v>
      </c>
      <c r="S7" s="23" t="n">
        <v>223</v>
      </c>
      <c r="T7" s="23" t="n">
        <v>500</v>
      </c>
      <c r="U7" s="23" t="n">
        <v>389</v>
      </c>
      <c r="V7" s="23" t="n">
        <v>684</v>
      </c>
      <c r="W7" s="17" t="n">
        <f aca="false">IF(D7="","",D7/MEDIAN(D$2:D$20))</f>
        <v>1</v>
      </c>
      <c r="X7" s="25" t="n">
        <f aca="false">IF(D7="","",RANK(D7,D$2:D$20,0))</f>
        <v>8</v>
      </c>
      <c r="Y7" s="16" t="n">
        <f aca="false">IF(J7="","",J7*12)</f>
        <v>5748</v>
      </c>
    </row>
    <row r="8" customFormat="false" ht="15" hidden="false" customHeight="false" outlineLevel="0" collapsed="false">
      <c r="A8" s="12" t="s">
        <v>284</v>
      </c>
      <c r="B8" s="22" t="n">
        <v>2022</v>
      </c>
      <c r="C8" s="23" t="n">
        <v>101524</v>
      </c>
      <c r="D8" s="24" t="n">
        <v>5.5</v>
      </c>
      <c r="E8" s="24" t="n">
        <v>4.2</v>
      </c>
      <c r="F8" s="24" t="n">
        <v>6.9</v>
      </c>
      <c r="G8" s="23" t="n">
        <v>85</v>
      </c>
      <c r="H8" s="23" t="n">
        <v>69</v>
      </c>
      <c r="I8" s="23" t="n">
        <v>103</v>
      </c>
      <c r="J8" s="23" t="n">
        <v>435</v>
      </c>
      <c r="K8" s="23" t="n">
        <v>350</v>
      </c>
      <c r="L8" s="23" t="n">
        <v>525</v>
      </c>
      <c r="M8" s="23" t="n">
        <v>11554</v>
      </c>
      <c r="N8" s="24" t="n">
        <v>3.5</v>
      </c>
      <c r="O8" s="24" t="n">
        <v>2.4</v>
      </c>
      <c r="P8" s="24" t="n">
        <v>4.7</v>
      </c>
      <c r="Q8" s="23" t="n">
        <v>163</v>
      </c>
      <c r="R8" s="23" t="n">
        <v>116</v>
      </c>
      <c r="S8" s="23" t="n">
        <v>227</v>
      </c>
      <c r="T8" s="23" t="n">
        <v>400</v>
      </c>
      <c r="U8" s="23" t="n">
        <v>280</v>
      </c>
      <c r="V8" s="23" t="n">
        <v>550</v>
      </c>
      <c r="W8" s="17" t="n">
        <f aca="false">IF(D8="","",D8/MEDIAN(D$2:D$20))</f>
        <v>0.846153846153846</v>
      </c>
      <c r="X8" s="25" t="n">
        <f aca="false">IF(D8="","",RANK(D8,D$2:D$20,0))</f>
        <v>11</v>
      </c>
      <c r="Y8" s="16" t="n">
        <f aca="false">IF(J8="","",J8*12)</f>
        <v>5220</v>
      </c>
    </row>
    <row r="9" customFormat="false" ht="15" hidden="false" customHeight="false" outlineLevel="0" collapsed="false">
      <c r="A9" s="12" t="s">
        <v>285</v>
      </c>
      <c r="B9" s="22" t="n">
        <v>2022</v>
      </c>
      <c r="C9" s="23" t="n">
        <v>59292</v>
      </c>
      <c r="D9" s="24" t="n">
        <v>5.3</v>
      </c>
      <c r="E9" s="24" t="n">
        <v>4</v>
      </c>
      <c r="F9" s="24" t="n">
        <v>6.7</v>
      </c>
      <c r="G9" s="23" t="n">
        <v>88</v>
      </c>
      <c r="H9" s="23" t="n">
        <v>71</v>
      </c>
      <c r="I9" s="23" t="n">
        <v>108</v>
      </c>
      <c r="J9" s="23" t="n">
        <v>425</v>
      </c>
      <c r="K9" s="23" t="n">
        <v>344</v>
      </c>
      <c r="L9" s="23" t="n">
        <v>527</v>
      </c>
      <c r="M9" s="23" t="n">
        <v>16210</v>
      </c>
      <c r="N9" s="24" t="n">
        <v>3.4</v>
      </c>
      <c r="O9" s="24" t="n">
        <v>2.3</v>
      </c>
      <c r="P9" s="24" t="n">
        <v>4.8</v>
      </c>
      <c r="Q9" s="23" t="n">
        <v>169</v>
      </c>
      <c r="R9" s="23" t="n">
        <v>130</v>
      </c>
      <c r="S9" s="23" t="n">
        <v>226</v>
      </c>
      <c r="T9" s="23" t="n">
        <v>400</v>
      </c>
      <c r="U9" s="23" t="n">
        <v>300</v>
      </c>
      <c r="V9" s="23" t="n">
        <v>600</v>
      </c>
      <c r="W9" s="17" t="n">
        <f aca="false">IF(D9="","",D9/MEDIAN(D$2:D$20))</f>
        <v>0.815384615384615</v>
      </c>
      <c r="X9" s="25" t="n">
        <f aca="false">IF(D9="","",RANK(D9,D$2:D$20,0))</f>
        <v>14</v>
      </c>
      <c r="Y9" s="16" t="n">
        <f aca="false">IF(J9="","",J9*12)</f>
        <v>5100</v>
      </c>
    </row>
    <row r="10" customFormat="false" ht="15" hidden="false" customHeight="false" outlineLevel="0" collapsed="false">
      <c r="A10" s="12" t="s">
        <v>286</v>
      </c>
      <c r="B10" s="22" t="n">
        <v>2022</v>
      </c>
      <c r="C10" s="23" t="n">
        <v>442821</v>
      </c>
      <c r="D10" s="24" t="n">
        <v>9</v>
      </c>
      <c r="E10" s="24" t="n">
        <v>6.4</v>
      </c>
      <c r="F10" s="24" t="n">
        <v>12.2</v>
      </c>
      <c r="G10" s="23" t="n">
        <v>74</v>
      </c>
      <c r="H10" s="23" t="n">
        <v>60</v>
      </c>
      <c r="I10" s="23" t="n">
        <v>92</v>
      </c>
      <c r="J10" s="23" t="n">
        <v>648</v>
      </c>
      <c r="K10" s="23" t="n">
        <v>490</v>
      </c>
      <c r="L10" s="23" t="n">
        <v>815</v>
      </c>
      <c r="M10" s="23" t="n">
        <v>57041</v>
      </c>
      <c r="N10" s="24" t="n">
        <v>5.4</v>
      </c>
      <c r="O10" s="24" t="n">
        <v>3.2</v>
      </c>
      <c r="P10" s="24" t="n">
        <v>7.9</v>
      </c>
      <c r="Q10" s="23" t="n">
        <v>174</v>
      </c>
      <c r="R10" s="23" t="n">
        <v>116</v>
      </c>
      <c r="S10" s="23" t="n">
        <v>251</v>
      </c>
      <c r="T10" s="23" t="n">
        <v>623</v>
      </c>
      <c r="U10" s="23" t="n">
        <v>432</v>
      </c>
      <c r="V10" s="23" t="n">
        <v>900</v>
      </c>
      <c r="W10" s="17" t="n">
        <f aca="false">IF(D10="","",D10/MEDIAN(D$2:D$20))</f>
        <v>1.38461538461538</v>
      </c>
      <c r="X10" s="25" t="n">
        <f aca="false">IF(D10="","",RANK(D10,D$2:D$20,0))</f>
        <v>2</v>
      </c>
      <c r="Y10" s="16" t="n">
        <f aca="false">IF(J10="","",J10*12)</f>
        <v>7776</v>
      </c>
    </row>
    <row r="11" customFormat="false" ht="15" hidden="false" customHeight="false" outlineLevel="0" collapsed="false">
      <c r="A11" s="12" t="s">
        <v>287</v>
      </c>
      <c r="B11" s="22" t="n">
        <v>2022</v>
      </c>
      <c r="C11" s="23" t="n">
        <v>215994</v>
      </c>
      <c r="D11" s="24" t="n">
        <v>5.5</v>
      </c>
      <c r="E11" s="24" t="n">
        <v>4.1</v>
      </c>
      <c r="F11" s="24" t="n">
        <v>7.4</v>
      </c>
      <c r="G11" s="23" t="n">
        <v>90</v>
      </c>
      <c r="H11" s="23" t="n">
        <v>71</v>
      </c>
      <c r="I11" s="23" t="n">
        <v>108</v>
      </c>
      <c r="J11" s="23" t="n">
        <v>456</v>
      </c>
      <c r="K11" s="23" t="n">
        <v>354</v>
      </c>
      <c r="L11" s="23" t="n">
        <v>600</v>
      </c>
      <c r="M11" s="23" t="n">
        <v>27795</v>
      </c>
      <c r="N11" s="24" t="n">
        <v>4.7</v>
      </c>
      <c r="O11" s="24" t="n">
        <v>3</v>
      </c>
      <c r="P11" s="24" t="n">
        <v>6.8</v>
      </c>
      <c r="Q11" s="23" t="n">
        <v>150</v>
      </c>
      <c r="R11" s="23" t="n">
        <v>100</v>
      </c>
      <c r="S11" s="23" t="n">
        <v>215</v>
      </c>
      <c r="T11" s="23" t="n">
        <v>475</v>
      </c>
      <c r="U11" s="23" t="n">
        <v>344</v>
      </c>
      <c r="V11" s="23" t="n">
        <v>684</v>
      </c>
      <c r="W11" s="17" t="n">
        <f aca="false">IF(D11="","",D11/MEDIAN(D$2:D$20))</f>
        <v>0.846153846153846</v>
      </c>
      <c r="X11" s="25" t="n">
        <f aca="false">IF(D11="","",RANK(D11,D$2:D$20,0))</f>
        <v>11</v>
      </c>
      <c r="Y11" s="16" t="n">
        <f aca="false">IF(J11="","",J11*12)</f>
        <v>5472</v>
      </c>
    </row>
    <row r="12" customFormat="false" ht="15" hidden="false" customHeight="false" outlineLevel="0" collapsed="false">
      <c r="A12" s="12" t="s">
        <v>288</v>
      </c>
      <c r="B12" s="22" t="n">
        <v>2022</v>
      </c>
      <c r="C12" s="23" t="n">
        <v>23841</v>
      </c>
      <c r="D12" s="24" t="n">
        <v>4.5</v>
      </c>
      <c r="E12" s="24" t="n">
        <v>3.5</v>
      </c>
      <c r="F12" s="24" t="n">
        <v>5.7</v>
      </c>
      <c r="G12" s="23" t="n">
        <v>92</v>
      </c>
      <c r="H12" s="23" t="n">
        <v>75</v>
      </c>
      <c r="I12" s="23" t="n">
        <v>111</v>
      </c>
      <c r="J12" s="23" t="n">
        <v>395</v>
      </c>
      <c r="K12" s="23" t="n">
        <v>308</v>
      </c>
      <c r="L12" s="23" t="n">
        <v>473</v>
      </c>
      <c r="M12" s="23" t="n">
        <v>5026</v>
      </c>
      <c r="N12" s="24" t="n">
        <v>2.8</v>
      </c>
      <c r="O12" s="24" t="n">
        <v>1.9</v>
      </c>
      <c r="P12" s="24" t="n">
        <v>3.8</v>
      </c>
      <c r="Q12" s="23" t="n">
        <v>159</v>
      </c>
      <c r="R12" s="23" t="n">
        <v>118</v>
      </c>
      <c r="S12" s="23" t="n">
        <v>225</v>
      </c>
      <c r="T12" s="23" t="n">
        <v>300</v>
      </c>
      <c r="U12" s="23" t="n">
        <v>232</v>
      </c>
      <c r="V12" s="23" t="n">
        <v>425</v>
      </c>
      <c r="W12" s="17" t="n">
        <f aca="false">IF(D12="","",D12/MEDIAN(D$2:D$20))</f>
        <v>0.692307692307692</v>
      </c>
      <c r="X12" s="25" t="n">
        <f aca="false">IF(D12="","",RANK(D12,D$2:D$20,0))</f>
        <v>17</v>
      </c>
      <c r="Y12" s="16" t="n">
        <f aca="false">IF(J12="","",J12*12)</f>
        <v>4740</v>
      </c>
    </row>
    <row r="13" customFormat="false" ht="15" hidden="false" customHeight="false" outlineLevel="0" collapsed="false">
      <c r="A13" s="12" t="s">
        <v>289</v>
      </c>
      <c r="B13" s="22" t="n">
        <v>2022</v>
      </c>
      <c r="C13" s="23" t="n">
        <v>124654</v>
      </c>
      <c r="D13" s="24" t="n">
        <v>5.2</v>
      </c>
      <c r="E13" s="24" t="n">
        <v>3.8</v>
      </c>
      <c r="F13" s="24" t="n">
        <v>7.1</v>
      </c>
      <c r="G13" s="23" t="n">
        <v>86</v>
      </c>
      <c r="H13" s="23" t="n">
        <v>69</v>
      </c>
      <c r="I13" s="23" t="n">
        <v>106</v>
      </c>
      <c r="J13" s="23" t="n">
        <v>400</v>
      </c>
      <c r="K13" s="23" t="n">
        <v>325</v>
      </c>
      <c r="L13" s="23" t="n">
        <v>500</v>
      </c>
      <c r="M13" s="23" t="n">
        <v>13677</v>
      </c>
      <c r="N13" s="24" t="n">
        <v>3.2</v>
      </c>
      <c r="O13" s="24" t="n">
        <v>2</v>
      </c>
      <c r="P13" s="24" t="n">
        <v>4.9</v>
      </c>
      <c r="Q13" s="23" t="n">
        <v>193</v>
      </c>
      <c r="R13" s="23" t="n">
        <v>122</v>
      </c>
      <c r="S13" s="23" t="n">
        <v>281</v>
      </c>
      <c r="T13" s="23" t="n">
        <v>372</v>
      </c>
      <c r="U13" s="23" t="n">
        <v>263</v>
      </c>
      <c r="V13" s="23" t="n">
        <v>550</v>
      </c>
      <c r="W13" s="17" t="n">
        <f aca="false">IF(D13="","",D13/MEDIAN(D$2:D$20))</f>
        <v>0.8</v>
      </c>
      <c r="X13" s="25" t="n">
        <f aca="false">IF(D13="","",RANK(D13,D$2:D$20,0))</f>
        <v>15</v>
      </c>
      <c r="Y13" s="16" t="n">
        <f aca="false">IF(J13="","",J13*12)</f>
        <v>4800</v>
      </c>
    </row>
    <row r="14" customFormat="false" ht="15" hidden="false" customHeight="false" outlineLevel="0" collapsed="false">
      <c r="A14" s="12" t="s">
        <v>290</v>
      </c>
      <c r="B14" s="22" t="n">
        <v>2022</v>
      </c>
      <c r="C14" s="23" t="n">
        <v>440822</v>
      </c>
      <c r="D14" s="24" t="n">
        <v>11.1</v>
      </c>
      <c r="E14" s="24" t="n">
        <v>8.6</v>
      </c>
      <c r="F14" s="24" t="n">
        <v>14.5</v>
      </c>
      <c r="G14" s="23" t="n">
        <v>70</v>
      </c>
      <c r="H14" s="23" t="n">
        <v>56</v>
      </c>
      <c r="I14" s="23" t="n">
        <v>90</v>
      </c>
      <c r="J14" s="23" t="n">
        <v>738</v>
      </c>
      <c r="K14" s="23" t="n">
        <v>600</v>
      </c>
      <c r="L14" s="23" t="n">
        <v>945</v>
      </c>
      <c r="M14" s="23" t="n">
        <v>10676</v>
      </c>
      <c r="N14" s="24" t="n">
        <v>6.7</v>
      </c>
      <c r="O14" s="24" t="n">
        <v>4.7</v>
      </c>
      <c r="P14" s="24" t="n">
        <v>9.5</v>
      </c>
      <c r="Q14" s="23" t="n">
        <v>183</v>
      </c>
      <c r="R14" s="23" t="n">
        <v>123</v>
      </c>
      <c r="S14" s="23" t="n">
        <v>250</v>
      </c>
      <c r="T14" s="23" t="n">
        <v>813</v>
      </c>
      <c r="U14" s="23" t="n">
        <v>550</v>
      </c>
      <c r="V14" s="23" t="n">
        <v>1270</v>
      </c>
      <c r="W14" s="17" t="n">
        <f aca="false">IF(D14="","",D14/MEDIAN(D$2:D$20))</f>
        <v>1.70769230769231</v>
      </c>
      <c r="X14" s="25" t="n">
        <f aca="false">IF(D14="","",RANK(D14,D$2:D$20,0))</f>
        <v>1</v>
      </c>
      <c r="Y14" s="16" t="n">
        <f aca="false">IF(J14="","",J14*12)</f>
        <v>8856</v>
      </c>
    </row>
    <row r="15" customFormat="false" ht="15" hidden="false" customHeight="false" outlineLevel="0" collapsed="false">
      <c r="A15" s="12" t="s">
        <v>291</v>
      </c>
      <c r="B15" s="22" t="n">
        <v>2022</v>
      </c>
      <c r="C15" s="23" t="n">
        <v>42435</v>
      </c>
      <c r="D15" s="24" t="n">
        <v>4.8</v>
      </c>
      <c r="E15" s="24" t="n">
        <v>3.6</v>
      </c>
      <c r="F15" s="24" t="n">
        <v>6.4</v>
      </c>
      <c r="G15" s="23" t="n">
        <v>96</v>
      </c>
      <c r="H15" s="23" t="n">
        <v>75</v>
      </c>
      <c r="I15" s="23" t="n">
        <v>116</v>
      </c>
      <c r="J15" s="23" t="n">
        <v>404</v>
      </c>
      <c r="K15" s="23" t="n">
        <v>330</v>
      </c>
      <c r="L15" s="23" t="n">
        <v>517</v>
      </c>
      <c r="M15" s="23" t="n">
        <v>656</v>
      </c>
      <c r="N15" s="24" t="n">
        <v>3.8</v>
      </c>
      <c r="O15" s="24" t="n">
        <v>2.8</v>
      </c>
      <c r="P15" s="24" t="n">
        <v>5.1</v>
      </c>
      <c r="Q15" s="23" t="n">
        <v>134</v>
      </c>
      <c r="R15" s="23" t="n">
        <v>96</v>
      </c>
      <c r="S15" s="23" t="n">
        <v>190</v>
      </c>
      <c r="T15" s="23" t="n">
        <v>400</v>
      </c>
      <c r="U15" s="23" t="n">
        <v>300</v>
      </c>
      <c r="V15" s="23" t="n">
        <v>500</v>
      </c>
      <c r="W15" s="17" t="n">
        <f aca="false">IF(D15="","",D15/MEDIAN(D$2:D$20))</f>
        <v>0.738461538461538</v>
      </c>
      <c r="X15" s="25" t="n">
        <f aca="false">IF(D15="","",RANK(D15,D$2:D$20,0))</f>
        <v>16</v>
      </c>
      <c r="Y15" s="16" t="n">
        <f aca="false">IF(J15="","",J15*12)</f>
        <v>4848</v>
      </c>
    </row>
    <row r="16" customFormat="false" ht="15" hidden="false" customHeight="false" outlineLevel="0" collapsed="false">
      <c r="A16" s="12" t="s">
        <v>292</v>
      </c>
      <c r="B16" s="22" t="n">
        <v>2022</v>
      </c>
      <c r="C16" s="12"/>
      <c r="D16" s="12"/>
      <c r="E16" s="12"/>
      <c r="F16" s="12"/>
      <c r="G16" s="12"/>
      <c r="H16" s="12"/>
      <c r="I16" s="12"/>
      <c r="J16" s="12"/>
      <c r="K16" s="12"/>
      <c r="L16" s="12"/>
      <c r="M16" s="12"/>
      <c r="N16" s="12"/>
      <c r="O16" s="12"/>
      <c r="P16" s="12"/>
      <c r="Q16" s="12"/>
      <c r="R16" s="12"/>
      <c r="S16" s="12"/>
      <c r="T16" s="12"/>
      <c r="U16" s="12"/>
      <c r="V16" s="12"/>
      <c r="W16" s="17" t="str">
        <f aca="false">IF(D16="","",D16/MEDIAN(D$2:D$20))</f>
        <v/>
      </c>
      <c r="X16" s="25" t="str">
        <f aca="false">IF(D16="","",RANK(D16,D$2:D$20,0))</f>
        <v/>
      </c>
      <c r="Y16" s="16" t="str">
        <f aca="false">IF(J16="","",J16*12)</f>
        <v/>
      </c>
    </row>
    <row r="17" customFormat="false" ht="15" hidden="false" customHeight="false" outlineLevel="0" collapsed="false">
      <c r="A17" s="12" t="s">
        <v>293</v>
      </c>
      <c r="B17" s="22" t="n">
        <v>2022</v>
      </c>
      <c r="C17" s="12"/>
      <c r="D17" s="12"/>
      <c r="E17" s="12"/>
      <c r="F17" s="12"/>
      <c r="G17" s="12"/>
      <c r="H17" s="12"/>
      <c r="I17" s="12"/>
      <c r="J17" s="12"/>
      <c r="K17" s="12"/>
      <c r="L17" s="12"/>
      <c r="M17" s="12"/>
      <c r="N17" s="12"/>
      <c r="O17" s="12"/>
      <c r="P17" s="12"/>
      <c r="Q17" s="12"/>
      <c r="R17" s="12"/>
      <c r="S17" s="12"/>
      <c r="T17" s="12"/>
      <c r="U17" s="12"/>
      <c r="V17" s="12"/>
      <c r="W17" s="17" t="str">
        <f aca="false">IF(D17="","",D17/MEDIAN(D$2:D$20))</f>
        <v/>
      </c>
      <c r="X17" s="25" t="str">
        <f aca="false">IF(D17="","",RANK(D17,D$2:D$20,0))</f>
        <v/>
      </c>
      <c r="Y17" s="16" t="str">
        <f aca="false">IF(J17="","",J17*12)</f>
        <v/>
      </c>
    </row>
    <row r="18" customFormat="false" ht="15" hidden="false" customHeight="false" outlineLevel="0" collapsed="false">
      <c r="A18" s="12" t="s">
        <v>294</v>
      </c>
      <c r="B18" s="22" t="n">
        <v>2022</v>
      </c>
      <c r="C18" s="23" t="n">
        <v>14769</v>
      </c>
      <c r="D18" s="24" t="n">
        <v>5.4</v>
      </c>
      <c r="E18" s="24" t="n">
        <v>4.2</v>
      </c>
      <c r="F18" s="24" t="n">
        <v>6.8</v>
      </c>
      <c r="G18" s="23" t="n">
        <v>87</v>
      </c>
      <c r="H18" s="23" t="n">
        <v>73</v>
      </c>
      <c r="I18" s="23" t="n">
        <v>104</v>
      </c>
      <c r="J18" s="23" t="n">
        <v>450</v>
      </c>
      <c r="K18" s="23" t="n">
        <v>350</v>
      </c>
      <c r="L18" s="23" t="n">
        <v>531</v>
      </c>
      <c r="M18" s="23" t="n">
        <v>2762</v>
      </c>
      <c r="N18" s="24" t="n">
        <v>3.2</v>
      </c>
      <c r="O18" s="24" t="n">
        <v>2.1</v>
      </c>
      <c r="P18" s="24" t="n">
        <v>4.5</v>
      </c>
      <c r="Q18" s="23" t="n">
        <v>215</v>
      </c>
      <c r="R18" s="23" t="n">
        <v>146</v>
      </c>
      <c r="S18" s="23" t="n">
        <v>289</v>
      </c>
      <c r="T18" s="23" t="n">
        <v>362</v>
      </c>
      <c r="U18" s="23" t="n">
        <v>267</v>
      </c>
      <c r="V18" s="23" t="n">
        <v>500</v>
      </c>
      <c r="W18" s="17" t="n">
        <f aca="false">IF(D18="","",D18/MEDIAN(D$2:D$20))</f>
        <v>0.830769230769231</v>
      </c>
      <c r="X18" s="25" t="n">
        <f aca="false">IF(D18="","",RANK(D18,D$2:D$20,0))</f>
        <v>13</v>
      </c>
      <c r="Y18" s="16" t="n">
        <f aca="false">IF(J18="","",J18*12)</f>
        <v>5400</v>
      </c>
    </row>
    <row r="19" customFormat="false" ht="15" hidden="false" customHeight="false" outlineLevel="0" collapsed="false">
      <c r="A19" s="12" t="s">
        <v>295</v>
      </c>
      <c r="B19" s="22" t="n">
        <v>2022</v>
      </c>
      <c r="C19" s="23" t="n">
        <v>2147</v>
      </c>
      <c r="D19" s="24" t="n">
        <v>8.8</v>
      </c>
      <c r="E19" s="24" t="n">
        <v>7.1</v>
      </c>
      <c r="F19" s="24" t="n">
        <v>11.1</v>
      </c>
      <c r="G19" s="23" t="n">
        <v>75</v>
      </c>
      <c r="H19" s="23" t="n">
        <v>56</v>
      </c>
      <c r="I19" s="23" t="n">
        <v>98</v>
      </c>
      <c r="J19" s="23" t="n">
        <v>650</v>
      </c>
      <c r="K19" s="23" t="n">
        <v>550</v>
      </c>
      <c r="L19" s="23" t="n">
        <v>779</v>
      </c>
      <c r="M19" s="23" t="n">
        <v>5845</v>
      </c>
      <c r="N19" s="24" t="n">
        <v>8.1</v>
      </c>
      <c r="O19" s="24" t="n">
        <v>5.3</v>
      </c>
      <c r="P19" s="24" t="n">
        <v>11.4</v>
      </c>
      <c r="Q19" s="23" t="n">
        <v>66</v>
      </c>
      <c r="R19" s="23" t="n">
        <v>47</v>
      </c>
      <c r="S19" s="23" t="n">
        <v>116</v>
      </c>
      <c r="T19" s="23" t="n">
        <v>550</v>
      </c>
      <c r="U19" s="23" t="n">
        <v>400</v>
      </c>
      <c r="V19" s="23" t="n">
        <v>725</v>
      </c>
      <c r="W19" s="17" t="n">
        <f aca="false">IF(D19="","",D19/MEDIAN(D$2:D$20))</f>
        <v>1.35384615384615</v>
      </c>
      <c r="X19" s="25" t="n">
        <f aca="false">IF(D19="","",RANK(D19,D$2:D$20,0))</f>
        <v>3</v>
      </c>
      <c r="Y19" s="16" t="n">
        <f aca="false">IF(J19="","",J19*12)</f>
        <v>7800</v>
      </c>
    </row>
    <row r="20" customFormat="false" ht="15" hidden="false" customHeight="false" outlineLevel="0" collapsed="false">
      <c r="A20" s="12" t="s">
        <v>296</v>
      </c>
      <c r="B20" s="22" t="n">
        <v>2022</v>
      </c>
      <c r="C20" s="23" t="n">
        <v>2453</v>
      </c>
      <c r="D20" s="24" t="n">
        <v>8.6</v>
      </c>
      <c r="E20" s="24" t="n">
        <v>6.9</v>
      </c>
      <c r="F20" s="24" t="n">
        <v>10.6</v>
      </c>
      <c r="G20" s="23" t="n">
        <v>69</v>
      </c>
      <c r="H20" s="23" t="n">
        <v>53</v>
      </c>
      <c r="I20" s="23" t="n">
        <v>91</v>
      </c>
      <c r="J20" s="23" t="n">
        <v>588</v>
      </c>
      <c r="K20" s="23" t="n">
        <v>500</v>
      </c>
      <c r="L20" s="23" t="n">
        <v>700</v>
      </c>
      <c r="M20" s="23" t="n">
        <v>4078</v>
      </c>
      <c r="N20" s="24" t="n">
        <v>6.4</v>
      </c>
      <c r="O20" s="24" t="n">
        <v>4.3</v>
      </c>
      <c r="P20" s="24" t="n">
        <v>8.7</v>
      </c>
      <c r="Q20" s="23" t="n">
        <v>86</v>
      </c>
      <c r="R20" s="23" t="n">
        <v>59</v>
      </c>
      <c r="S20" s="23" t="n">
        <v>142</v>
      </c>
      <c r="T20" s="23" t="n">
        <v>500</v>
      </c>
      <c r="U20" s="23" t="n">
        <v>390</v>
      </c>
      <c r="V20" s="23" t="n">
        <v>630</v>
      </c>
      <c r="W20" s="17" t="n">
        <f aca="false">IF(D20="","",D20/MEDIAN(D$2:D$20))</f>
        <v>1.32307692307692</v>
      </c>
      <c r="X20" s="25" t="n">
        <f aca="false">IF(D20="","",RANK(D20,D$2:D$20,0))</f>
        <v>4</v>
      </c>
      <c r="Y20" s="16" t="n">
        <f aca="false">IF(J20="","",J20*12)</f>
        <v>7056</v>
      </c>
    </row>
    <row r="21" customFormat="false" ht="15" hidden="false" customHeight="false" outlineLevel="0" collapsed="false">
      <c r="A21" s="12" t="s">
        <v>297</v>
      </c>
      <c r="B21" s="22" t="n">
        <v>2022</v>
      </c>
      <c r="C21" s="23" t="n">
        <v>1983803</v>
      </c>
      <c r="D21" s="12"/>
      <c r="E21" s="12"/>
      <c r="F21" s="12"/>
      <c r="G21" s="12"/>
      <c r="H21" s="12"/>
      <c r="I21" s="12"/>
      <c r="J21" s="12"/>
      <c r="K21" s="12"/>
      <c r="L21" s="12"/>
      <c r="M21" s="23" t="n">
        <v>267719</v>
      </c>
      <c r="N21" s="12"/>
      <c r="O21" s="12"/>
      <c r="P21" s="12"/>
      <c r="Q21" s="12"/>
      <c r="R21" s="12"/>
      <c r="S21" s="12"/>
      <c r="T21" s="12"/>
      <c r="U21" s="12"/>
      <c r="V21" s="12"/>
      <c r="W21" s="17" t="str">
        <f aca="false">IF(D21="","",D21/MEDIAN(D$2:D$20))</f>
        <v/>
      </c>
      <c r="X21" s="25" t="str">
        <f aca="false">IF(D21="","",RANK(D21,D$2:D$20,0))</f>
        <v/>
      </c>
      <c r="Y21" s="16" t="str">
        <f aca="false">IF(J21="","",J21*12)</f>
        <v/>
      </c>
    </row>
    <row r="23" customFormat="false" ht="15" hidden="false" customHeight="false" outlineLevel="0" collapsed="false">
      <c r="A23" s="11" t="s">
        <v>298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2" min="2" style="0" width="16"/>
    <col collapsed="false" customWidth="true" hidden="false" outlineLevel="0" max="3" min="3" style="0" width="40"/>
  </cols>
  <sheetData>
    <row r="1" customFormat="false" ht="17.35" hidden="false" customHeight="false" outlineLevel="0" collapsed="false">
      <c r="A1" s="1" t="s">
        <v>299</v>
      </c>
    </row>
    <row r="2" customFormat="false" ht="15" hidden="false" customHeight="false" outlineLevel="0" collapsed="false">
      <c r="A2" s="11" t="s">
        <v>300</v>
      </c>
    </row>
    <row r="4" customFormat="false" ht="15" hidden="false" customHeight="false" outlineLevel="0" collapsed="false">
      <c r="A4" s="4" t="s">
        <v>301</v>
      </c>
      <c r="B4" s="4" t="s">
        <v>302</v>
      </c>
      <c r="C4" s="4" t="s">
        <v>303</v>
      </c>
    </row>
    <row r="5" customFormat="false" ht="15" hidden="false" customHeight="false" outlineLevel="0" collapsed="false">
      <c r="A5" s="12" t="s">
        <v>304</v>
      </c>
      <c r="B5" s="15" t="n">
        <f aca="false">Alquiler_SERPAVI_2022!J14</f>
        <v>738</v>
      </c>
      <c r="C5" s="11" t="s">
        <v>305</v>
      </c>
    </row>
    <row r="6" customFormat="false" ht="15" hidden="false" customHeight="false" outlineLevel="0" collapsed="false">
      <c r="A6" s="12" t="s">
        <v>306</v>
      </c>
      <c r="B6" s="15" t="n">
        <f aca="false">Alquiler_SERPAVI_2022!K14</f>
        <v>600</v>
      </c>
      <c r="C6" s="11" t="s">
        <v>305</v>
      </c>
    </row>
    <row r="7" customFormat="false" ht="15" hidden="false" customHeight="false" outlineLevel="0" collapsed="false">
      <c r="A7" s="12" t="s">
        <v>307</v>
      </c>
      <c r="B7" s="15" t="n">
        <f aca="false">Alquiler_SERPAVI_2022!L14</f>
        <v>945</v>
      </c>
      <c r="C7" s="11" t="s">
        <v>305</v>
      </c>
    </row>
    <row r="8" customFormat="false" ht="15" hidden="false" customHeight="false" outlineLevel="0" collapsed="false">
      <c r="A8" s="12" t="s">
        <v>308</v>
      </c>
      <c r="B8" s="26" t="n">
        <v>31230.73</v>
      </c>
      <c r="C8" s="11" t="s">
        <v>309</v>
      </c>
    </row>
    <row r="9" customFormat="false" ht="15" hidden="false" customHeight="false" outlineLevel="0" collapsed="false">
      <c r="A9" s="12" t="s">
        <v>310</v>
      </c>
      <c r="B9" s="26" t="n">
        <v>25203.47</v>
      </c>
      <c r="C9" s="11" t="s">
        <v>309</v>
      </c>
    </row>
    <row r="10" customFormat="false" ht="15" hidden="false" customHeight="false" outlineLevel="0" collapsed="false">
      <c r="A10" s="12" t="s">
        <v>311</v>
      </c>
      <c r="B10" s="26" t="n">
        <v>22383.11</v>
      </c>
      <c r="C10" s="11" t="s">
        <v>309</v>
      </c>
    </row>
    <row r="12" customFormat="false" ht="15" hidden="false" customHeight="false" outlineLevel="0" collapsed="false">
      <c r="A12" s="12" t="s">
        <v>312</v>
      </c>
      <c r="B12" s="16" t="n">
        <f aca="false">B5*12</f>
        <v>8856</v>
      </c>
    </row>
    <row r="13" customFormat="false" ht="15" hidden="false" customHeight="false" outlineLevel="0" collapsed="false">
      <c r="A13" s="12" t="s">
        <v>102</v>
      </c>
      <c r="B13" s="27" t="n">
        <f aca="false">B5*12/B9*100</f>
        <v>35.1380186934577</v>
      </c>
    </row>
    <row r="14" customFormat="false" ht="15" hidden="false" customHeight="false" outlineLevel="0" collapsed="false">
      <c r="A14" s="12" t="s">
        <v>313</v>
      </c>
      <c r="B14" s="27" t="n">
        <f aca="false">B5*12/B8*100</f>
        <v>28.3566858667729</v>
      </c>
    </row>
    <row r="15" customFormat="false" ht="15" hidden="false" customHeight="false" outlineLevel="0" collapsed="false">
      <c r="A15" s="12" t="s">
        <v>314</v>
      </c>
      <c r="B15" s="27" t="n">
        <f aca="false">B6*12/B9*100</f>
        <v>28.5674948727298</v>
      </c>
    </row>
    <row r="16" customFormat="false" ht="15" hidden="false" customHeight="false" outlineLevel="0" collapsed="false">
      <c r="A16" s="12" t="s">
        <v>315</v>
      </c>
      <c r="B16" s="27" t="n">
        <f aca="false">B7*12/B9*100</f>
        <v>44.9938044245495</v>
      </c>
    </row>
    <row r="17" customFormat="false" ht="15" hidden="false" customHeight="false" outlineLevel="0" collapsed="false">
      <c r="A17" s="12" t="s">
        <v>316</v>
      </c>
      <c r="B17" s="27" t="n">
        <f aca="false">B5*12/B10*100</f>
        <v>39.5655474149928</v>
      </c>
    </row>
    <row r="19" customFormat="false" ht="48" hidden="false" customHeight="true" outlineLevel="0" collapsed="false">
      <c r="A19" s="28" t="s">
        <v>317</v>
      </c>
      <c r="B19" s="28"/>
      <c r="C19" s="28"/>
    </row>
  </sheetData>
  <mergeCells count="1">
    <mergeCell ref="A19:C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5" min="2" style="0" width="14"/>
    <col collapsed="false" customWidth="true" hidden="false" outlineLevel="0" max="6" min="6" style="0" width="20"/>
    <col collapsed="false" customWidth="true" hidden="false" outlineLevel="0" max="15" min="7" style="0" width="14"/>
  </cols>
  <sheetData>
    <row r="1" customFormat="false" ht="57.75" hidden="false" customHeight="true" outlineLevel="0" collapsed="false">
      <c r="A1" s="4" t="s">
        <v>118</v>
      </c>
      <c r="B1" s="4" t="s">
        <v>318</v>
      </c>
      <c r="C1" s="4" t="s">
        <v>319</v>
      </c>
      <c r="D1" s="4" t="s">
        <v>320</v>
      </c>
      <c r="E1" s="4" t="s">
        <v>321</v>
      </c>
      <c r="F1" s="4" t="s">
        <v>322</v>
      </c>
      <c r="G1" s="4" t="s">
        <v>323</v>
      </c>
      <c r="H1" s="4" t="s">
        <v>324</v>
      </c>
      <c r="I1" s="4" t="s">
        <v>325</v>
      </c>
      <c r="J1" s="4" t="s">
        <v>326</v>
      </c>
      <c r="K1" s="4" t="s">
        <v>327</v>
      </c>
      <c r="L1" s="4" t="s">
        <v>328</v>
      </c>
      <c r="M1" s="4" t="s">
        <v>329</v>
      </c>
      <c r="N1" s="4" t="s">
        <v>330</v>
      </c>
      <c r="O1" s="4" t="s">
        <v>331</v>
      </c>
    </row>
    <row r="2" customFormat="false" ht="15" hidden="false" customHeight="false" outlineLevel="0" collapsed="false">
      <c r="A2" s="2" t="s">
        <v>68</v>
      </c>
      <c r="B2" s="20" t="n">
        <v>15.1</v>
      </c>
      <c r="C2" s="24" t="n">
        <v>-0.3</v>
      </c>
      <c r="D2" s="24" t="n">
        <v>-0.4</v>
      </c>
      <c r="E2" s="24" t="n">
        <v>5.6</v>
      </c>
      <c r="F2" s="12" t="s">
        <v>332</v>
      </c>
      <c r="G2" s="24" t="n">
        <v>-1.2</v>
      </c>
      <c r="H2" s="23" t="n">
        <v>2930</v>
      </c>
      <c r="I2" s="24" t="n">
        <v>0.2</v>
      </c>
      <c r="J2" s="24" t="n">
        <v>0.5</v>
      </c>
      <c r="K2" s="24" t="n">
        <v>11.8</v>
      </c>
      <c r="L2" s="29" t="n">
        <f aca="false">IF(OR(B2="",H2=""),"",B2*12/H2*100)</f>
        <v>6.18430034129693</v>
      </c>
      <c r="M2" s="27" t="n">
        <f aca="false">IF(OR(B2="",H2=""),"",H2/(B2*12))</f>
        <v>16.1699779249448</v>
      </c>
    </row>
    <row r="3" customFormat="false" ht="15" hidden="false" customHeight="false" outlineLevel="0" collapsed="false">
      <c r="A3" s="12" t="s">
        <v>278</v>
      </c>
      <c r="B3" s="20" t="n">
        <v>14.1</v>
      </c>
      <c r="C3" s="24" t="n">
        <v>0.3</v>
      </c>
      <c r="D3" s="24" t="n">
        <v>-1.4</v>
      </c>
      <c r="E3" s="24" t="n">
        <v>5.2</v>
      </c>
      <c r="F3" s="12" t="s">
        <v>333</v>
      </c>
      <c r="G3" s="24" t="n">
        <v>-1.8</v>
      </c>
      <c r="H3" s="23" t="n">
        <v>2952</v>
      </c>
      <c r="I3" s="24" t="n">
        <v>0.5</v>
      </c>
      <c r="J3" s="24" t="n">
        <v>1.7</v>
      </c>
      <c r="K3" s="24" t="n">
        <v>10</v>
      </c>
      <c r="L3" s="29" t="n">
        <f aca="false">IF(OR(B3="",H3=""),"",B3*12/H3*100)</f>
        <v>5.73170731707317</v>
      </c>
      <c r="M3" s="27" t="n">
        <f aca="false">IF(OR(B3="",H3=""),"",H3/(B3*12))</f>
        <v>17.4468085106383</v>
      </c>
      <c r="N3" s="25" t="n">
        <f aca="false">IF(B3="","",RANK(B3,B$3:B$21,0))</f>
        <v>6</v>
      </c>
      <c r="O3" s="25" t="n">
        <f aca="false">IF(H3="","",RANK(H3,H$3:H$21,0))</f>
        <v>6</v>
      </c>
    </row>
    <row r="4" customFormat="false" ht="15" hidden="false" customHeight="false" outlineLevel="0" collapsed="false">
      <c r="A4" s="12" t="s">
        <v>279</v>
      </c>
      <c r="B4" s="20" t="n">
        <v>11.2</v>
      </c>
      <c r="C4" s="24" t="n">
        <v>-0.4</v>
      </c>
      <c r="D4" s="24" t="n">
        <v>-0.5</v>
      </c>
      <c r="E4" s="24" t="n">
        <v>9.6</v>
      </c>
      <c r="F4" s="12" t="s">
        <v>334</v>
      </c>
      <c r="G4" s="24" t="n">
        <v>-0.7</v>
      </c>
      <c r="H4" s="23" t="n">
        <v>1689</v>
      </c>
      <c r="I4" s="24" t="n">
        <v>-0.1</v>
      </c>
      <c r="J4" s="24" t="n">
        <v>1.1</v>
      </c>
      <c r="K4" s="24" t="n">
        <v>13.7</v>
      </c>
      <c r="L4" s="29" t="n">
        <f aca="false">IF(OR(B4="",H4=""),"",B4*12/H4*100)</f>
        <v>7.95737122557726</v>
      </c>
      <c r="M4" s="27" t="n">
        <f aca="false">IF(OR(B4="",H4=""),"",H4/(B4*12))</f>
        <v>12.5669642857143</v>
      </c>
      <c r="N4" s="25" t="n">
        <f aca="false">IF(B4="","",RANK(B4,B$3:B$21,0))</f>
        <v>10</v>
      </c>
      <c r="O4" s="25" t="n">
        <f aca="false">IF(H4="","",RANK(H4,H$3:H$21,0))</f>
        <v>13</v>
      </c>
    </row>
    <row r="5" customFormat="false" ht="15" hidden="false" customHeight="false" outlineLevel="0" collapsed="false">
      <c r="A5" s="12" t="s">
        <v>335</v>
      </c>
      <c r="B5" s="20" t="n">
        <v>10.9</v>
      </c>
      <c r="C5" s="24" t="n">
        <v>0.4</v>
      </c>
      <c r="D5" s="24" t="n">
        <v>0.2</v>
      </c>
      <c r="E5" s="24" t="n">
        <v>9.3</v>
      </c>
      <c r="F5" s="12" t="s">
        <v>336</v>
      </c>
      <c r="G5" s="24" t="n">
        <v>-6.6</v>
      </c>
      <c r="H5" s="23" t="n">
        <v>1892</v>
      </c>
      <c r="I5" s="24" t="n">
        <v>0.2</v>
      </c>
      <c r="J5" s="24" t="n">
        <v>1.9</v>
      </c>
      <c r="K5" s="24" t="n">
        <v>12.6</v>
      </c>
      <c r="L5" s="29" t="n">
        <f aca="false">IF(OR(B5="",H5=""),"",B5*12/H5*100)</f>
        <v>6.91331923890064</v>
      </c>
      <c r="M5" s="27" t="n">
        <f aca="false">IF(OR(B5="",H5=""),"",H5/(B5*12))</f>
        <v>14.4648318042813</v>
      </c>
      <c r="N5" s="25" t="n">
        <f aca="false">IF(B5="","",RANK(B5,B$3:B$21,0))</f>
        <v>11</v>
      </c>
      <c r="O5" s="25" t="n">
        <f aca="false">IF(H5="","",RANK(H5,H$3:H$21,0))</f>
        <v>12</v>
      </c>
    </row>
    <row r="6" customFormat="false" ht="15" hidden="false" customHeight="false" outlineLevel="0" collapsed="false">
      <c r="A6" s="12" t="s">
        <v>337</v>
      </c>
      <c r="B6" s="20" t="n">
        <v>20.2</v>
      </c>
      <c r="C6" s="24" t="n">
        <v>1.2</v>
      </c>
      <c r="D6" s="24" t="n">
        <v>0.8</v>
      </c>
      <c r="E6" s="24" t="n">
        <v>3.6</v>
      </c>
      <c r="F6" s="12" t="s">
        <v>338</v>
      </c>
      <c r="G6" s="24" t="n">
        <v>-0.2</v>
      </c>
      <c r="H6" s="23" t="n">
        <v>5593</v>
      </c>
      <c r="I6" s="24" t="n">
        <v>0</v>
      </c>
      <c r="J6" s="24" t="n">
        <v>0.7</v>
      </c>
      <c r="K6" s="24" t="n">
        <v>4.1</v>
      </c>
      <c r="L6" s="29" t="n">
        <f aca="false">IF(OR(B6="",H6=""),"",B6*12/H6*100)</f>
        <v>4.33398891471482</v>
      </c>
      <c r="M6" s="27" t="n">
        <f aca="false">IF(OR(B6="",H6=""),"",H6/(B6*12))</f>
        <v>23.0734323432343</v>
      </c>
      <c r="N6" s="25" t="n">
        <f aca="false">IF(B6="","",RANK(B6,B$3:B$21,0))</f>
        <v>2</v>
      </c>
      <c r="O6" s="25" t="n">
        <f aca="false">IF(H6="","",RANK(H6,H$3:H$21,0))</f>
        <v>1</v>
      </c>
    </row>
    <row r="7" customFormat="false" ht="15" hidden="false" customHeight="false" outlineLevel="0" collapsed="false">
      <c r="A7" s="12" t="s">
        <v>282</v>
      </c>
      <c r="B7" s="20" t="n">
        <v>15.2</v>
      </c>
      <c r="C7" s="24" t="n">
        <v>-1</v>
      </c>
      <c r="D7" s="24" t="n">
        <v>-1</v>
      </c>
      <c r="E7" s="24" t="n">
        <v>4.3</v>
      </c>
      <c r="F7" s="12" t="s">
        <v>339</v>
      </c>
      <c r="G7" s="24" t="n">
        <v>-1.9</v>
      </c>
      <c r="H7" s="23" t="n">
        <v>3349</v>
      </c>
      <c r="I7" s="24" t="n">
        <v>0.4</v>
      </c>
      <c r="J7" s="24" t="n">
        <v>-0.4</v>
      </c>
      <c r="K7" s="24" t="n">
        <v>6.3</v>
      </c>
      <c r="L7" s="29" t="n">
        <f aca="false">IF(OR(B7="",H7=""),"",B7*12/H7*100)</f>
        <v>5.44640191101821</v>
      </c>
      <c r="M7" s="27" t="n">
        <f aca="false">IF(OR(B7="",H7=""),"",H7/(B7*12))</f>
        <v>18.3607456140351</v>
      </c>
      <c r="N7" s="25" t="n">
        <f aca="false">IF(B7="","",RANK(B7,B$3:B$21,0))</f>
        <v>4</v>
      </c>
      <c r="O7" s="25" t="n">
        <f aca="false">IF(H7="","",RANK(H7,H$3:H$21,0))</f>
        <v>4</v>
      </c>
    </row>
    <row r="8" customFormat="false" ht="15" hidden="false" customHeight="false" outlineLevel="0" collapsed="false">
      <c r="A8" s="12" t="s">
        <v>283</v>
      </c>
      <c r="B8" s="20" t="n">
        <v>11.8</v>
      </c>
      <c r="C8" s="24" t="n">
        <v>-0.3</v>
      </c>
      <c r="D8" s="24" t="n">
        <v>1.6</v>
      </c>
      <c r="E8" s="24" t="n">
        <v>5.4</v>
      </c>
      <c r="F8" s="12" t="s">
        <v>340</v>
      </c>
      <c r="G8" s="24" t="n">
        <v>-14.3</v>
      </c>
      <c r="H8" s="23" t="n">
        <v>2408</v>
      </c>
      <c r="I8" s="24" t="n">
        <v>0.7</v>
      </c>
      <c r="J8" s="24" t="n">
        <v>3.4</v>
      </c>
      <c r="K8" s="24" t="n">
        <v>14.6</v>
      </c>
      <c r="L8" s="29" t="n">
        <f aca="false">IF(OR(B8="",H8=""),"",B8*12/H8*100)</f>
        <v>5.88039867109635</v>
      </c>
      <c r="M8" s="27" t="n">
        <f aca="false">IF(OR(B8="",H8=""),"",H8/(B8*12))</f>
        <v>17.0056497175141</v>
      </c>
      <c r="N8" s="25" t="n">
        <f aca="false">IF(B8="","",RANK(B8,B$3:B$21,0))</f>
        <v>8</v>
      </c>
      <c r="O8" s="25" t="n">
        <f aca="false">IF(H8="","",RANK(H8,H$3:H$21,0))</f>
        <v>9</v>
      </c>
    </row>
    <row r="9" customFormat="false" ht="15" hidden="false" customHeight="false" outlineLevel="0" collapsed="false">
      <c r="A9" s="12" t="s">
        <v>284</v>
      </c>
      <c r="B9" s="20" t="n">
        <v>9.7</v>
      </c>
      <c r="C9" s="24" t="n">
        <v>0.1</v>
      </c>
      <c r="D9" s="24" t="n">
        <v>-0.9</v>
      </c>
      <c r="E9" s="24" t="n">
        <v>6.7</v>
      </c>
      <c r="F9" s="12" t="s">
        <v>341</v>
      </c>
      <c r="G9" s="24" t="n">
        <v>-0.9</v>
      </c>
      <c r="H9" s="23" t="n">
        <v>1386</v>
      </c>
      <c r="I9" s="24" t="n">
        <v>-0.2</v>
      </c>
      <c r="J9" s="24" t="n">
        <v>1.5</v>
      </c>
      <c r="K9" s="24" t="n">
        <v>12</v>
      </c>
      <c r="L9" s="29" t="n">
        <f aca="false">IF(OR(B9="",H9=""),"",B9*12/H9*100)</f>
        <v>8.3982683982684</v>
      </c>
      <c r="M9" s="27" t="n">
        <f aca="false">IF(OR(B9="",H9=""),"",H9/(B9*12))</f>
        <v>11.9072164948454</v>
      </c>
      <c r="N9" s="25" t="n">
        <f aca="false">IF(B9="","",RANK(B9,B$3:B$21,0))</f>
        <v>14</v>
      </c>
      <c r="O9" s="25" t="n">
        <f aca="false">IF(H9="","",RANK(H9,H$3:H$21,0))</f>
        <v>17</v>
      </c>
    </row>
    <row r="10" customFormat="false" ht="15" hidden="false" customHeight="false" outlineLevel="0" collapsed="false">
      <c r="A10" s="12" t="s">
        <v>285</v>
      </c>
      <c r="B10" s="20" t="n">
        <v>8.8</v>
      </c>
      <c r="C10" s="24" t="n">
        <v>-0.1</v>
      </c>
      <c r="D10" s="24" t="n">
        <v>0.1</v>
      </c>
      <c r="E10" s="24" t="n">
        <v>8.3</v>
      </c>
      <c r="F10" s="12" t="s">
        <v>342</v>
      </c>
      <c r="G10" s="24" t="n">
        <v>-1</v>
      </c>
      <c r="H10" s="23" t="n">
        <v>1157</v>
      </c>
      <c r="I10" s="24" t="n">
        <v>0</v>
      </c>
      <c r="J10" s="24" t="n">
        <v>1.5</v>
      </c>
      <c r="K10" s="24" t="n">
        <v>15.5</v>
      </c>
      <c r="L10" s="29" t="n">
        <f aca="false">IF(OR(B10="",H10=""),"",B10*12/H10*100)</f>
        <v>9.12705272255834</v>
      </c>
      <c r="M10" s="27" t="n">
        <f aca="false">IF(OR(B10="",H10=""),"",H10/(B10*12))</f>
        <v>10.9564393939394</v>
      </c>
      <c r="N10" s="25" t="n">
        <f aca="false">IF(B10="","",RANK(B10,B$3:B$21,0))</f>
        <v>17</v>
      </c>
      <c r="O10" s="25" t="n">
        <f aca="false">IF(H10="","",RANK(H10,H$3:H$21,0))</f>
        <v>18</v>
      </c>
    </row>
    <row r="11" customFormat="false" ht="15" hidden="false" customHeight="false" outlineLevel="0" collapsed="false">
      <c r="A11" s="12" t="s">
        <v>286</v>
      </c>
      <c r="B11" s="20" t="n">
        <v>15.9</v>
      </c>
      <c r="C11" s="24" t="n">
        <v>-0.3</v>
      </c>
      <c r="D11" s="24" t="n">
        <v>0.3</v>
      </c>
      <c r="E11" s="24" t="n">
        <v>2.2</v>
      </c>
      <c r="F11" s="12" t="s">
        <v>343</v>
      </c>
      <c r="G11" s="24" t="n">
        <v>-1</v>
      </c>
      <c r="H11" s="23" t="n">
        <v>3092</v>
      </c>
      <c r="I11" s="24" t="n">
        <v>0.4</v>
      </c>
      <c r="J11" s="24" t="n">
        <v>0.9</v>
      </c>
      <c r="K11" s="24" t="n">
        <v>12.2</v>
      </c>
      <c r="L11" s="29" t="n">
        <f aca="false">IF(OR(B11="",H11=""),"",B11*12/H11*100)</f>
        <v>6.17076326002587</v>
      </c>
      <c r="M11" s="27" t="n">
        <f aca="false">IF(OR(B11="",H11=""),"",H11/(B11*12))</f>
        <v>16.2054507337526</v>
      </c>
      <c r="N11" s="25" t="n">
        <f aca="false">IF(B11="","",RANK(B11,B$3:B$21,0))</f>
        <v>3</v>
      </c>
      <c r="O11" s="25" t="n">
        <f aca="false">IF(H11="","",RANK(H11,H$3:H$21,0))</f>
        <v>5</v>
      </c>
    </row>
    <row r="12" customFormat="false" ht="15" hidden="false" customHeight="false" outlineLevel="0" collapsed="false">
      <c r="A12" s="12" t="s">
        <v>295</v>
      </c>
      <c r="B12" s="12"/>
      <c r="C12" s="12"/>
      <c r="D12" s="12"/>
      <c r="E12" s="12"/>
      <c r="F12" s="12"/>
      <c r="G12" s="12"/>
      <c r="H12" s="23" t="n">
        <v>2698</v>
      </c>
      <c r="I12" s="24" t="n">
        <v>-2</v>
      </c>
      <c r="J12" s="24" t="n">
        <v>-2.1</v>
      </c>
      <c r="K12" s="24" t="n">
        <v>13.1</v>
      </c>
      <c r="L12" s="29" t="str">
        <f aca="false">IF(OR(B12="",H12=""),"",B12*12/H12*100)</f>
        <v/>
      </c>
      <c r="M12" s="27" t="str">
        <f aca="false">IF(OR(B12="",H12=""),"",H12/(B12*12))</f>
        <v/>
      </c>
      <c r="N12" s="25" t="str">
        <f aca="false">IF(B12="","",RANK(B12,B$3:B$21,0))</f>
        <v/>
      </c>
      <c r="O12" s="25" t="n">
        <f aca="false">IF(H12="","",RANK(H12,H$3:H$21,0))</f>
        <v>7</v>
      </c>
    </row>
    <row r="13" customFormat="false" ht="15" hidden="false" customHeight="false" outlineLevel="0" collapsed="false">
      <c r="A13" s="12" t="s">
        <v>344</v>
      </c>
      <c r="B13" s="20" t="n">
        <v>13.2</v>
      </c>
      <c r="C13" s="24" t="n">
        <v>-0.4</v>
      </c>
      <c r="D13" s="24" t="n">
        <v>0.7</v>
      </c>
      <c r="E13" s="24" t="n">
        <v>6</v>
      </c>
      <c r="F13" s="12" t="s">
        <v>345</v>
      </c>
      <c r="G13" s="24" t="n">
        <v>-0.4</v>
      </c>
      <c r="H13" s="23" t="n">
        <v>2497</v>
      </c>
      <c r="I13" s="24" t="n">
        <v>0.3</v>
      </c>
      <c r="J13" s="24" t="n">
        <v>1.3</v>
      </c>
      <c r="K13" s="24" t="n">
        <v>10.1</v>
      </c>
      <c r="L13" s="29" t="n">
        <f aca="false">IF(OR(B13="",H13=""),"",B13*12/H13*100)</f>
        <v>6.34361233480176</v>
      </c>
      <c r="M13" s="27" t="n">
        <f aca="false">IF(OR(B13="",H13=""),"",H13/(B13*12))</f>
        <v>15.7638888888889</v>
      </c>
      <c r="N13" s="25" t="n">
        <f aca="false">IF(B13="","",RANK(B13,B$3:B$21,0))</f>
        <v>7</v>
      </c>
      <c r="O13" s="25" t="n">
        <f aca="false">IF(H13="","",RANK(H13,H$3:H$21,0))</f>
        <v>8</v>
      </c>
    </row>
    <row r="14" customFormat="false" ht="15" hidden="false" customHeight="false" outlineLevel="0" collapsed="false">
      <c r="A14" s="12" t="s">
        <v>346</v>
      </c>
      <c r="B14" s="20" t="n">
        <v>15</v>
      </c>
      <c r="C14" s="24" t="n">
        <v>0.8</v>
      </c>
      <c r="D14" s="24" t="n">
        <v>0.3</v>
      </c>
      <c r="E14" s="24" t="n">
        <v>-0.3</v>
      </c>
      <c r="F14" s="12" t="s">
        <v>347</v>
      </c>
      <c r="G14" s="24" t="n">
        <v>-0.8</v>
      </c>
      <c r="H14" s="23" t="n">
        <v>3805</v>
      </c>
      <c r="I14" s="24" t="n">
        <v>0.5</v>
      </c>
      <c r="J14" s="24" t="n">
        <v>2.2</v>
      </c>
      <c r="K14" s="24" t="n">
        <v>11.2</v>
      </c>
      <c r="L14" s="29" t="n">
        <f aca="false">IF(OR(B14="",H14=""),"",B14*12/H14*100)</f>
        <v>4.73061760840999</v>
      </c>
      <c r="M14" s="27" t="n">
        <f aca="false">IF(OR(B14="",H14=""),"",H14/(B14*12))</f>
        <v>21.1388888888889</v>
      </c>
      <c r="N14" s="25" t="n">
        <f aca="false">IF(B14="","",RANK(B14,B$3:B$21,0))</f>
        <v>5</v>
      </c>
      <c r="O14" s="25" t="n">
        <f aca="false">IF(H14="","",RANK(H14,H$3:H$21,0))</f>
        <v>3</v>
      </c>
    </row>
    <row r="15" customFormat="false" ht="15" hidden="false" customHeight="false" outlineLevel="0" collapsed="false">
      <c r="A15" s="12" t="s">
        <v>288</v>
      </c>
      <c r="B15" s="20" t="n">
        <v>7.7</v>
      </c>
      <c r="C15" s="24" t="n">
        <v>-0.6</v>
      </c>
      <c r="D15" s="24" t="n">
        <v>0.4</v>
      </c>
      <c r="E15" s="24" t="n">
        <v>5.7</v>
      </c>
      <c r="F15" s="12" t="s">
        <v>348</v>
      </c>
      <c r="G15" s="24" t="n">
        <v>-0.6</v>
      </c>
      <c r="H15" s="23" t="n">
        <v>1049</v>
      </c>
      <c r="I15" s="24" t="n">
        <v>0</v>
      </c>
      <c r="J15" s="24" t="n">
        <v>-0.6</v>
      </c>
      <c r="K15" s="24" t="n">
        <v>7.6</v>
      </c>
      <c r="L15" s="29" t="n">
        <f aca="false">IF(OR(B15="",H15=""),"",B15*12/H15*100)</f>
        <v>8.80838894184938</v>
      </c>
      <c r="M15" s="27" t="n">
        <f aca="false">IF(OR(B15="",H15=""),"",H15/(B15*12))</f>
        <v>11.3528138528139</v>
      </c>
      <c r="N15" s="25" t="n">
        <f aca="false">IF(B15="","",RANK(B15,B$3:B$21,0))</f>
        <v>18</v>
      </c>
      <c r="O15" s="25" t="n">
        <f aca="false">IF(H15="","",RANK(H15,H$3:H$21,0))</f>
        <v>19</v>
      </c>
    </row>
    <row r="16" customFormat="false" ht="15" hidden="false" customHeight="false" outlineLevel="0" collapsed="false">
      <c r="A16" s="12" t="s">
        <v>289</v>
      </c>
      <c r="B16" s="20" t="n">
        <v>9.9</v>
      </c>
      <c r="C16" s="24" t="n">
        <v>-0.2</v>
      </c>
      <c r="D16" s="24" t="n">
        <v>0.2</v>
      </c>
      <c r="E16" s="24" t="n">
        <v>4.7</v>
      </c>
      <c r="F16" s="12" t="s">
        <v>349</v>
      </c>
      <c r="G16" s="24" t="n">
        <v>-1.1</v>
      </c>
      <c r="H16" s="23" t="n">
        <v>1671</v>
      </c>
      <c r="I16" s="24" t="n">
        <v>0.3</v>
      </c>
      <c r="J16" s="24" t="n">
        <v>1.4</v>
      </c>
      <c r="K16" s="24" t="n">
        <v>10.3</v>
      </c>
      <c r="L16" s="29" t="n">
        <f aca="false">IF(OR(B16="",H16=""),"",B16*12/H16*100)</f>
        <v>7.10951526032316</v>
      </c>
      <c r="M16" s="27" t="n">
        <f aca="false">IF(OR(B16="",H16=""),"",H16/(B16*12))</f>
        <v>14.0656565656566</v>
      </c>
      <c r="N16" s="25" t="n">
        <f aca="false">IF(B16="","",RANK(B16,B$3:B$21,0))</f>
        <v>13</v>
      </c>
      <c r="O16" s="25" t="n">
        <f aca="false">IF(H16="","",RANK(H16,H$3:H$21,0))</f>
        <v>15</v>
      </c>
    </row>
    <row r="17" customFormat="false" ht="15" hidden="false" customHeight="false" outlineLevel="0" collapsed="false">
      <c r="A17" s="12" t="s">
        <v>350</v>
      </c>
      <c r="B17" s="20" t="n">
        <v>9.5</v>
      </c>
      <c r="C17" s="24" t="n">
        <v>-1.7</v>
      </c>
      <c r="D17" s="24" t="n">
        <v>-0.9</v>
      </c>
      <c r="E17" s="24" t="n">
        <v>5.3</v>
      </c>
      <c r="F17" s="12" t="s">
        <v>351</v>
      </c>
      <c r="G17" s="24" t="n">
        <v>-2</v>
      </c>
      <c r="H17" s="23" t="n">
        <v>1515</v>
      </c>
      <c r="I17" s="24" t="n">
        <v>-0.2</v>
      </c>
      <c r="J17" s="24" t="n">
        <v>-0.3</v>
      </c>
      <c r="K17" s="24" t="n">
        <v>6.5</v>
      </c>
      <c r="L17" s="29" t="n">
        <f aca="false">IF(OR(B17="",H17=""),"",B17*12/H17*100)</f>
        <v>7.52475247524752</v>
      </c>
      <c r="M17" s="27" t="n">
        <f aca="false">IF(OR(B17="",H17=""),"",H17/(B17*12))</f>
        <v>13.2894736842105</v>
      </c>
      <c r="N17" s="25" t="n">
        <f aca="false">IF(B17="","",RANK(B17,B$3:B$21,0))</f>
        <v>15</v>
      </c>
      <c r="O17" s="25" t="n">
        <f aca="false">IF(H17="","",RANK(H17,H$3:H$21,0))</f>
        <v>16</v>
      </c>
    </row>
    <row r="18" customFormat="false" ht="15" hidden="false" customHeight="false" outlineLevel="0" collapsed="false">
      <c r="A18" s="12" t="s">
        <v>352</v>
      </c>
      <c r="B18" s="20" t="n">
        <v>21.6</v>
      </c>
      <c r="C18" s="24" t="n">
        <v>0.5</v>
      </c>
      <c r="D18" s="24" t="n">
        <v>1.4</v>
      </c>
      <c r="E18" s="24" t="n">
        <v>5.7</v>
      </c>
      <c r="F18" s="12" t="s">
        <v>353</v>
      </c>
      <c r="G18" s="24" t="n">
        <v>0</v>
      </c>
      <c r="H18" s="23" t="n">
        <v>5065</v>
      </c>
      <c r="I18" s="24" t="n">
        <v>0.1</v>
      </c>
      <c r="J18" s="24" t="n">
        <v>-1.7</v>
      </c>
      <c r="K18" s="24" t="n">
        <v>6.9</v>
      </c>
      <c r="L18" s="29" t="n">
        <f aca="false">IF(OR(B18="",H18=""),"",B18*12/H18*100)</f>
        <v>5.11747285291214</v>
      </c>
      <c r="M18" s="27" t="n">
        <f aca="false">IF(OR(B18="",H18=""),"",H18/(B18*12))</f>
        <v>19.5408950617284</v>
      </c>
      <c r="N18" s="25" t="n">
        <f aca="false">IF(B18="","",RANK(B18,B$3:B$21,0))</f>
        <v>1</v>
      </c>
      <c r="O18" s="25" t="n">
        <f aca="false">IF(H18="","",RANK(H18,H$3:H$21,0))</f>
        <v>2</v>
      </c>
    </row>
    <row r="19" customFormat="false" ht="15" hidden="false" customHeight="false" outlineLevel="0" collapsed="false">
      <c r="A19" s="12" t="s">
        <v>296</v>
      </c>
      <c r="B19" s="20" t="n">
        <v>11.3</v>
      </c>
      <c r="C19" s="24" t="n">
        <v>-2.8</v>
      </c>
      <c r="D19" s="24" t="n">
        <v>-3.2</v>
      </c>
      <c r="E19" s="24" t="n">
        <v>8.6</v>
      </c>
      <c r="F19" s="12" t="s">
        <v>354</v>
      </c>
      <c r="G19" s="24" t="n">
        <v>-3.6</v>
      </c>
      <c r="H19" s="23" t="n">
        <v>2086</v>
      </c>
      <c r="I19" s="24" t="n">
        <v>1.2</v>
      </c>
      <c r="J19" s="24" t="n">
        <v>2.3</v>
      </c>
      <c r="K19" s="24" t="n">
        <v>4</v>
      </c>
      <c r="L19" s="29" t="n">
        <f aca="false">IF(OR(B19="",H19=""),"",B19*12/H19*100)</f>
        <v>6.50047938638543</v>
      </c>
      <c r="M19" s="27" t="n">
        <f aca="false">IF(OR(B19="",H19=""),"",H19/(B19*12))</f>
        <v>15.3834808259587</v>
      </c>
      <c r="N19" s="25" t="n">
        <f aca="false">IF(B19="","",RANK(B19,B$3:B$21,0))</f>
        <v>9</v>
      </c>
      <c r="O19" s="25" t="n">
        <f aca="false">IF(H19="","",RANK(H19,H$3:H$21,0))</f>
        <v>10</v>
      </c>
    </row>
    <row r="20" customFormat="false" ht="15" hidden="false" customHeight="false" outlineLevel="0" collapsed="false">
      <c r="A20" s="12" t="s">
        <v>355</v>
      </c>
      <c r="B20" s="20" t="n">
        <v>9.5</v>
      </c>
      <c r="C20" s="24" t="n">
        <v>-0.6</v>
      </c>
      <c r="D20" s="24" t="n">
        <v>1.3</v>
      </c>
      <c r="E20" s="24" t="n">
        <v>4.8</v>
      </c>
      <c r="F20" s="12" t="s">
        <v>356</v>
      </c>
      <c r="G20" s="24" t="n">
        <v>-0.8</v>
      </c>
      <c r="H20" s="23" t="n">
        <v>1689</v>
      </c>
      <c r="I20" s="24" t="n">
        <v>0.5</v>
      </c>
      <c r="J20" s="24" t="n">
        <v>1.8</v>
      </c>
      <c r="K20" s="24" t="n">
        <v>13.9</v>
      </c>
      <c r="L20" s="29" t="n">
        <f aca="false">IF(OR(B20="",H20=""),"",B20*12/H20*100)</f>
        <v>6.74955595026643</v>
      </c>
      <c r="M20" s="27" t="n">
        <f aca="false">IF(OR(B20="",H20=""),"",H20/(B20*12))</f>
        <v>14.8157894736842</v>
      </c>
      <c r="N20" s="25" t="n">
        <f aca="false">IF(B20="","",RANK(B20,B$3:B$21,0))</f>
        <v>15</v>
      </c>
      <c r="O20" s="25" t="n">
        <f aca="false">IF(H20="","",RANK(H20,H$3:H$21,0))</f>
        <v>13</v>
      </c>
    </row>
    <row r="21" customFormat="false" ht="15" hidden="false" customHeight="false" outlineLevel="0" collapsed="false">
      <c r="A21" s="12" t="s">
        <v>357</v>
      </c>
      <c r="B21" s="20" t="n">
        <v>10.6</v>
      </c>
      <c r="C21" s="24" t="n">
        <v>-0.8</v>
      </c>
      <c r="D21" s="24" t="n">
        <v>-1.7</v>
      </c>
      <c r="E21" s="24" t="n">
        <v>0.9</v>
      </c>
      <c r="F21" s="12" t="s">
        <v>358</v>
      </c>
      <c r="G21" s="24" t="n">
        <v>-1.7</v>
      </c>
      <c r="H21" s="23" t="n">
        <v>1980</v>
      </c>
      <c r="I21" s="24" t="n">
        <v>0.2</v>
      </c>
      <c r="J21" s="24" t="n">
        <v>-0.7</v>
      </c>
      <c r="K21" s="24" t="n">
        <v>10.1</v>
      </c>
      <c r="L21" s="29" t="n">
        <f aca="false">IF(OR(B21="",H21=""),"",B21*12/H21*100)</f>
        <v>6.42424242424242</v>
      </c>
      <c r="M21" s="27" t="n">
        <f aca="false">IF(OR(B21="",H21=""),"",H21/(B21*12))</f>
        <v>15.5660377358491</v>
      </c>
      <c r="N21" s="25" t="n">
        <f aca="false">IF(B21="","",RANK(B21,B$3:B$21,0))</f>
        <v>12</v>
      </c>
      <c r="O21" s="25" t="n">
        <f aca="false">IF(H21="","",RANK(H21,H$3:H$21,0))</f>
        <v>11</v>
      </c>
    </row>
    <row r="23" customFormat="false" ht="15" hidden="false" customHeight="false" outlineLevel="0" collapsed="false">
      <c r="A23" s="11" t="s">
        <v>359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4"/>
    <col collapsed="false" customWidth="true" hidden="false" outlineLevel="0" max="3" min="3" style="0" width="18"/>
    <col collapsed="false" customWidth="true" hidden="false" outlineLevel="0" max="15" min="4" style="0" width="13"/>
  </cols>
  <sheetData>
    <row r="1" customFormat="false" ht="45.75" hidden="false" customHeight="true" outlineLevel="0" collapsed="false">
      <c r="A1" s="4" t="s">
        <v>360</v>
      </c>
      <c r="B1" s="4" t="s">
        <v>361</v>
      </c>
      <c r="C1" s="4" t="s">
        <v>362</v>
      </c>
      <c r="D1" s="4" t="s">
        <v>363</v>
      </c>
      <c r="E1" s="4" t="s">
        <v>319</v>
      </c>
      <c r="F1" s="4" t="s">
        <v>320</v>
      </c>
      <c r="G1" s="4" t="s">
        <v>321</v>
      </c>
      <c r="H1" s="4" t="s">
        <v>364</v>
      </c>
      <c r="I1" s="4" t="s">
        <v>325</v>
      </c>
      <c r="J1" s="4" t="s">
        <v>326</v>
      </c>
      <c r="K1" s="4" t="s">
        <v>327</v>
      </c>
      <c r="L1" s="4" t="s">
        <v>365</v>
      </c>
      <c r="M1" s="4" t="s">
        <v>366</v>
      </c>
      <c r="N1" s="4" t="s">
        <v>330</v>
      </c>
      <c r="O1" s="4" t="s">
        <v>331</v>
      </c>
    </row>
    <row r="2" customFormat="false" ht="15" hidden="false" customHeight="false" outlineLevel="0" collapsed="false">
      <c r="A2" s="12" t="s">
        <v>278</v>
      </c>
      <c r="B2" s="12" t="s">
        <v>367</v>
      </c>
      <c r="C2" s="12" t="s">
        <v>361</v>
      </c>
      <c r="D2" s="20" t="n">
        <v>9</v>
      </c>
      <c r="E2" s="24" t="n">
        <v>-0.3</v>
      </c>
      <c r="F2" s="24" t="n">
        <v>0.1</v>
      </c>
      <c r="G2" s="24" t="n">
        <v>4.7</v>
      </c>
      <c r="H2" s="23" t="n">
        <v>1673</v>
      </c>
      <c r="I2" s="24" t="n">
        <v>0.3</v>
      </c>
      <c r="J2" s="24" t="n">
        <v>1.6</v>
      </c>
      <c r="K2" s="24" t="n">
        <v>14.3</v>
      </c>
      <c r="L2" s="29" t="n">
        <f aca="false">IF(OR(D2="",H2=""),"",D2*12/H2*100)</f>
        <v>6.45546921697549</v>
      </c>
      <c r="M2" s="27" t="n">
        <f aca="false">IF(OR(D2="",H2=""),"",H2/(D2*12))</f>
        <v>15.4907407407407</v>
      </c>
      <c r="N2" s="25" t="n">
        <f aca="false">IF(D2="","",RANK(D2,D$2:D$53,0))</f>
        <v>35</v>
      </c>
      <c r="O2" s="25" t="n">
        <f aca="false">IF(H2="","",RANK(H2,H$2:H$53,0))</f>
        <v>30</v>
      </c>
    </row>
    <row r="3" customFormat="false" ht="15" hidden="false" customHeight="false" outlineLevel="0" collapsed="false">
      <c r="A3" s="12" t="s">
        <v>278</v>
      </c>
      <c r="B3" s="12" t="s">
        <v>368</v>
      </c>
      <c r="C3" s="12" t="s">
        <v>361</v>
      </c>
      <c r="D3" s="20" t="n">
        <v>11.6</v>
      </c>
      <c r="E3" s="24" t="n">
        <v>-0.9</v>
      </c>
      <c r="F3" s="24" t="n">
        <v>-4.1</v>
      </c>
      <c r="G3" s="24" t="n">
        <v>5.2</v>
      </c>
      <c r="H3" s="23" t="n">
        <v>2539</v>
      </c>
      <c r="I3" s="24" t="n">
        <v>0.6</v>
      </c>
      <c r="J3" s="24" t="n">
        <v>2.1</v>
      </c>
      <c r="K3" s="24" t="n">
        <v>9.9</v>
      </c>
      <c r="L3" s="29" t="n">
        <f aca="false">IF(OR(D3="",H3=""),"",D3*12/H3*100)</f>
        <v>5.48247341473021</v>
      </c>
      <c r="M3" s="27" t="n">
        <f aca="false">IF(OR(D3="",H3=""),"",H3/(D3*12))</f>
        <v>18.2399425287356</v>
      </c>
      <c r="N3" s="25" t="n">
        <f aca="false">IF(D3="","",RANK(D3,D$2:D$53,0))</f>
        <v>17</v>
      </c>
      <c r="O3" s="25" t="n">
        <f aca="false">IF(H3="","",RANK(H3,H$2:H$53,0))</f>
        <v>13</v>
      </c>
    </row>
    <row r="4" customFormat="false" ht="15" hidden="false" customHeight="false" outlineLevel="0" collapsed="false">
      <c r="A4" s="12" t="s">
        <v>278</v>
      </c>
      <c r="B4" s="12" t="s">
        <v>369</v>
      </c>
      <c r="C4" s="12" t="s">
        <v>361</v>
      </c>
      <c r="D4" s="20" t="n">
        <v>9</v>
      </c>
      <c r="E4" s="24" t="n">
        <v>-0.4</v>
      </c>
      <c r="F4" s="24" t="n">
        <v>-1.2</v>
      </c>
      <c r="G4" s="24" t="n">
        <v>4</v>
      </c>
      <c r="H4" s="23" t="n">
        <v>1420</v>
      </c>
      <c r="I4" s="24" t="n">
        <v>0.5</v>
      </c>
      <c r="J4" s="24" t="n">
        <v>-0.3</v>
      </c>
      <c r="K4" s="24" t="n">
        <v>9.3</v>
      </c>
      <c r="L4" s="29" t="n">
        <f aca="false">IF(OR(D4="",H4=""),"",D4*12/H4*100)</f>
        <v>7.6056338028169</v>
      </c>
      <c r="M4" s="27" t="n">
        <f aca="false">IF(OR(D4="",H4=""),"",H4/(D4*12))</f>
        <v>13.1481481481481</v>
      </c>
      <c r="N4" s="25" t="n">
        <f aca="false">IF(D4="","",RANK(D4,D$2:D$53,0))</f>
        <v>35</v>
      </c>
      <c r="O4" s="25" t="n">
        <f aca="false">IF(H4="","",RANK(H4,H$2:H$53,0))</f>
        <v>36</v>
      </c>
    </row>
    <row r="5" customFormat="false" ht="15" hidden="false" customHeight="false" outlineLevel="0" collapsed="false">
      <c r="A5" s="12" t="s">
        <v>278</v>
      </c>
      <c r="B5" s="12" t="s">
        <v>370</v>
      </c>
      <c r="C5" s="12" t="s">
        <v>361</v>
      </c>
      <c r="D5" s="20" t="n">
        <v>10.3</v>
      </c>
      <c r="E5" s="24" t="n">
        <v>-0.6</v>
      </c>
      <c r="F5" s="24" t="n">
        <v>0.2</v>
      </c>
      <c r="G5" s="24" t="n">
        <v>3.6</v>
      </c>
      <c r="H5" s="23" t="n">
        <v>1890</v>
      </c>
      <c r="I5" s="24" t="n">
        <v>1</v>
      </c>
      <c r="J5" s="24" t="n">
        <v>1.7</v>
      </c>
      <c r="K5" s="24" t="n">
        <v>13</v>
      </c>
      <c r="L5" s="29" t="n">
        <f aca="false">IF(OR(D5="",H5=""),"",D5*12/H5*100)</f>
        <v>6.53968253968254</v>
      </c>
      <c r="M5" s="27" t="n">
        <f aca="false">IF(OR(D5="",H5=""),"",H5/(D5*12))</f>
        <v>15.2912621359223</v>
      </c>
      <c r="N5" s="25" t="n">
        <f aca="false">IF(D5="","",RANK(D5,D$2:D$53,0))</f>
        <v>23</v>
      </c>
      <c r="O5" s="25" t="n">
        <f aca="false">IF(H5="","",RANK(H5,H$2:H$53,0))</f>
        <v>22</v>
      </c>
    </row>
    <row r="6" customFormat="false" ht="15" hidden="false" customHeight="false" outlineLevel="0" collapsed="false">
      <c r="A6" s="12" t="s">
        <v>278</v>
      </c>
      <c r="B6" s="12" t="s">
        <v>371</v>
      </c>
      <c r="C6" s="12" t="s">
        <v>361</v>
      </c>
      <c r="D6" s="20" t="n">
        <v>10.1</v>
      </c>
      <c r="E6" s="24" t="n">
        <v>-3.5</v>
      </c>
      <c r="F6" s="24" t="n">
        <v>-8.4</v>
      </c>
      <c r="G6" s="24" t="n">
        <v>7.8</v>
      </c>
      <c r="H6" s="23" t="n">
        <v>1817</v>
      </c>
      <c r="I6" s="24" t="n">
        <v>0.8</v>
      </c>
      <c r="J6" s="24" t="n">
        <v>2</v>
      </c>
      <c r="K6" s="24" t="n">
        <v>11.6</v>
      </c>
      <c r="L6" s="29" t="n">
        <f aca="false">IF(OR(D6="",H6=""),"",D6*12/H6*100)</f>
        <v>6.67033571821684</v>
      </c>
      <c r="M6" s="27" t="n">
        <f aca="false">IF(OR(D6="",H6=""),"",H6/(D6*12))</f>
        <v>14.9917491749175</v>
      </c>
      <c r="N6" s="25" t="n">
        <f aca="false">IF(D6="","",RANK(D6,D$2:D$53,0))</f>
        <v>25</v>
      </c>
      <c r="O6" s="25" t="n">
        <f aca="false">IF(H6="","",RANK(H6,H$2:H$53,0))</f>
        <v>23</v>
      </c>
    </row>
    <row r="7" customFormat="false" ht="15" hidden="false" customHeight="false" outlineLevel="0" collapsed="false">
      <c r="A7" s="12" t="s">
        <v>278</v>
      </c>
      <c r="B7" s="12" t="s">
        <v>372</v>
      </c>
      <c r="C7" s="12" t="s">
        <v>361</v>
      </c>
      <c r="D7" s="20" t="n">
        <v>7</v>
      </c>
      <c r="E7" s="24" t="n">
        <v>-0.8</v>
      </c>
      <c r="F7" s="24" t="n">
        <v>-5.2</v>
      </c>
      <c r="G7" s="24" t="n">
        <v>1.6</v>
      </c>
      <c r="H7" s="23" t="n">
        <v>879</v>
      </c>
      <c r="I7" s="24" t="n">
        <v>0</v>
      </c>
      <c r="J7" s="24" t="n">
        <v>-0.9</v>
      </c>
      <c r="K7" s="24" t="n">
        <v>3.1</v>
      </c>
      <c r="L7" s="29" t="n">
        <f aca="false">IF(OR(D7="",H7=""),"",D7*12/H7*100)</f>
        <v>9.55631399317406</v>
      </c>
      <c r="M7" s="27" t="n">
        <f aca="false">IF(OR(D7="",H7=""),"",H7/(D7*12))</f>
        <v>10.4642857142857</v>
      </c>
      <c r="N7" s="25" t="n">
        <f aca="false">IF(D7="","",RANK(D7,D$2:D$53,0))</f>
        <v>51</v>
      </c>
      <c r="O7" s="25" t="n">
        <f aca="false">IF(H7="","",RANK(H7,H$2:H$53,0))</f>
        <v>51</v>
      </c>
    </row>
    <row r="8" customFormat="false" ht="15" hidden="false" customHeight="false" outlineLevel="0" collapsed="false">
      <c r="A8" s="12" t="s">
        <v>278</v>
      </c>
      <c r="B8" s="12" t="s">
        <v>373</v>
      </c>
      <c r="C8" s="12" t="s">
        <v>361</v>
      </c>
      <c r="D8" s="20" t="n">
        <v>18.8</v>
      </c>
      <c r="E8" s="24" t="n">
        <v>0.4</v>
      </c>
      <c r="F8" s="24" t="n">
        <v>1.2</v>
      </c>
      <c r="G8" s="24" t="n">
        <v>5.7</v>
      </c>
      <c r="H8" s="23" t="n">
        <v>4317</v>
      </c>
      <c r="I8" s="24" t="n">
        <v>0.5</v>
      </c>
      <c r="J8" s="24" t="n">
        <v>1.9</v>
      </c>
      <c r="K8" s="24" t="n">
        <v>6.6</v>
      </c>
      <c r="L8" s="29" t="n">
        <f aca="false">IF(OR(D8="",H8=""),"",D8*12/H8*100)</f>
        <v>5.22585128561501</v>
      </c>
      <c r="M8" s="27" t="n">
        <f aca="false">IF(OR(D8="",H8=""),"",H8/(D8*12))</f>
        <v>19.1356382978723</v>
      </c>
      <c r="N8" s="25" t="n">
        <f aca="false">IF(D8="","",RANK(D8,D$2:D$53,0))</f>
        <v>3</v>
      </c>
      <c r="O8" s="25" t="n">
        <f aca="false">IF(H8="","",RANK(H8,H$2:H$53,0))</f>
        <v>4</v>
      </c>
    </row>
    <row r="9" customFormat="false" ht="15" hidden="false" customHeight="false" outlineLevel="0" collapsed="false">
      <c r="A9" s="12" t="s">
        <v>278</v>
      </c>
      <c r="B9" s="12" t="s">
        <v>374</v>
      </c>
      <c r="C9" s="12" t="s">
        <v>361</v>
      </c>
      <c r="D9" s="20" t="n">
        <v>12.2</v>
      </c>
      <c r="E9" s="24" t="n">
        <v>-0.4</v>
      </c>
      <c r="F9" s="24" t="n">
        <v>0.2</v>
      </c>
      <c r="G9" s="24" t="n">
        <v>4.1</v>
      </c>
      <c r="H9" s="23" t="n">
        <v>2080</v>
      </c>
      <c r="I9" s="24" t="n">
        <v>0.3</v>
      </c>
      <c r="J9" s="24" t="n">
        <v>0.7</v>
      </c>
      <c r="K9" s="24" t="n">
        <v>14.7</v>
      </c>
      <c r="L9" s="29" t="n">
        <f aca="false">IF(OR(D9="",H9=""),"",D9*12/H9*100)</f>
        <v>7.03846153846154</v>
      </c>
      <c r="M9" s="27" t="n">
        <f aca="false">IF(OR(D9="",H9=""),"",H9/(D9*12))</f>
        <v>14.207650273224</v>
      </c>
      <c r="N9" s="25" t="n">
        <f aca="false">IF(D9="","",RANK(D9,D$2:D$53,0))</f>
        <v>12</v>
      </c>
      <c r="O9" s="25" t="n">
        <f aca="false">IF(H9="","",RANK(H9,H$2:H$53,0))</f>
        <v>17</v>
      </c>
    </row>
    <row r="10" customFormat="false" ht="15" hidden="false" customHeight="false" outlineLevel="0" collapsed="false">
      <c r="A10" s="12" t="s">
        <v>279</v>
      </c>
      <c r="B10" s="12" t="s">
        <v>375</v>
      </c>
      <c r="C10" s="12" t="s">
        <v>361</v>
      </c>
      <c r="D10" s="20" t="n">
        <v>9.5</v>
      </c>
      <c r="E10" s="24" t="n">
        <v>-1.1</v>
      </c>
      <c r="F10" s="24" t="n">
        <v>0.7</v>
      </c>
      <c r="G10" s="24" t="n">
        <v>10.2</v>
      </c>
      <c r="H10" s="23" t="n">
        <v>1779</v>
      </c>
      <c r="I10" s="24" t="n">
        <v>-0.3</v>
      </c>
      <c r="J10" s="24" t="n">
        <v>5.7</v>
      </c>
      <c r="K10" s="24" t="n">
        <v>12.2</v>
      </c>
      <c r="L10" s="29" t="n">
        <f aca="false">IF(OR(D10="",H10=""),"",D10*12/H10*100)</f>
        <v>6.40809443507589</v>
      </c>
      <c r="M10" s="27" t="n">
        <f aca="false">IF(OR(D10="",H10=""),"",H10/(D10*12))</f>
        <v>15.6052631578947</v>
      </c>
      <c r="N10" s="25" t="n">
        <f aca="false">IF(D10="","",RANK(D10,D$2:D$53,0))</f>
        <v>30</v>
      </c>
      <c r="O10" s="25" t="n">
        <f aca="false">IF(H10="","",RANK(H10,H$2:H$53,0))</f>
        <v>24</v>
      </c>
    </row>
    <row r="11" customFormat="false" ht="15" hidden="false" customHeight="false" outlineLevel="0" collapsed="false">
      <c r="A11" s="12" t="s">
        <v>279</v>
      </c>
      <c r="B11" s="12" t="s">
        <v>376</v>
      </c>
      <c r="C11" s="12" t="s">
        <v>361</v>
      </c>
      <c r="D11" s="20" t="n">
        <v>8</v>
      </c>
      <c r="E11" s="24" t="n">
        <v>-0.3</v>
      </c>
      <c r="F11" s="24" t="n">
        <v>4.5</v>
      </c>
      <c r="G11" s="24" t="n">
        <v>3.6</v>
      </c>
      <c r="H11" s="23" t="n">
        <v>889</v>
      </c>
      <c r="I11" s="24" t="n">
        <v>0.1</v>
      </c>
      <c r="J11" s="24" t="n">
        <v>-0.4</v>
      </c>
      <c r="K11" s="24" t="n">
        <v>11.2</v>
      </c>
      <c r="L11" s="29" t="n">
        <f aca="false">IF(OR(D11="",H11=""),"",D11*12/H11*100)</f>
        <v>10.7986501687289</v>
      </c>
      <c r="M11" s="27" t="n">
        <f aca="false">IF(OR(D11="",H11=""),"",H11/(D11*12))</f>
        <v>9.26041666666667</v>
      </c>
      <c r="N11" s="25" t="n">
        <f aca="false">IF(D11="","",RANK(D11,D$2:D$53,0))</f>
        <v>46</v>
      </c>
      <c r="O11" s="25" t="n">
        <f aca="false">IF(H11="","",RANK(H11,H$2:H$53,0))</f>
        <v>50</v>
      </c>
    </row>
    <row r="12" customFormat="false" ht="15" hidden="false" customHeight="false" outlineLevel="0" collapsed="false">
      <c r="A12" s="12" t="s">
        <v>279</v>
      </c>
      <c r="B12" s="12" t="s">
        <v>377</v>
      </c>
      <c r="C12" s="12" t="s">
        <v>361</v>
      </c>
      <c r="D12" s="20" t="n">
        <v>11.7</v>
      </c>
      <c r="E12" s="24" t="n">
        <v>-0.1</v>
      </c>
      <c r="F12" s="24" t="n">
        <v>-0.1</v>
      </c>
      <c r="G12" s="24" t="n">
        <v>9.7</v>
      </c>
      <c r="H12" s="23" t="n">
        <v>1777</v>
      </c>
      <c r="I12" s="24" t="n">
        <v>0</v>
      </c>
      <c r="J12" s="24" t="n">
        <v>0.1</v>
      </c>
      <c r="K12" s="24" t="n">
        <v>14.4</v>
      </c>
      <c r="L12" s="29" t="n">
        <f aca="false">IF(OR(D12="",H12=""),"",D12*12/H12*100)</f>
        <v>7.90095666854249</v>
      </c>
      <c r="M12" s="27" t="n">
        <f aca="false">IF(OR(D12="",H12=""),"",H12/(D12*12))</f>
        <v>12.6566951566952</v>
      </c>
      <c r="N12" s="25" t="n">
        <f aca="false">IF(D12="","",RANK(D12,D$2:D$53,0))</f>
        <v>16</v>
      </c>
      <c r="O12" s="25" t="n">
        <f aca="false">IF(H12="","",RANK(H12,H$2:H$53,0))</f>
        <v>25</v>
      </c>
    </row>
    <row r="13" customFormat="false" ht="15" hidden="false" customHeight="false" outlineLevel="0" collapsed="false">
      <c r="A13" s="12" t="s">
        <v>335</v>
      </c>
      <c r="B13" s="12" t="s">
        <v>335</v>
      </c>
      <c r="C13" s="12" t="s">
        <v>378</v>
      </c>
      <c r="D13" s="20" t="n">
        <v>10.9</v>
      </c>
      <c r="E13" s="24" t="n">
        <v>0.4</v>
      </c>
      <c r="F13" s="24" t="n">
        <v>0.2</v>
      </c>
      <c r="G13" s="24" t="n">
        <v>9.3</v>
      </c>
      <c r="H13" s="23" t="n">
        <v>1892</v>
      </c>
      <c r="I13" s="24" t="n">
        <v>0.2</v>
      </c>
      <c r="J13" s="24" t="n">
        <v>1.9</v>
      </c>
      <c r="K13" s="24" t="n">
        <v>12.6</v>
      </c>
      <c r="L13" s="29" t="n">
        <f aca="false">IF(OR(D13="",H13=""),"",D13*12/H13*100)</f>
        <v>6.91331923890064</v>
      </c>
      <c r="M13" s="27" t="n">
        <f aca="false">IF(OR(D13="",H13=""),"",H13/(D13*12))</f>
        <v>14.4648318042813</v>
      </c>
      <c r="N13" s="25" t="n">
        <f aca="false">IF(D13="","",RANK(D13,D$2:D$53,0))</f>
        <v>20</v>
      </c>
      <c r="O13" s="25" t="n">
        <f aca="false">IF(H13="","",RANK(H13,H$2:H$53,0))</f>
        <v>21</v>
      </c>
    </row>
    <row r="14" customFormat="false" ht="15" hidden="false" customHeight="false" outlineLevel="0" collapsed="false">
      <c r="A14" s="12" t="s">
        <v>337</v>
      </c>
      <c r="B14" s="12" t="s">
        <v>337</v>
      </c>
      <c r="C14" s="12" t="s">
        <v>378</v>
      </c>
      <c r="D14" s="20" t="n">
        <v>20.2</v>
      </c>
      <c r="E14" s="24" t="n">
        <v>1.2</v>
      </c>
      <c r="F14" s="24" t="n">
        <v>0.8</v>
      </c>
      <c r="G14" s="24" t="n">
        <v>3.6</v>
      </c>
      <c r="H14" s="23" t="n">
        <v>5593</v>
      </c>
      <c r="I14" s="24" t="n">
        <v>0</v>
      </c>
      <c r="J14" s="24" t="n">
        <v>0.7</v>
      </c>
      <c r="K14" s="24" t="n">
        <v>4.1</v>
      </c>
      <c r="L14" s="29" t="n">
        <f aca="false">IF(OR(D14="",H14=""),"",D14*12/H14*100)</f>
        <v>4.33398891471482</v>
      </c>
      <c r="M14" s="27" t="n">
        <f aca="false">IF(OR(D14="",H14=""),"",H14/(D14*12))</f>
        <v>23.0734323432343</v>
      </c>
      <c r="N14" s="25" t="n">
        <f aca="false">IF(D14="","",RANK(D14,D$2:D$53,0))</f>
        <v>2</v>
      </c>
      <c r="O14" s="25" t="n">
        <f aca="false">IF(H14="","",RANK(H14,H$2:H$53,0))</f>
        <v>1</v>
      </c>
    </row>
    <row r="15" customFormat="false" ht="15" hidden="false" customHeight="false" outlineLevel="0" collapsed="false">
      <c r="A15" s="12" t="s">
        <v>282</v>
      </c>
      <c r="B15" s="12" t="s">
        <v>379</v>
      </c>
      <c r="C15" s="12" t="s">
        <v>361</v>
      </c>
      <c r="D15" s="20" t="n">
        <v>15.1</v>
      </c>
      <c r="E15" s="24" t="n">
        <v>-1</v>
      </c>
      <c r="F15" s="24" t="n">
        <v>-1</v>
      </c>
      <c r="G15" s="24" t="n">
        <v>4</v>
      </c>
      <c r="H15" s="23" t="n">
        <v>3113</v>
      </c>
      <c r="I15" s="24" t="n">
        <v>0.3</v>
      </c>
      <c r="J15" s="24" t="n">
        <v>-0.7</v>
      </c>
      <c r="K15" s="24" t="n">
        <v>10.4</v>
      </c>
      <c r="L15" s="29" t="n">
        <f aca="false">IF(OR(D15="",H15=""),"",D15*12/H15*100)</f>
        <v>5.82075168647607</v>
      </c>
      <c r="M15" s="27" t="n">
        <f aca="false">IF(OR(D15="",H15=""),"",H15/(D15*12))</f>
        <v>17.1799116997793</v>
      </c>
      <c r="N15" s="25" t="n">
        <f aca="false">IF(D15="","",RANK(D15,D$2:D$53,0))</f>
        <v>8</v>
      </c>
      <c r="O15" s="25" t="n">
        <f aca="false">IF(H15="","",RANK(H15,H$2:H$53,0))</f>
        <v>8</v>
      </c>
    </row>
    <row r="16" customFormat="false" ht="15" hidden="false" customHeight="false" outlineLevel="0" collapsed="false">
      <c r="A16" s="12" t="s">
        <v>282</v>
      </c>
      <c r="B16" s="12" t="s">
        <v>380</v>
      </c>
      <c r="C16" s="12" t="s">
        <v>361</v>
      </c>
      <c r="D16" s="20" t="n">
        <v>15.3</v>
      </c>
      <c r="E16" s="24" t="n">
        <v>-1.1</v>
      </c>
      <c r="F16" s="24" t="n">
        <v>-1</v>
      </c>
      <c r="G16" s="24" t="n">
        <v>4.5</v>
      </c>
      <c r="H16" s="23" t="n">
        <v>3514</v>
      </c>
      <c r="I16" s="24" t="n">
        <v>0.4</v>
      </c>
      <c r="J16" s="24" t="n">
        <v>-0.2</v>
      </c>
      <c r="K16" s="24" t="n">
        <v>3.7</v>
      </c>
      <c r="L16" s="29" t="n">
        <f aca="false">IF(OR(D16="",H16=""),"",D16*12/H16*100)</f>
        <v>5.22481502561184</v>
      </c>
      <c r="M16" s="27" t="n">
        <f aca="false">IF(OR(D16="",H16=""),"",H16/(D16*12))</f>
        <v>19.1394335511983</v>
      </c>
      <c r="N16" s="25" t="n">
        <f aca="false">IF(D16="","",RANK(D16,D$2:D$53,0))</f>
        <v>6</v>
      </c>
      <c r="O16" s="25" t="n">
        <f aca="false">IF(H16="","",RANK(H16,H$2:H$53,0))</f>
        <v>6</v>
      </c>
    </row>
    <row r="17" customFormat="false" ht="15" hidden="false" customHeight="false" outlineLevel="0" collapsed="false">
      <c r="A17" s="12" t="s">
        <v>283</v>
      </c>
      <c r="B17" s="12" t="s">
        <v>283</v>
      </c>
      <c r="C17" s="12" t="s">
        <v>378</v>
      </c>
      <c r="D17" s="20" t="n">
        <v>11.8</v>
      </c>
      <c r="E17" s="24" t="n">
        <v>-0.3</v>
      </c>
      <c r="F17" s="24" t="n">
        <v>1.6</v>
      </c>
      <c r="G17" s="24" t="n">
        <v>5.4</v>
      </c>
      <c r="H17" s="23" t="n">
        <v>2408</v>
      </c>
      <c r="I17" s="24" t="n">
        <v>0.7</v>
      </c>
      <c r="J17" s="24" t="n">
        <v>3.4</v>
      </c>
      <c r="K17" s="24" t="n">
        <v>14.6</v>
      </c>
      <c r="L17" s="29" t="n">
        <f aca="false">IF(OR(D17="",H17=""),"",D17*12/H17*100)</f>
        <v>5.88039867109635</v>
      </c>
      <c r="M17" s="27" t="n">
        <f aca="false">IF(OR(D17="",H17=""),"",H17/(D17*12))</f>
        <v>17.0056497175141</v>
      </c>
      <c r="N17" s="25" t="n">
        <f aca="false">IF(D17="","",RANK(D17,D$2:D$53,0))</f>
        <v>15</v>
      </c>
      <c r="O17" s="25" t="n">
        <f aca="false">IF(H17="","",RANK(H17,H$2:H$53,0))</f>
        <v>14</v>
      </c>
    </row>
    <row r="18" customFormat="false" ht="15" hidden="false" customHeight="false" outlineLevel="0" collapsed="false">
      <c r="A18" s="12" t="s">
        <v>284</v>
      </c>
      <c r="B18" s="12" t="s">
        <v>381</v>
      </c>
      <c r="C18" s="12" t="s">
        <v>361</v>
      </c>
      <c r="D18" s="20" t="n">
        <v>10.1</v>
      </c>
      <c r="E18" s="24" t="n">
        <v>-0.5</v>
      </c>
      <c r="F18" s="24" t="n">
        <v>-0.7</v>
      </c>
      <c r="G18" s="24" t="n">
        <v>8.5</v>
      </c>
      <c r="H18" s="23" t="n">
        <v>1405</v>
      </c>
      <c r="I18" s="24" t="n">
        <v>0.9</v>
      </c>
      <c r="J18" s="24" t="n">
        <v>6.2</v>
      </c>
      <c r="K18" s="24" t="n">
        <v>18</v>
      </c>
      <c r="L18" s="29" t="n">
        <f aca="false">IF(OR(D18="",H18=""),"",D18*12/H18*100)</f>
        <v>8.62633451957295</v>
      </c>
      <c r="M18" s="27" t="n">
        <f aca="false">IF(OR(D18="",H18=""),"",H18/(D18*12))</f>
        <v>11.5924092409241</v>
      </c>
      <c r="N18" s="25" t="n">
        <f aca="false">IF(D18="","",RANK(D18,D$2:D$53,0))</f>
        <v>25</v>
      </c>
      <c r="O18" s="25" t="n">
        <f aca="false">IF(H18="","",RANK(H18,H$2:H$53,0))</f>
        <v>37</v>
      </c>
    </row>
    <row r="19" customFormat="false" ht="15" hidden="false" customHeight="false" outlineLevel="0" collapsed="false">
      <c r="A19" s="12" t="s">
        <v>284</v>
      </c>
      <c r="B19" s="12" t="s">
        <v>382</v>
      </c>
      <c r="C19" s="12" t="s">
        <v>361</v>
      </c>
      <c r="D19" s="20" t="n">
        <v>8.4</v>
      </c>
      <c r="E19" s="24" t="n">
        <v>-0.5</v>
      </c>
      <c r="F19" s="24" t="n">
        <v>-0.5</v>
      </c>
      <c r="G19" s="24" t="n">
        <v>6.7</v>
      </c>
      <c r="H19" s="23" t="n">
        <v>1124</v>
      </c>
      <c r="I19" s="24" t="n">
        <v>-0.7</v>
      </c>
      <c r="J19" s="24" t="n">
        <v>-0.8</v>
      </c>
      <c r="K19" s="24" t="n">
        <v>8.9</v>
      </c>
      <c r="L19" s="29" t="n">
        <f aca="false">IF(OR(D19="",H19=""),"",D19*12/H19*100)</f>
        <v>8.96797153024911</v>
      </c>
      <c r="M19" s="27" t="n">
        <f aca="false">IF(OR(D19="",H19=""),"",H19/(D19*12))</f>
        <v>11.1507936507937</v>
      </c>
      <c r="N19" s="25" t="n">
        <f aca="false">IF(D19="","",RANK(D19,D$2:D$53,0))</f>
        <v>40</v>
      </c>
      <c r="O19" s="25" t="n">
        <f aca="false">IF(H19="","",RANK(H19,H$2:H$53,0))</f>
        <v>44</v>
      </c>
    </row>
    <row r="20" customFormat="false" ht="15" hidden="false" customHeight="false" outlineLevel="0" collapsed="false">
      <c r="A20" s="12" t="s">
        <v>284</v>
      </c>
      <c r="B20" s="12" t="s">
        <v>383</v>
      </c>
      <c r="C20" s="12" t="s">
        <v>361</v>
      </c>
      <c r="D20" s="20" t="n">
        <v>8.8</v>
      </c>
      <c r="E20" s="24" t="n">
        <v>2.8</v>
      </c>
      <c r="F20" s="24" t="n">
        <v>6.5</v>
      </c>
      <c r="G20" s="24" t="n">
        <v>9</v>
      </c>
      <c r="H20" s="23" t="n">
        <v>1156</v>
      </c>
      <c r="I20" s="24" t="n">
        <v>-3.3</v>
      </c>
      <c r="J20" s="24" t="n">
        <v>-1</v>
      </c>
      <c r="K20" s="24" t="n">
        <v>1.9</v>
      </c>
      <c r="L20" s="29" t="n">
        <f aca="false">IF(OR(D20="",H20=""),"",D20*12/H20*100)</f>
        <v>9.13494809688582</v>
      </c>
      <c r="M20" s="27" t="n">
        <f aca="false">IF(OR(D20="",H20=""),"",H20/(D20*12))</f>
        <v>10.9469696969697</v>
      </c>
      <c r="N20" s="25" t="n">
        <f aca="false">IF(D20="","",RANK(D20,D$2:D$53,0))</f>
        <v>39</v>
      </c>
      <c r="O20" s="25" t="n">
        <f aca="false">IF(H20="","",RANK(H20,H$2:H$53,0))</f>
        <v>42</v>
      </c>
    </row>
    <row r="21" customFormat="false" ht="15" hidden="false" customHeight="false" outlineLevel="0" collapsed="false">
      <c r="A21" s="12" t="s">
        <v>284</v>
      </c>
      <c r="B21" s="12" t="s">
        <v>384</v>
      </c>
      <c r="C21" s="12" t="s">
        <v>361</v>
      </c>
      <c r="D21" s="20" t="n">
        <v>10.3</v>
      </c>
      <c r="E21" s="24" t="n">
        <v>0.4</v>
      </c>
      <c r="F21" s="24" t="n">
        <v>-0.2</v>
      </c>
      <c r="G21" s="24" t="n">
        <v>8.9</v>
      </c>
      <c r="H21" s="23" t="n">
        <v>1706</v>
      </c>
      <c r="I21" s="24" t="n">
        <v>0.8</v>
      </c>
      <c r="J21" s="24" t="n">
        <v>2.2</v>
      </c>
      <c r="K21" s="24" t="n">
        <v>14</v>
      </c>
      <c r="L21" s="29" t="n">
        <f aca="false">IF(OR(D21="",H21=""),"",D21*12/H21*100)</f>
        <v>7.24501758499414</v>
      </c>
      <c r="M21" s="27" t="n">
        <f aca="false">IF(OR(D21="",H21=""),"",H21/(D21*12))</f>
        <v>13.8025889967638</v>
      </c>
      <c r="N21" s="25" t="n">
        <f aca="false">IF(D21="","",RANK(D21,D$2:D$53,0))</f>
        <v>23</v>
      </c>
      <c r="O21" s="25" t="n">
        <f aca="false">IF(H21="","",RANK(H21,H$2:H$53,0))</f>
        <v>27</v>
      </c>
    </row>
    <row r="22" customFormat="false" ht="15" hidden="false" customHeight="false" outlineLevel="0" collapsed="false">
      <c r="A22" s="12" t="s">
        <v>284</v>
      </c>
      <c r="B22" s="12" t="s">
        <v>385</v>
      </c>
      <c r="C22" s="12" t="s">
        <v>361</v>
      </c>
      <c r="D22" s="20" t="n">
        <v>11.9</v>
      </c>
      <c r="E22" s="24" t="n">
        <v>1.6</v>
      </c>
      <c r="F22" s="24" t="n">
        <v>-0.9</v>
      </c>
      <c r="G22" s="24" t="n">
        <v>6.2</v>
      </c>
      <c r="H22" s="23" t="n">
        <v>1601</v>
      </c>
      <c r="I22" s="24" t="n">
        <v>0.2</v>
      </c>
      <c r="J22" s="24" t="n">
        <v>-1.1</v>
      </c>
      <c r="K22" s="24" t="n">
        <v>12.7</v>
      </c>
      <c r="L22" s="29" t="n">
        <f aca="false">IF(OR(D22="",H22=""),"",D22*12/H22*100)</f>
        <v>8.91942535915053</v>
      </c>
      <c r="M22" s="27" t="n">
        <f aca="false">IF(OR(D22="",H22=""),"",H22/(D22*12))</f>
        <v>11.2114845938375</v>
      </c>
      <c r="N22" s="25" t="n">
        <f aca="false">IF(D22="","",RANK(D22,D$2:D$53,0))</f>
        <v>14</v>
      </c>
      <c r="O22" s="25" t="n">
        <f aca="false">IF(H22="","",RANK(H22,H$2:H$53,0))</f>
        <v>33</v>
      </c>
    </row>
    <row r="23" customFormat="false" ht="15" hidden="false" customHeight="false" outlineLevel="0" collapsed="false">
      <c r="A23" s="12" t="s">
        <v>284</v>
      </c>
      <c r="B23" s="12" t="s">
        <v>386</v>
      </c>
      <c r="C23" s="12" t="s">
        <v>361</v>
      </c>
      <c r="D23" s="20" t="n">
        <v>8.9</v>
      </c>
      <c r="E23" s="24" t="n">
        <v>-0.1</v>
      </c>
      <c r="F23" s="24" t="n">
        <v>-5</v>
      </c>
      <c r="G23" s="24" t="n">
        <v>8.6</v>
      </c>
      <c r="H23" s="23" t="n">
        <v>1203</v>
      </c>
      <c r="I23" s="24" t="n">
        <v>-0.7</v>
      </c>
      <c r="J23" s="24" t="n">
        <v>6.7</v>
      </c>
      <c r="K23" s="24" t="n">
        <v>7</v>
      </c>
      <c r="L23" s="29" t="n">
        <f aca="false">IF(OR(D23="",H23=""),"",D23*12/H23*100)</f>
        <v>8.87780548628429</v>
      </c>
      <c r="M23" s="27" t="n">
        <f aca="false">IF(OR(D23="",H23=""),"",H23/(D23*12))</f>
        <v>11.2640449438202</v>
      </c>
      <c r="N23" s="25" t="n">
        <f aca="false">IF(D23="","",RANK(D23,D$2:D$53,0))</f>
        <v>37</v>
      </c>
      <c r="O23" s="25" t="n">
        <f aca="false">IF(H23="","",RANK(H23,H$2:H$53,0))</f>
        <v>41</v>
      </c>
    </row>
    <row r="24" customFormat="false" ht="15" hidden="false" customHeight="false" outlineLevel="0" collapsed="false">
      <c r="A24" s="12" t="s">
        <v>284</v>
      </c>
      <c r="B24" s="12" t="s">
        <v>387</v>
      </c>
      <c r="C24" s="12" t="s">
        <v>361</v>
      </c>
      <c r="D24" s="20" t="n">
        <v>9.7</v>
      </c>
      <c r="E24" s="24" t="n">
        <v>-0.3</v>
      </c>
      <c r="F24" s="24" t="n">
        <v>-0.8</v>
      </c>
      <c r="G24" s="24" t="n">
        <v>6.3</v>
      </c>
      <c r="H24" s="23" t="n">
        <v>1693</v>
      </c>
      <c r="I24" s="24" t="n">
        <v>-0.8</v>
      </c>
      <c r="J24" s="24" t="n">
        <v>1.5</v>
      </c>
      <c r="K24" s="24" t="n">
        <v>13</v>
      </c>
      <c r="L24" s="29" t="n">
        <f aca="false">IF(OR(D24="",H24=""),"",D24*12/H24*100)</f>
        <v>6.87536916715889</v>
      </c>
      <c r="M24" s="27" t="n">
        <f aca="false">IF(OR(D24="",H24=""),"",H24/(D24*12))</f>
        <v>14.5446735395189</v>
      </c>
      <c r="N24" s="25" t="n">
        <f aca="false">IF(D24="","",RANK(D24,D$2:D$53,0))</f>
        <v>29</v>
      </c>
      <c r="O24" s="25" t="n">
        <f aca="false">IF(H24="","",RANK(H24,H$2:H$53,0))</f>
        <v>28</v>
      </c>
    </row>
    <row r="25" customFormat="false" ht="15" hidden="false" customHeight="false" outlineLevel="0" collapsed="false">
      <c r="A25" s="12" t="s">
        <v>284</v>
      </c>
      <c r="B25" s="12" t="s">
        <v>388</v>
      </c>
      <c r="C25" s="12" t="s">
        <v>361</v>
      </c>
      <c r="D25" s="20" t="n">
        <v>8</v>
      </c>
      <c r="E25" s="24" t="n">
        <v>0.8</v>
      </c>
      <c r="F25" s="24" t="n">
        <v>0.9</v>
      </c>
      <c r="G25" s="24" t="n">
        <v>2.7</v>
      </c>
      <c r="H25" s="23" t="n">
        <v>974</v>
      </c>
      <c r="I25" s="24" t="n">
        <v>-0.7</v>
      </c>
      <c r="J25" s="24" t="n">
        <v>-0.8</v>
      </c>
      <c r="K25" s="24" t="n">
        <v>5</v>
      </c>
      <c r="L25" s="29" t="n">
        <f aca="false">IF(OR(D25="",H25=""),"",D25*12/H25*100)</f>
        <v>9.85626283367557</v>
      </c>
      <c r="M25" s="27" t="n">
        <f aca="false">IF(OR(D25="",H25=""),"",H25/(D25*12))</f>
        <v>10.1458333333333</v>
      </c>
      <c r="N25" s="25" t="n">
        <f aca="false">IF(D25="","",RANK(D25,D$2:D$53,0))</f>
        <v>46</v>
      </c>
      <c r="O25" s="25" t="n">
        <f aca="false">IF(H25="","",RANK(H25,H$2:H$53,0))</f>
        <v>47</v>
      </c>
    </row>
    <row r="26" customFormat="false" ht="15" hidden="false" customHeight="false" outlineLevel="0" collapsed="false">
      <c r="A26" s="12" t="s">
        <v>284</v>
      </c>
      <c r="B26" s="12" t="s">
        <v>389</v>
      </c>
      <c r="C26" s="12" t="s">
        <v>361</v>
      </c>
      <c r="D26" s="20" t="n">
        <v>8.1</v>
      </c>
      <c r="E26" s="24" t="n">
        <v>-1.7</v>
      </c>
      <c r="F26" s="24" t="n">
        <v>-2.3</v>
      </c>
      <c r="G26" s="24" t="n">
        <v>2</v>
      </c>
      <c r="H26" s="23" t="n">
        <v>1148</v>
      </c>
      <c r="I26" s="24" t="n">
        <v>0.3</v>
      </c>
      <c r="J26" s="24" t="n">
        <v>1</v>
      </c>
      <c r="K26" s="24" t="n">
        <v>14.2</v>
      </c>
      <c r="L26" s="29" t="n">
        <f aca="false">IF(OR(D26="",H26=""),"",D26*12/H26*100)</f>
        <v>8.46689895470383</v>
      </c>
      <c r="M26" s="27" t="n">
        <f aca="false">IF(OR(D26="",H26=""),"",H26/(D26*12))</f>
        <v>11.8106995884774</v>
      </c>
      <c r="N26" s="25" t="n">
        <f aca="false">IF(D26="","",RANK(D26,D$2:D$53,0))</f>
        <v>44</v>
      </c>
      <c r="O26" s="25" t="n">
        <f aca="false">IF(H26="","",RANK(H26,H$2:H$53,0))</f>
        <v>43</v>
      </c>
    </row>
    <row r="27" customFormat="false" ht="15" hidden="false" customHeight="false" outlineLevel="0" collapsed="false">
      <c r="A27" s="12" t="s">
        <v>285</v>
      </c>
      <c r="B27" s="12" t="s">
        <v>390</v>
      </c>
      <c r="C27" s="12" t="s">
        <v>361</v>
      </c>
      <c r="D27" s="20" t="n">
        <v>8.4</v>
      </c>
      <c r="E27" s="24" t="n">
        <v>-1.3</v>
      </c>
      <c r="F27" s="24" t="n">
        <v>-3</v>
      </c>
      <c r="G27" s="24" t="n">
        <v>4.8</v>
      </c>
      <c r="H27" s="23" t="n">
        <v>1256</v>
      </c>
      <c r="I27" s="24" t="n">
        <v>-0.5</v>
      </c>
      <c r="J27" s="24" t="n">
        <v>-1.1</v>
      </c>
      <c r="K27" s="24" t="n">
        <v>8.6</v>
      </c>
      <c r="L27" s="29" t="n">
        <f aca="false">IF(OR(D27="",H27=""),"",D27*12/H27*100)</f>
        <v>8.02547770700637</v>
      </c>
      <c r="M27" s="27" t="n">
        <f aca="false">IF(OR(D27="",H27=""),"",H27/(D27*12))</f>
        <v>12.4603174603175</v>
      </c>
      <c r="N27" s="25" t="n">
        <f aca="false">IF(D27="","",RANK(D27,D$2:D$53,0))</f>
        <v>40</v>
      </c>
      <c r="O27" s="25" t="n">
        <f aca="false">IF(H27="","",RANK(H27,H$2:H$53,0))</f>
        <v>38</v>
      </c>
    </row>
    <row r="28" customFormat="false" ht="15" hidden="false" customHeight="false" outlineLevel="0" collapsed="false">
      <c r="A28" s="12" t="s">
        <v>285</v>
      </c>
      <c r="B28" s="12" t="s">
        <v>391</v>
      </c>
      <c r="C28" s="12" t="s">
        <v>361</v>
      </c>
      <c r="D28" s="20" t="n">
        <v>7.7</v>
      </c>
      <c r="E28" s="24" t="n">
        <v>1</v>
      </c>
      <c r="F28" s="24" t="n">
        <v>2.8</v>
      </c>
      <c r="G28" s="24" t="n">
        <v>8.4</v>
      </c>
      <c r="H28" s="23" t="n">
        <v>858</v>
      </c>
      <c r="I28" s="24" t="n">
        <v>0.1</v>
      </c>
      <c r="J28" s="24" t="n">
        <v>2.1</v>
      </c>
      <c r="K28" s="24" t="n">
        <v>15.8</v>
      </c>
      <c r="L28" s="29" t="n">
        <f aca="false">IF(OR(D28="",H28=""),"",D28*12/H28*100)</f>
        <v>10.7692307692308</v>
      </c>
      <c r="M28" s="27" t="n">
        <f aca="false">IF(OR(D28="",H28=""),"",H28/(D28*12))</f>
        <v>9.28571428571429</v>
      </c>
      <c r="N28" s="25" t="n">
        <f aca="false">IF(D28="","",RANK(D28,D$2:D$53,0))</f>
        <v>49</v>
      </c>
      <c r="O28" s="25" t="n">
        <f aca="false">IF(H28="","",RANK(H28,H$2:H$53,0))</f>
        <v>52</v>
      </c>
    </row>
    <row r="29" customFormat="false" ht="15" hidden="false" customHeight="false" outlineLevel="0" collapsed="false">
      <c r="A29" s="12" t="s">
        <v>285</v>
      </c>
      <c r="B29" s="12" t="s">
        <v>392</v>
      </c>
      <c r="C29" s="12" t="s">
        <v>361</v>
      </c>
      <c r="D29" s="20" t="n">
        <v>8.2</v>
      </c>
      <c r="E29" s="24" t="n">
        <v>1.1</v>
      </c>
      <c r="F29" s="24" t="n">
        <v>3.9</v>
      </c>
      <c r="G29" s="24" t="n">
        <v>10.9</v>
      </c>
      <c r="H29" s="23" t="n">
        <v>896</v>
      </c>
      <c r="I29" s="24" t="n">
        <v>-0.6</v>
      </c>
      <c r="J29" s="24" t="n">
        <v>0</v>
      </c>
      <c r="K29" s="24" t="n">
        <v>9.2</v>
      </c>
      <c r="L29" s="29" t="n">
        <f aca="false">IF(OR(D29="",H29=""),"",D29*12/H29*100)</f>
        <v>10.9821428571429</v>
      </c>
      <c r="M29" s="27" t="n">
        <f aca="false">IF(OR(D29="",H29=""),"",H29/(D29*12))</f>
        <v>9.10569105691057</v>
      </c>
      <c r="N29" s="25" t="n">
        <f aca="false">IF(D29="","",RANK(D29,D$2:D$53,0))</f>
        <v>42</v>
      </c>
      <c r="O29" s="25" t="n">
        <f aca="false">IF(H29="","",RANK(H29,H$2:H$53,0))</f>
        <v>49</v>
      </c>
    </row>
    <row r="30" customFormat="false" ht="15" hidden="false" customHeight="false" outlineLevel="0" collapsed="false">
      <c r="A30" s="12" t="s">
        <v>285</v>
      </c>
      <c r="B30" s="12" t="s">
        <v>393</v>
      </c>
      <c r="C30" s="12" t="s">
        <v>361</v>
      </c>
      <c r="D30" s="20" t="n">
        <v>10.4</v>
      </c>
      <c r="E30" s="24" t="n">
        <v>-1.9</v>
      </c>
      <c r="F30" s="24" t="n">
        <v>-1.9</v>
      </c>
      <c r="G30" s="24" t="n">
        <v>3.5</v>
      </c>
      <c r="H30" s="23" t="n">
        <v>1631</v>
      </c>
      <c r="I30" s="24" t="n">
        <v>0.7</v>
      </c>
      <c r="J30" s="24" t="n">
        <v>1.8</v>
      </c>
      <c r="K30" s="24" t="n">
        <v>13.5</v>
      </c>
      <c r="L30" s="29" t="n">
        <f aca="false">IF(OR(D30="",H30=""),"",D30*12/H30*100)</f>
        <v>7.65174739423667</v>
      </c>
      <c r="M30" s="27" t="n">
        <f aca="false">IF(OR(D30="",H30=""),"",H30/(D30*12))</f>
        <v>13.0689102564103</v>
      </c>
      <c r="N30" s="25" t="n">
        <f aca="false">IF(D30="","",RANK(D30,D$2:D$53,0))</f>
        <v>22</v>
      </c>
      <c r="O30" s="25" t="n">
        <f aca="false">IF(H30="","",RANK(H30,H$2:H$53,0))</f>
        <v>32</v>
      </c>
    </row>
    <row r="31" customFormat="false" ht="15" hidden="false" customHeight="false" outlineLevel="0" collapsed="false">
      <c r="A31" s="12" t="s">
        <v>285</v>
      </c>
      <c r="B31" s="12" t="s">
        <v>394</v>
      </c>
      <c r="C31" s="12" t="s">
        <v>361</v>
      </c>
      <c r="D31" s="20" t="n">
        <v>9.5</v>
      </c>
      <c r="E31" s="24" t="n">
        <v>0</v>
      </c>
      <c r="F31" s="24" t="n">
        <v>0.7</v>
      </c>
      <c r="G31" s="24" t="n">
        <v>12.7</v>
      </c>
      <c r="H31" s="23" t="n">
        <v>1218</v>
      </c>
      <c r="I31" s="24" t="n">
        <v>0.6</v>
      </c>
      <c r="J31" s="24" t="n">
        <v>3.2</v>
      </c>
      <c r="K31" s="24" t="n">
        <v>19</v>
      </c>
      <c r="L31" s="29" t="n">
        <f aca="false">IF(OR(D31="",H31=""),"",D31*12/H31*100)</f>
        <v>9.35960591133005</v>
      </c>
      <c r="M31" s="27" t="n">
        <f aca="false">IF(OR(D31="",H31=""),"",H31/(D31*12))</f>
        <v>10.6842105263158</v>
      </c>
      <c r="N31" s="25" t="n">
        <f aca="false">IF(D31="","",RANK(D31,D$2:D$53,0))</f>
        <v>30</v>
      </c>
      <c r="O31" s="25" t="n">
        <f aca="false">IF(H31="","",RANK(H31,H$2:H$53,0))</f>
        <v>39</v>
      </c>
    </row>
    <row r="32" customFormat="false" ht="15" hidden="false" customHeight="false" outlineLevel="0" collapsed="false">
      <c r="A32" s="12" t="s">
        <v>286</v>
      </c>
      <c r="B32" s="12" t="s">
        <v>395</v>
      </c>
      <c r="C32" s="12" t="s">
        <v>361</v>
      </c>
      <c r="D32" s="20" t="n">
        <v>17.2</v>
      </c>
      <c r="E32" s="24" t="n">
        <v>0.1</v>
      </c>
      <c r="F32" s="24" t="n">
        <v>1.4</v>
      </c>
      <c r="G32" s="24" t="n">
        <v>1.6</v>
      </c>
      <c r="H32" s="23" t="n">
        <v>3506</v>
      </c>
      <c r="I32" s="24" t="n">
        <v>0.4</v>
      </c>
      <c r="J32" s="24" t="n">
        <v>0.8</v>
      </c>
      <c r="K32" s="24" t="n">
        <v>11.5</v>
      </c>
      <c r="L32" s="29" t="n">
        <f aca="false">IF(OR(D32="",H32=""),"",D32*12/H32*100)</f>
        <v>5.88705077010839</v>
      </c>
      <c r="M32" s="27" t="n">
        <f aca="false">IF(OR(D32="",H32=""),"",H32/(D32*12))</f>
        <v>16.9864341085271</v>
      </c>
      <c r="N32" s="25" t="n">
        <f aca="false">IF(D32="","",RANK(D32,D$2:D$53,0))</f>
        <v>4</v>
      </c>
      <c r="O32" s="25" t="n">
        <f aca="false">IF(H32="","",RANK(H32,H$2:H$53,0))</f>
        <v>7</v>
      </c>
    </row>
    <row r="33" customFormat="false" ht="15" hidden="false" customHeight="false" outlineLevel="0" collapsed="false">
      <c r="A33" s="12" t="s">
        <v>286</v>
      </c>
      <c r="B33" s="12" t="s">
        <v>396</v>
      </c>
      <c r="C33" s="12" t="s">
        <v>361</v>
      </c>
      <c r="D33" s="20" t="n">
        <v>13.9</v>
      </c>
      <c r="E33" s="24" t="n">
        <v>-3.1</v>
      </c>
      <c r="F33" s="24" t="n">
        <v>-5.5</v>
      </c>
      <c r="G33" s="24" t="n">
        <v>7.3</v>
      </c>
      <c r="H33" s="23" t="n">
        <v>2934</v>
      </c>
      <c r="I33" s="24" t="n">
        <v>0.7</v>
      </c>
      <c r="J33" s="24" t="n">
        <v>2.2</v>
      </c>
      <c r="K33" s="24" t="n">
        <v>9.9</v>
      </c>
      <c r="L33" s="29" t="n">
        <f aca="false">IF(OR(D33="",H33=""),"",D33*12/H33*100)</f>
        <v>5.68507157464213</v>
      </c>
      <c r="M33" s="27" t="n">
        <f aca="false">IF(OR(D33="",H33=""),"",H33/(D33*12))</f>
        <v>17.589928057554</v>
      </c>
      <c r="N33" s="25" t="n">
        <f aca="false">IF(D33="","",RANK(D33,D$2:D$53,0))</f>
        <v>10</v>
      </c>
      <c r="O33" s="25" t="n">
        <f aca="false">IF(H33="","",RANK(H33,H$2:H$53,0))</f>
        <v>9</v>
      </c>
    </row>
    <row r="34" customFormat="false" ht="15" hidden="false" customHeight="false" outlineLevel="0" collapsed="false">
      <c r="A34" s="12" t="s">
        <v>286</v>
      </c>
      <c r="B34" s="12" t="s">
        <v>397</v>
      </c>
      <c r="C34" s="12" t="s">
        <v>361</v>
      </c>
      <c r="D34" s="20" t="n">
        <v>8.9</v>
      </c>
      <c r="E34" s="24" t="n">
        <v>0.1</v>
      </c>
      <c r="F34" s="24" t="n">
        <v>0.8</v>
      </c>
      <c r="G34" s="24" t="n">
        <v>2.6</v>
      </c>
      <c r="H34" s="23" t="n">
        <v>1595</v>
      </c>
      <c r="I34" s="24" t="n">
        <v>1.4</v>
      </c>
      <c r="J34" s="24" t="n">
        <v>4.1</v>
      </c>
      <c r="K34" s="24" t="n">
        <v>14.1</v>
      </c>
      <c r="L34" s="29" t="n">
        <f aca="false">IF(OR(D34="",H34=""),"",D34*12/H34*100)</f>
        <v>6.69592476489028</v>
      </c>
      <c r="M34" s="27" t="n">
        <f aca="false">IF(OR(D34="",H34=""),"",H34/(D34*12))</f>
        <v>14.934456928839</v>
      </c>
      <c r="N34" s="25" t="n">
        <f aca="false">IF(D34="","",RANK(D34,D$2:D$53,0))</f>
        <v>37</v>
      </c>
      <c r="O34" s="25" t="n">
        <f aca="false">IF(H34="","",RANK(H34,H$2:H$53,0))</f>
        <v>34</v>
      </c>
    </row>
    <row r="35" customFormat="false" ht="15" hidden="false" customHeight="false" outlineLevel="0" collapsed="false">
      <c r="A35" s="12" t="s">
        <v>286</v>
      </c>
      <c r="B35" s="12" t="s">
        <v>398</v>
      </c>
      <c r="C35" s="12" t="s">
        <v>361</v>
      </c>
      <c r="D35" s="20" t="n">
        <v>9.9</v>
      </c>
      <c r="E35" s="24" t="n">
        <v>-0.2</v>
      </c>
      <c r="F35" s="24" t="n">
        <v>-2.2</v>
      </c>
      <c r="G35" s="24" t="n">
        <v>2.9</v>
      </c>
      <c r="H35" s="23" t="n">
        <v>1922</v>
      </c>
      <c r="I35" s="24" t="n">
        <v>0.8</v>
      </c>
      <c r="J35" s="24" t="n">
        <v>1.6</v>
      </c>
      <c r="K35" s="24" t="n">
        <v>10.2</v>
      </c>
      <c r="L35" s="29" t="n">
        <f aca="false">IF(OR(D35="",H35=""),"",D35*12/H35*100)</f>
        <v>6.18106139438085</v>
      </c>
      <c r="M35" s="27" t="n">
        <f aca="false">IF(OR(D35="",H35=""),"",H35/(D35*12))</f>
        <v>16.1784511784512</v>
      </c>
      <c r="N35" s="25" t="n">
        <f aca="false">IF(D35="","",RANK(D35,D$2:D$53,0))</f>
        <v>27</v>
      </c>
      <c r="O35" s="25" t="n">
        <f aca="false">IF(H35="","",RANK(H35,H$2:H$53,0))</f>
        <v>20</v>
      </c>
    </row>
    <row r="36" customFormat="false" ht="15" hidden="false" customHeight="false" outlineLevel="0" collapsed="false">
      <c r="A36" s="12" t="s">
        <v>295</v>
      </c>
      <c r="B36" s="12" t="s">
        <v>295</v>
      </c>
      <c r="C36" s="12" t="s">
        <v>399</v>
      </c>
      <c r="D36" s="12"/>
      <c r="E36" s="12"/>
      <c r="F36" s="12"/>
      <c r="G36" s="12"/>
      <c r="H36" s="23" t="n">
        <v>2698</v>
      </c>
      <c r="I36" s="24" t="n">
        <v>-2</v>
      </c>
      <c r="J36" s="24" t="n">
        <v>-2.1</v>
      </c>
      <c r="K36" s="24" t="n">
        <v>13.1</v>
      </c>
      <c r="L36" s="29" t="str">
        <f aca="false">IF(OR(D36="",H36=""),"",D36*12/H36*100)</f>
        <v/>
      </c>
      <c r="M36" s="27" t="str">
        <f aca="false">IF(OR(D36="",H36=""),"",H36/(D36*12))</f>
        <v/>
      </c>
      <c r="N36" s="25" t="str">
        <f aca="false">IF(D36="","",RANK(D36,D$2:D$53,0))</f>
        <v/>
      </c>
      <c r="O36" s="25" t="n">
        <f aca="false">IF(H36="","",RANK(H36,H$2:H$53,0))</f>
        <v>11</v>
      </c>
    </row>
    <row r="37" customFormat="false" ht="15" hidden="false" customHeight="false" outlineLevel="0" collapsed="false">
      <c r="A37" s="12" t="s">
        <v>344</v>
      </c>
      <c r="B37" s="12" t="s">
        <v>400</v>
      </c>
      <c r="C37" s="12" t="s">
        <v>361</v>
      </c>
      <c r="D37" s="20" t="n">
        <v>12.7</v>
      </c>
      <c r="E37" s="24" t="n">
        <v>0.3</v>
      </c>
      <c r="F37" s="24" t="n">
        <v>1.3</v>
      </c>
      <c r="G37" s="24" t="n">
        <v>7.1</v>
      </c>
      <c r="H37" s="23" t="n">
        <v>2767</v>
      </c>
      <c r="I37" s="24" t="n">
        <v>0.3</v>
      </c>
      <c r="J37" s="24" t="n">
        <v>1.3</v>
      </c>
      <c r="K37" s="24" t="n">
        <v>7.8</v>
      </c>
      <c r="L37" s="29" t="n">
        <f aca="false">IF(OR(D37="",H37=""),"",D37*12/H37*100)</f>
        <v>5.50777014817492</v>
      </c>
      <c r="M37" s="27" t="n">
        <f aca="false">IF(OR(D37="",H37=""),"",H37/(D37*12))</f>
        <v>18.1561679790026</v>
      </c>
      <c r="N37" s="25" t="n">
        <f aca="false">IF(D37="","",RANK(D37,D$2:D$53,0))</f>
        <v>11</v>
      </c>
      <c r="O37" s="25" t="n">
        <f aca="false">IF(H37="","",RANK(H37,H$2:H$53,0))</f>
        <v>10</v>
      </c>
    </row>
    <row r="38" customFormat="false" ht="15" hidden="false" customHeight="false" outlineLevel="0" collapsed="false">
      <c r="A38" s="12" t="s">
        <v>344</v>
      </c>
      <c r="B38" s="12" t="s">
        <v>401</v>
      </c>
      <c r="C38" s="12" t="s">
        <v>361</v>
      </c>
      <c r="D38" s="20" t="n">
        <v>9.4</v>
      </c>
      <c r="E38" s="24" t="n">
        <v>-1.3</v>
      </c>
      <c r="F38" s="24" t="n">
        <v>2.4</v>
      </c>
      <c r="G38" s="24" t="n">
        <v>9.5</v>
      </c>
      <c r="H38" s="23" t="n">
        <v>1663</v>
      </c>
      <c r="I38" s="24" t="n">
        <v>1.1</v>
      </c>
      <c r="J38" s="24" t="n">
        <v>3.3</v>
      </c>
      <c r="K38" s="24" t="n">
        <v>11.9</v>
      </c>
      <c r="L38" s="29" t="n">
        <f aca="false">IF(OR(D38="",H38=""),"",D38*12/H38*100)</f>
        <v>6.78292242934456</v>
      </c>
      <c r="M38" s="27" t="n">
        <f aca="false">IF(OR(D38="",H38=""),"",H38/(D38*12))</f>
        <v>14.7429078014184</v>
      </c>
      <c r="N38" s="25" t="n">
        <f aca="false">IF(D38="","",RANK(D38,D$2:D$53,0))</f>
        <v>34</v>
      </c>
      <c r="O38" s="25" t="n">
        <f aca="false">IF(H38="","",RANK(H38,H$2:H$53,0))</f>
        <v>31</v>
      </c>
    </row>
    <row r="39" customFormat="false" ht="15" hidden="false" customHeight="false" outlineLevel="0" collapsed="false">
      <c r="A39" s="12" t="s">
        <v>344</v>
      </c>
      <c r="B39" s="12" t="s">
        <v>402</v>
      </c>
      <c r="C39" s="12" t="s">
        <v>361</v>
      </c>
      <c r="D39" s="20" t="n">
        <v>14.2</v>
      </c>
      <c r="E39" s="24" t="n">
        <v>-0.5</v>
      </c>
      <c r="F39" s="24" t="n">
        <v>0.4</v>
      </c>
      <c r="G39" s="24" t="n">
        <v>5</v>
      </c>
      <c r="H39" s="23" t="n">
        <v>2208</v>
      </c>
      <c r="I39" s="24" t="n">
        <v>0</v>
      </c>
      <c r="J39" s="24" t="n">
        <v>0.6</v>
      </c>
      <c r="K39" s="24" t="n">
        <v>15.1</v>
      </c>
      <c r="L39" s="29" t="n">
        <f aca="false">IF(OR(D39="",H39=""),"",D39*12/H39*100)</f>
        <v>7.71739130434782</v>
      </c>
      <c r="M39" s="27" t="n">
        <f aca="false">IF(OR(D39="",H39=""),"",H39/(D39*12))</f>
        <v>12.9577464788732</v>
      </c>
      <c r="N39" s="25" t="n">
        <f aca="false">IF(D39="","",RANK(D39,D$2:D$53,0))</f>
        <v>9</v>
      </c>
      <c r="O39" s="25" t="n">
        <f aca="false">IF(H39="","",RANK(H39,H$2:H$53,0))</f>
        <v>15</v>
      </c>
    </row>
    <row r="40" customFormat="false" ht="15" hidden="false" customHeight="false" outlineLevel="0" collapsed="false">
      <c r="A40" s="12" t="s">
        <v>346</v>
      </c>
      <c r="B40" s="12" t="s">
        <v>403</v>
      </c>
      <c r="C40" s="12" t="s">
        <v>361</v>
      </c>
      <c r="D40" s="20" t="n">
        <v>16.1</v>
      </c>
      <c r="E40" s="24" t="n">
        <v>1.4</v>
      </c>
      <c r="F40" s="24" t="n">
        <v>2.3</v>
      </c>
      <c r="G40" s="24" t="n">
        <v>-3</v>
      </c>
      <c r="H40" s="23" t="n">
        <v>4743</v>
      </c>
      <c r="I40" s="24" t="n">
        <v>1.2</v>
      </c>
      <c r="J40" s="24" t="n">
        <v>2.9</v>
      </c>
      <c r="K40" s="24" t="n">
        <v>12.7</v>
      </c>
      <c r="L40" s="29" t="n">
        <f aca="false">IF(OR(D40="",H40=""),"",D40*12/H40*100)</f>
        <v>4.07337128399747</v>
      </c>
      <c r="M40" s="27" t="n">
        <f aca="false">IF(OR(D40="",H40=""),"",H40/(D40*12))</f>
        <v>24.5496894409938</v>
      </c>
      <c r="N40" s="25" t="n">
        <f aca="false">IF(D40="","",RANK(D40,D$2:D$53,0))</f>
        <v>5</v>
      </c>
      <c r="O40" s="25" t="n">
        <f aca="false">IF(H40="","",RANK(H40,H$2:H$53,0))</f>
        <v>3</v>
      </c>
    </row>
    <row r="41" customFormat="false" ht="15" hidden="false" customHeight="false" outlineLevel="0" collapsed="false">
      <c r="A41" s="12" t="s">
        <v>346</v>
      </c>
      <c r="B41" s="12" t="s">
        <v>404</v>
      </c>
      <c r="C41" s="12" t="s">
        <v>361</v>
      </c>
      <c r="D41" s="20" t="n">
        <v>15.3</v>
      </c>
      <c r="E41" s="24" t="n">
        <v>0.6</v>
      </c>
      <c r="F41" s="24" t="n">
        <v>0</v>
      </c>
      <c r="G41" s="24" t="n">
        <v>3.2</v>
      </c>
      <c r="H41" s="23" t="n">
        <v>3588</v>
      </c>
      <c r="I41" s="24" t="n">
        <v>-0.1</v>
      </c>
      <c r="J41" s="24" t="n">
        <v>1</v>
      </c>
      <c r="K41" s="24" t="n">
        <v>9.6</v>
      </c>
      <c r="L41" s="29" t="n">
        <f aca="false">IF(OR(D41="",H41=""),"",D41*12/H41*100)</f>
        <v>5.11705685618729</v>
      </c>
      <c r="M41" s="27" t="n">
        <f aca="false">IF(OR(D41="",H41=""),"",H41/(D41*12))</f>
        <v>19.5424836601307</v>
      </c>
      <c r="N41" s="25" t="n">
        <f aca="false">IF(D41="","",RANK(D41,D$2:D$53,0))</f>
        <v>6</v>
      </c>
      <c r="O41" s="25" t="n">
        <f aca="false">IF(H41="","",RANK(H41,H$2:H$53,0))</f>
        <v>5</v>
      </c>
    </row>
    <row r="42" customFormat="false" ht="15" hidden="false" customHeight="false" outlineLevel="0" collapsed="false">
      <c r="A42" s="12" t="s">
        <v>346</v>
      </c>
      <c r="B42" s="12" t="s">
        <v>405</v>
      </c>
      <c r="C42" s="12" t="s">
        <v>361</v>
      </c>
      <c r="D42" s="20" t="n">
        <v>12</v>
      </c>
      <c r="E42" s="24" t="n">
        <v>-0.2</v>
      </c>
      <c r="F42" s="24" t="n">
        <v>-2.2</v>
      </c>
      <c r="G42" s="24" t="n">
        <v>-4</v>
      </c>
      <c r="H42" s="23" t="n">
        <v>2652</v>
      </c>
      <c r="I42" s="24" t="n">
        <v>-0.9</v>
      </c>
      <c r="J42" s="24" t="n">
        <v>-0.5</v>
      </c>
      <c r="K42" s="24" t="n">
        <v>6</v>
      </c>
      <c r="L42" s="29" t="n">
        <f aca="false">IF(OR(D42="",H42=""),"",D42*12/H42*100)</f>
        <v>5.42986425339367</v>
      </c>
      <c r="M42" s="27" t="n">
        <f aca="false">IF(OR(D42="",H42=""),"",H42/(D42*12))</f>
        <v>18.4166666666667</v>
      </c>
      <c r="N42" s="25" t="n">
        <f aca="false">IF(D42="","",RANK(D42,D$2:D$53,0))</f>
        <v>13</v>
      </c>
      <c r="O42" s="25" t="n">
        <f aca="false">IF(H42="","",RANK(H42,H$2:H$53,0))</f>
        <v>12</v>
      </c>
    </row>
    <row r="43" customFormat="false" ht="15" hidden="false" customHeight="false" outlineLevel="0" collapsed="false">
      <c r="A43" s="12" t="s">
        <v>288</v>
      </c>
      <c r="B43" s="12" t="s">
        <v>406</v>
      </c>
      <c r="C43" s="12" t="s">
        <v>361</v>
      </c>
      <c r="D43" s="20" t="n">
        <v>7.8</v>
      </c>
      <c r="E43" s="24" t="n">
        <v>0.2</v>
      </c>
      <c r="F43" s="24" t="n">
        <v>2</v>
      </c>
      <c r="G43" s="24" t="n">
        <v>7</v>
      </c>
      <c r="H43" s="23" t="n">
        <v>1069</v>
      </c>
      <c r="I43" s="24" t="n">
        <v>0.2</v>
      </c>
      <c r="J43" s="24" t="n">
        <v>0.1</v>
      </c>
      <c r="K43" s="24" t="n">
        <v>10.4</v>
      </c>
      <c r="L43" s="29" t="n">
        <f aca="false">IF(OR(D43="",H43=""),"",D43*12/H43*100)</f>
        <v>8.75584658559401</v>
      </c>
      <c r="M43" s="27" t="n">
        <f aca="false">IF(OR(D43="",H43=""),"",H43/(D43*12))</f>
        <v>11.4209401709402</v>
      </c>
      <c r="N43" s="25" t="n">
        <f aca="false">IF(D43="","",RANK(D43,D$2:D$53,0))</f>
        <v>48</v>
      </c>
      <c r="O43" s="25" t="n">
        <f aca="false">IF(H43="","",RANK(H43,H$2:H$53,0))</f>
        <v>45</v>
      </c>
    </row>
    <row r="44" customFormat="false" ht="15" hidden="false" customHeight="false" outlineLevel="0" collapsed="false">
      <c r="A44" s="12" t="s">
        <v>288</v>
      </c>
      <c r="B44" s="12" t="s">
        <v>407</v>
      </c>
      <c r="C44" s="12" t="s">
        <v>361</v>
      </c>
      <c r="D44" s="20" t="n">
        <v>7.7</v>
      </c>
      <c r="E44" s="24" t="n">
        <v>-1.3</v>
      </c>
      <c r="F44" s="24" t="n">
        <v>-1.2</v>
      </c>
      <c r="G44" s="24" t="n">
        <v>4.5</v>
      </c>
      <c r="H44" s="23" t="n">
        <v>1026</v>
      </c>
      <c r="I44" s="24" t="n">
        <v>-0.2</v>
      </c>
      <c r="J44" s="24" t="n">
        <v>-1.4</v>
      </c>
      <c r="K44" s="24" t="n">
        <v>4.6</v>
      </c>
      <c r="L44" s="29" t="n">
        <f aca="false">IF(OR(D44="",H44=""),"",D44*12/H44*100)</f>
        <v>9.00584795321638</v>
      </c>
      <c r="M44" s="27" t="n">
        <f aca="false">IF(OR(D44="",H44=""),"",H44/(D44*12))</f>
        <v>11.1038961038961</v>
      </c>
      <c r="N44" s="25" t="n">
        <f aca="false">IF(D44="","",RANK(D44,D$2:D$53,0))</f>
        <v>49</v>
      </c>
      <c r="O44" s="25" t="n">
        <f aca="false">IF(H44="","",RANK(H44,H$2:H$53,0))</f>
        <v>46</v>
      </c>
    </row>
    <row r="45" customFormat="false" ht="15" hidden="false" customHeight="false" outlineLevel="0" collapsed="false">
      <c r="A45" s="12" t="s">
        <v>289</v>
      </c>
      <c r="B45" s="12" t="s">
        <v>408</v>
      </c>
      <c r="C45" s="12" t="s">
        <v>361</v>
      </c>
      <c r="D45" s="20" t="n">
        <v>9.9</v>
      </c>
      <c r="E45" s="24" t="n">
        <v>0.1</v>
      </c>
      <c r="F45" s="24" t="n">
        <v>2.1</v>
      </c>
      <c r="G45" s="24" t="n">
        <v>2.5</v>
      </c>
      <c r="H45" s="23" t="n">
        <v>1773</v>
      </c>
      <c r="I45" s="24" t="n">
        <v>0.2</v>
      </c>
      <c r="J45" s="24" t="n">
        <v>1.4</v>
      </c>
      <c r="K45" s="24" t="n">
        <v>13.3</v>
      </c>
      <c r="L45" s="29" t="n">
        <f aca="false">IF(OR(D45="",H45=""),"",D45*12/H45*100)</f>
        <v>6.7005076142132</v>
      </c>
      <c r="M45" s="27" t="n">
        <f aca="false">IF(OR(D45="",H45=""),"",H45/(D45*12))</f>
        <v>14.9242424242424</v>
      </c>
      <c r="N45" s="25" t="n">
        <f aca="false">IF(D45="","",RANK(D45,D$2:D$53,0))</f>
        <v>27</v>
      </c>
      <c r="O45" s="25" t="n">
        <f aca="false">IF(H45="","",RANK(H45,H$2:H$53,0))</f>
        <v>26</v>
      </c>
    </row>
    <row r="46" customFormat="false" ht="15" hidden="false" customHeight="false" outlineLevel="0" collapsed="false">
      <c r="A46" s="12" t="s">
        <v>289</v>
      </c>
      <c r="B46" s="12" t="s">
        <v>409</v>
      </c>
      <c r="C46" s="12" t="s">
        <v>361</v>
      </c>
      <c r="D46" s="20" t="n">
        <v>8.1</v>
      </c>
      <c r="E46" s="24" t="n">
        <v>-1</v>
      </c>
      <c r="F46" s="24" t="n">
        <v>-0.2</v>
      </c>
      <c r="G46" s="24" t="n">
        <v>7.7</v>
      </c>
      <c r="H46" s="23" t="n">
        <v>1212</v>
      </c>
      <c r="I46" s="24" t="n">
        <v>0.3</v>
      </c>
      <c r="J46" s="24" t="n">
        <v>3.1</v>
      </c>
      <c r="K46" s="24" t="n">
        <v>7.6</v>
      </c>
      <c r="L46" s="29" t="n">
        <f aca="false">IF(OR(D46="",H46=""),"",D46*12/H46*100)</f>
        <v>8.01980198019802</v>
      </c>
      <c r="M46" s="27" t="n">
        <f aca="false">IF(OR(D46="",H46=""),"",H46/(D46*12))</f>
        <v>12.4691358024691</v>
      </c>
      <c r="N46" s="25" t="n">
        <f aca="false">IF(D46="","",RANK(D46,D$2:D$53,0))</f>
        <v>44</v>
      </c>
      <c r="O46" s="25" t="n">
        <f aca="false">IF(H46="","",RANK(H46,H$2:H$53,0))</f>
        <v>40</v>
      </c>
    </row>
    <row r="47" customFormat="false" ht="15" hidden="false" customHeight="false" outlineLevel="0" collapsed="false">
      <c r="A47" s="12" t="s">
        <v>289</v>
      </c>
      <c r="B47" s="12" t="s">
        <v>410</v>
      </c>
      <c r="C47" s="12" t="s">
        <v>361</v>
      </c>
      <c r="D47" s="20" t="n">
        <v>8.2</v>
      </c>
      <c r="E47" s="24" t="n">
        <v>0.1</v>
      </c>
      <c r="F47" s="24" t="n">
        <v>2.9</v>
      </c>
      <c r="G47" s="24" t="n">
        <v>6.6</v>
      </c>
      <c r="H47" s="23" t="n">
        <v>960</v>
      </c>
      <c r="I47" s="24" t="n">
        <v>0.9</v>
      </c>
      <c r="J47" s="24" t="n">
        <v>0.2</v>
      </c>
      <c r="K47" s="24" t="n">
        <v>-3.6</v>
      </c>
      <c r="L47" s="29" t="n">
        <f aca="false">IF(OR(D47="",H47=""),"",D47*12/H47*100)</f>
        <v>10.25</v>
      </c>
      <c r="M47" s="27" t="n">
        <f aca="false">IF(OR(D47="",H47=""),"",H47/(D47*12))</f>
        <v>9.75609756097561</v>
      </c>
      <c r="N47" s="25" t="n">
        <f aca="false">IF(D47="","",RANK(D47,D$2:D$53,0))</f>
        <v>42</v>
      </c>
      <c r="O47" s="25" t="n">
        <f aca="false">IF(H47="","",RANK(H47,H$2:H$53,0))</f>
        <v>48</v>
      </c>
    </row>
    <row r="48" customFormat="false" ht="15" hidden="false" customHeight="false" outlineLevel="0" collapsed="false">
      <c r="A48" s="12" t="s">
        <v>289</v>
      </c>
      <c r="B48" s="12" t="s">
        <v>411</v>
      </c>
      <c r="C48" s="12" t="s">
        <v>361</v>
      </c>
      <c r="D48" s="20" t="n">
        <v>11</v>
      </c>
      <c r="E48" s="24" t="n">
        <v>-1.4</v>
      </c>
      <c r="F48" s="24" t="n">
        <v>-2.5</v>
      </c>
      <c r="G48" s="24" t="n">
        <v>7.8</v>
      </c>
      <c r="H48" s="23" t="n">
        <v>2056</v>
      </c>
      <c r="I48" s="24" t="n">
        <v>0.7</v>
      </c>
      <c r="J48" s="24" t="n">
        <v>1</v>
      </c>
      <c r="K48" s="24" t="n">
        <v>11.3</v>
      </c>
      <c r="L48" s="29" t="n">
        <f aca="false">IF(OR(D48="",H48=""),"",D48*12/H48*100)</f>
        <v>6.42023346303502</v>
      </c>
      <c r="M48" s="27" t="n">
        <f aca="false">IF(OR(D48="",H48=""),"",H48/(D48*12))</f>
        <v>15.5757575757576</v>
      </c>
      <c r="N48" s="25" t="n">
        <f aca="false">IF(D48="","",RANK(D48,D$2:D$53,0))</f>
        <v>19</v>
      </c>
      <c r="O48" s="25" t="n">
        <f aca="false">IF(H48="","",RANK(H48,H$2:H$53,0))</f>
        <v>18</v>
      </c>
    </row>
    <row r="49" customFormat="false" ht="15" hidden="false" customHeight="false" outlineLevel="0" collapsed="false">
      <c r="A49" s="12" t="s">
        <v>350</v>
      </c>
      <c r="B49" s="12" t="s">
        <v>350</v>
      </c>
      <c r="C49" s="12" t="s">
        <v>378</v>
      </c>
      <c r="D49" s="20" t="n">
        <v>9.5</v>
      </c>
      <c r="E49" s="24" t="n">
        <v>-1.7</v>
      </c>
      <c r="F49" s="24" t="n">
        <v>-0.9</v>
      </c>
      <c r="G49" s="24" t="n">
        <v>5.3</v>
      </c>
      <c r="H49" s="23" t="n">
        <v>1515</v>
      </c>
      <c r="I49" s="24" t="n">
        <v>-0.2</v>
      </c>
      <c r="J49" s="24" t="n">
        <v>-0.3</v>
      </c>
      <c r="K49" s="24" t="n">
        <v>6.5</v>
      </c>
      <c r="L49" s="29" t="n">
        <f aca="false">IF(OR(D49="",H49=""),"",D49*12/H49*100)</f>
        <v>7.52475247524752</v>
      </c>
      <c r="M49" s="27" t="n">
        <f aca="false">IF(OR(D49="",H49=""),"",H49/(D49*12))</f>
        <v>13.2894736842105</v>
      </c>
      <c r="N49" s="25" t="n">
        <f aca="false">IF(D49="","",RANK(D49,D$2:D$53,0))</f>
        <v>30</v>
      </c>
      <c r="O49" s="25" t="n">
        <f aca="false">IF(H49="","",RANK(H49,H$2:H$53,0))</f>
        <v>35</v>
      </c>
    </row>
    <row r="50" customFormat="false" ht="15" hidden="false" customHeight="false" outlineLevel="0" collapsed="false">
      <c r="A50" s="12" t="s">
        <v>352</v>
      </c>
      <c r="B50" s="12" t="s">
        <v>69</v>
      </c>
      <c r="C50" s="12" t="s">
        <v>361</v>
      </c>
      <c r="D50" s="20" t="n">
        <v>21.6</v>
      </c>
      <c r="E50" s="24" t="n">
        <v>0.5</v>
      </c>
      <c r="F50" s="24" t="n">
        <v>1.4</v>
      </c>
      <c r="G50" s="24" t="n">
        <v>5.7</v>
      </c>
      <c r="H50" s="23" t="n">
        <v>5065</v>
      </c>
      <c r="I50" s="24" t="n">
        <v>0.1</v>
      </c>
      <c r="J50" s="24" t="n">
        <v>-1.7</v>
      </c>
      <c r="K50" s="24" t="n">
        <v>6.9</v>
      </c>
      <c r="L50" s="29" t="n">
        <f aca="false">IF(OR(D50="",H50=""),"",D50*12/H50*100)</f>
        <v>5.11747285291214</v>
      </c>
      <c r="M50" s="27" t="n">
        <f aca="false">IF(OR(D50="",H50=""),"",H50/(D50*12))</f>
        <v>19.5408950617284</v>
      </c>
      <c r="N50" s="25" t="n">
        <f aca="false">IF(D50="","",RANK(D50,D$2:D$53,0))</f>
        <v>1</v>
      </c>
      <c r="O50" s="25" t="n">
        <f aca="false">IF(H50="","",RANK(H50,H$2:H$53,0))</f>
        <v>2</v>
      </c>
    </row>
    <row r="51" customFormat="false" ht="15" hidden="false" customHeight="false" outlineLevel="0" collapsed="false">
      <c r="A51" s="12" t="s">
        <v>296</v>
      </c>
      <c r="B51" s="12" t="s">
        <v>296</v>
      </c>
      <c r="C51" s="12" t="s">
        <v>399</v>
      </c>
      <c r="D51" s="20" t="n">
        <v>11.3</v>
      </c>
      <c r="E51" s="24" t="n">
        <v>-2.8</v>
      </c>
      <c r="F51" s="24" t="n">
        <v>-3.2</v>
      </c>
      <c r="G51" s="24" t="n">
        <v>8.6</v>
      </c>
      <c r="H51" s="23" t="n">
        <v>2086</v>
      </c>
      <c r="I51" s="24" t="n">
        <v>1.2</v>
      </c>
      <c r="J51" s="24" t="n">
        <v>2.3</v>
      </c>
      <c r="K51" s="24" t="n">
        <v>4</v>
      </c>
      <c r="L51" s="29" t="n">
        <f aca="false">IF(OR(D51="",H51=""),"",D51*12/H51*100)</f>
        <v>6.50047938638543</v>
      </c>
      <c r="M51" s="27" t="n">
        <f aca="false">IF(OR(D51="",H51=""),"",H51/(D51*12))</f>
        <v>15.3834808259587</v>
      </c>
      <c r="N51" s="25" t="n">
        <f aca="false">IF(D51="","",RANK(D51,D$2:D$53,0))</f>
        <v>18</v>
      </c>
      <c r="O51" s="25" t="n">
        <f aca="false">IF(H51="","",RANK(H51,H$2:H$53,0))</f>
        <v>16</v>
      </c>
    </row>
    <row r="52" customFormat="false" ht="15" hidden="false" customHeight="false" outlineLevel="0" collapsed="false">
      <c r="A52" s="12" t="s">
        <v>355</v>
      </c>
      <c r="B52" s="12" t="s">
        <v>355</v>
      </c>
      <c r="C52" s="12" t="s">
        <v>378</v>
      </c>
      <c r="D52" s="20" t="n">
        <v>9.5</v>
      </c>
      <c r="E52" s="24" t="n">
        <v>-0.6</v>
      </c>
      <c r="F52" s="24" t="n">
        <v>1.3</v>
      </c>
      <c r="G52" s="24" t="n">
        <v>4.8</v>
      </c>
      <c r="H52" s="23" t="n">
        <v>1689</v>
      </c>
      <c r="I52" s="24" t="n">
        <v>0.5</v>
      </c>
      <c r="J52" s="24" t="n">
        <v>1.8</v>
      </c>
      <c r="K52" s="24" t="n">
        <v>13.9</v>
      </c>
      <c r="L52" s="29" t="n">
        <f aca="false">IF(OR(D52="",H52=""),"",D52*12/H52*100)</f>
        <v>6.74955595026643</v>
      </c>
      <c r="M52" s="27" t="n">
        <f aca="false">IF(OR(D52="",H52=""),"",H52/(D52*12))</f>
        <v>14.8157894736842</v>
      </c>
      <c r="N52" s="25" t="n">
        <f aca="false">IF(D52="","",RANK(D52,D$2:D$53,0))</f>
        <v>30</v>
      </c>
      <c r="O52" s="25" t="n">
        <f aca="false">IF(H52="","",RANK(H52,H$2:H$53,0))</f>
        <v>29</v>
      </c>
    </row>
    <row r="53" customFormat="false" ht="15" hidden="false" customHeight="false" outlineLevel="0" collapsed="false">
      <c r="A53" s="12" t="s">
        <v>357</v>
      </c>
      <c r="B53" s="12" t="s">
        <v>357</v>
      </c>
      <c r="C53" s="12" t="s">
        <v>378</v>
      </c>
      <c r="D53" s="20" t="n">
        <v>10.6</v>
      </c>
      <c r="E53" s="24" t="n">
        <v>-0.8</v>
      </c>
      <c r="F53" s="24" t="n">
        <v>-1.7</v>
      </c>
      <c r="G53" s="24" t="n">
        <v>0.9</v>
      </c>
      <c r="H53" s="23" t="n">
        <v>1980</v>
      </c>
      <c r="I53" s="24" t="n">
        <v>0.2</v>
      </c>
      <c r="J53" s="24" t="n">
        <v>-0.7</v>
      </c>
      <c r="K53" s="24" t="n">
        <v>10.1</v>
      </c>
      <c r="L53" s="29" t="n">
        <f aca="false">IF(OR(D53="",H53=""),"",D53*12/H53*100)</f>
        <v>6.42424242424242</v>
      </c>
      <c r="M53" s="27" t="n">
        <f aca="false">IF(OR(D53="",H53=""),"",H53/(D53*12))</f>
        <v>15.5660377358491</v>
      </c>
      <c r="N53" s="25" t="n">
        <f aca="false">IF(D53="","",RANK(D53,D$2:D$53,0))</f>
        <v>21</v>
      </c>
      <c r="O53" s="25" t="n">
        <f aca="false">IF(H53="","",RANK(H53,H$2:H$53,0))</f>
        <v>19</v>
      </c>
    </row>
    <row r="55" customFormat="false" ht="15" hidden="false" customHeight="false" outlineLevel="0" collapsed="false">
      <c r="A55" s="11" t="s">
        <v>412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5" min="2" style="0" width="13"/>
    <col collapsed="false" customWidth="true" hidden="false" outlineLevel="0" max="6" min="6" style="0" width="20"/>
    <col collapsed="false" customWidth="true" hidden="false" outlineLevel="0" max="10" min="7" style="0" width="13"/>
    <col collapsed="false" customWidth="true" hidden="false" outlineLevel="0" max="11" min="11" style="0" width="20"/>
    <col collapsed="false" customWidth="true" hidden="false" outlineLevel="0" max="17" min="12" style="0" width="13"/>
  </cols>
  <sheetData>
    <row r="1" customFormat="false" ht="57.75" hidden="false" customHeight="true" outlineLevel="0" collapsed="false">
      <c r="A1" s="4" t="s">
        <v>413</v>
      </c>
      <c r="B1" s="4" t="s">
        <v>363</v>
      </c>
      <c r="C1" s="4" t="s">
        <v>414</v>
      </c>
      <c r="D1" s="4" t="s">
        <v>415</v>
      </c>
      <c r="E1" s="4" t="s">
        <v>416</v>
      </c>
      <c r="F1" s="4" t="s">
        <v>322</v>
      </c>
      <c r="G1" s="4" t="s">
        <v>364</v>
      </c>
      <c r="H1" s="4" t="s">
        <v>417</v>
      </c>
      <c r="I1" s="4" t="s">
        <v>418</v>
      </c>
      <c r="J1" s="4" t="s">
        <v>419</v>
      </c>
      <c r="K1" s="4" t="s">
        <v>420</v>
      </c>
      <c r="L1" s="4" t="s">
        <v>365</v>
      </c>
      <c r="M1" s="4" t="s">
        <v>366</v>
      </c>
      <c r="N1" s="4" t="s">
        <v>421</v>
      </c>
      <c r="O1" s="4" t="s">
        <v>422</v>
      </c>
      <c r="P1" s="4" t="s">
        <v>330</v>
      </c>
      <c r="Q1" s="4" t="s">
        <v>331</v>
      </c>
    </row>
    <row r="2" customFormat="false" ht="15" hidden="false" customHeight="false" outlineLevel="0" collapsed="false">
      <c r="A2" s="2" t="s">
        <v>423</v>
      </c>
      <c r="B2" s="20" t="n">
        <v>23.4</v>
      </c>
      <c r="C2" s="24" t="n">
        <v>0.5</v>
      </c>
      <c r="D2" s="24" t="n">
        <v>1.2</v>
      </c>
      <c r="E2" s="24" t="n">
        <v>4.8</v>
      </c>
      <c r="F2" s="12" t="s">
        <v>424</v>
      </c>
      <c r="G2" s="23" t="n">
        <v>6458</v>
      </c>
      <c r="H2" s="24" t="n">
        <v>-0.2</v>
      </c>
      <c r="I2" s="24" t="n">
        <v>-1.8</v>
      </c>
      <c r="J2" s="24" t="n">
        <v>2.4</v>
      </c>
      <c r="K2" s="12" t="s">
        <v>425</v>
      </c>
      <c r="L2" s="29" t="n">
        <f aca="false">B2*12/G2*100</f>
        <v>4.34809538556829</v>
      </c>
      <c r="M2" s="27" t="n">
        <f aca="false">G2/(B2*12)</f>
        <v>22.9985754985755</v>
      </c>
      <c r="N2" s="30" t="n">
        <f aca="false">B2*70</f>
        <v>1638</v>
      </c>
      <c r="O2" s="17" t="n">
        <f aca="false">B2/B$2</f>
        <v>1</v>
      </c>
    </row>
    <row r="3" customFormat="false" ht="15" hidden="false" customHeight="false" outlineLevel="0" collapsed="false">
      <c r="A3" s="12" t="s">
        <v>426</v>
      </c>
      <c r="B3" s="20" t="n">
        <v>22.4</v>
      </c>
      <c r="C3" s="24" t="n">
        <v>0.3</v>
      </c>
      <c r="D3" s="24" t="n">
        <v>0.4</v>
      </c>
      <c r="E3" s="24" t="n">
        <v>6.3</v>
      </c>
      <c r="F3" s="12" t="s">
        <v>427</v>
      </c>
      <c r="G3" s="23" t="n">
        <v>6384</v>
      </c>
      <c r="H3" s="24" t="n">
        <v>0.6</v>
      </c>
      <c r="I3" s="24" t="n">
        <v>0</v>
      </c>
      <c r="J3" s="24" t="n">
        <v>6.4</v>
      </c>
      <c r="K3" s="12" t="s">
        <v>428</v>
      </c>
      <c r="L3" s="29" t="n">
        <f aca="false">B3*12/G3*100</f>
        <v>4.21052631578947</v>
      </c>
      <c r="M3" s="27" t="n">
        <f aca="false">G3/(B3*12)</f>
        <v>23.75</v>
      </c>
      <c r="N3" s="30" t="n">
        <f aca="false">B3*70</f>
        <v>1568</v>
      </c>
      <c r="O3" s="17" t="n">
        <f aca="false">B3/B$2</f>
        <v>0.957264957264957</v>
      </c>
      <c r="P3" s="25" t="n">
        <f aca="false">RANK(B3,B$3:B$23,0)</f>
        <v>7</v>
      </c>
      <c r="Q3" s="25" t="n">
        <f aca="false">RANK(G3,G$3:G$23,0)</f>
        <v>6</v>
      </c>
    </row>
    <row r="4" customFormat="false" ht="15" hidden="false" customHeight="false" outlineLevel="0" collapsed="false">
      <c r="A4" s="12" t="s">
        <v>429</v>
      </c>
      <c r="B4" s="20" t="n">
        <v>17.2</v>
      </c>
      <c r="C4" s="24" t="n">
        <v>-0.2</v>
      </c>
      <c r="D4" s="24" t="n">
        <v>-0.5</v>
      </c>
      <c r="E4" s="24" t="n">
        <v>5.1</v>
      </c>
      <c r="F4" s="12" t="s">
        <v>430</v>
      </c>
      <c r="G4" s="23" t="n">
        <v>4971</v>
      </c>
      <c r="H4" s="24" t="n">
        <v>-3.9</v>
      </c>
      <c r="I4" s="24" t="n">
        <v>-1.6</v>
      </c>
      <c r="J4" s="24" t="n">
        <v>8.8</v>
      </c>
      <c r="K4" s="12" t="s">
        <v>431</v>
      </c>
      <c r="L4" s="29" t="n">
        <f aca="false">B4*12/G4*100</f>
        <v>4.15208207604104</v>
      </c>
      <c r="M4" s="27" t="n">
        <f aca="false">G4/(B4*12)</f>
        <v>24.0843023255814</v>
      </c>
      <c r="N4" s="30" t="n">
        <f aca="false">B4*70</f>
        <v>1204</v>
      </c>
      <c r="O4" s="17" t="n">
        <f aca="false">B4/B$2</f>
        <v>0.735042735042735</v>
      </c>
      <c r="P4" s="25" t="n">
        <f aca="false">RANK(B4,B$3:B$23,0)</f>
        <v>19</v>
      </c>
      <c r="Q4" s="25" t="n">
        <f aca="false">RANK(G4,G$3:G$23,0)</f>
        <v>12</v>
      </c>
    </row>
    <row r="5" customFormat="false" ht="15" hidden="false" customHeight="false" outlineLevel="0" collapsed="false">
      <c r="A5" s="12" t="s">
        <v>432</v>
      </c>
      <c r="B5" s="20" t="n">
        <v>28.5</v>
      </c>
      <c r="C5" s="24" t="n">
        <v>0.5</v>
      </c>
      <c r="D5" s="24" t="n">
        <v>1.5</v>
      </c>
      <c r="E5" s="24" t="n">
        <v>5</v>
      </c>
      <c r="F5" s="12" t="s">
        <v>433</v>
      </c>
      <c r="G5" s="23" t="n">
        <v>10865</v>
      </c>
      <c r="H5" s="24" t="n">
        <v>0.2</v>
      </c>
      <c r="I5" s="24" t="n">
        <v>-0.9</v>
      </c>
      <c r="J5" s="24" t="n">
        <v>-1.2</v>
      </c>
      <c r="K5" s="12" t="s">
        <v>434</v>
      </c>
      <c r="L5" s="29" t="n">
        <f aca="false">B5*12/G5*100</f>
        <v>3.14772204325817</v>
      </c>
      <c r="M5" s="27" t="n">
        <f aca="false">G5/(B5*12)</f>
        <v>31.7690058479532</v>
      </c>
      <c r="N5" s="30" t="n">
        <f aca="false">B5*70</f>
        <v>1995</v>
      </c>
      <c r="O5" s="17" t="n">
        <f aca="false">B5/B$2</f>
        <v>1.21794871794872</v>
      </c>
      <c r="P5" s="25" t="n">
        <f aca="false">RANK(B5,B$3:B$23,0)</f>
        <v>1</v>
      </c>
      <c r="Q5" s="25" t="n">
        <f aca="false">RANK(G5,G$3:G$23,0)</f>
        <v>1</v>
      </c>
    </row>
    <row r="6" customFormat="false" ht="15" hidden="false" customHeight="false" outlineLevel="0" collapsed="false">
      <c r="A6" s="12" t="s">
        <v>435</v>
      </c>
      <c r="B6" s="20" t="n">
        <v>19.3</v>
      </c>
      <c r="C6" s="24" t="n">
        <v>1.3</v>
      </c>
      <c r="D6" s="24" t="n">
        <v>4.4</v>
      </c>
      <c r="E6" s="24" t="n">
        <v>10.4</v>
      </c>
      <c r="F6" s="12" t="s">
        <v>436</v>
      </c>
      <c r="G6" s="23" t="n">
        <v>3829</v>
      </c>
      <c r="H6" s="24" t="n">
        <v>-0.3</v>
      </c>
      <c r="I6" s="24" t="n">
        <v>0</v>
      </c>
      <c r="J6" s="24" t="n">
        <v>9.4</v>
      </c>
      <c r="K6" s="12" t="s">
        <v>437</v>
      </c>
      <c r="L6" s="29" t="n">
        <f aca="false">B6*12/G6*100</f>
        <v>6.04857665186733</v>
      </c>
      <c r="M6" s="27" t="n">
        <f aca="false">G6/(B6*12)</f>
        <v>16.5328151986183</v>
      </c>
      <c r="N6" s="30" t="n">
        <f aca="false">B6*70</f>
        <v>1351</v>
      </c>
      <c r="O6" s="17" t="n">
        <f aca="false">B6/B$2</f>
        <v>0.824786324786325</v>
      </c>
      <c r="P6" s="25" t="n">
        <f aca="false">RANK(B6,B$3:B$23,0)</f>
        <v>13</v>
      </c>
      <c r="Q6" s="25" t="n">
        <f aca="false">RANK(G6,G$3:G$23,0)</f>
        <v>18</v>
      </c>
    </row>
    <row r="7" customFormat="false" ht="15" hidden="false" customHeight="false" outlineLevel="0" collapsed="false">
      <c r="A7" s="12" t="s">
        <v>438</v>
      </c>
      <c r="B7" s="20" t="n">
        <v>26.1</v>
      </c>
      <c r="C7" s="24" t="n">
        <v>0.5</v>
      </c>
      <c r="D7" s="24" t="n">
        <v>0.9</v>
      </c>
      <c r="E7" s="24" t="n">
        <v>2</v>
      </c>
      <c r="F7" s="12" t="s">
        <v>439</v>
      </c>
      <c r="G7" s="23" t="n">
        <v>7771</v>
      </c>
      <c r="H7" s="24" t="n">
        <v>0.3</v>
      </c>
      <c r="I7" s="24" t="n">
        <v>0</v>
      </c>
      <c r="J7" s="24" t="n">
        <v>3.7</v>
      </c>
      <c r="K7" s="12" t="s">
        <v>440</v>
      </c>
      <c r="L7" s="29" t="n">
        <f aca="false">B7*12/G7*100</f>
        <v>4.0303693218376</v>
      </c>
      <c r="M7" s="27" t="n">
        <f aca="false">G7/(B7*12)</f>
        <v>24.8116219667944</v>
      </c>
      <c r="N7" s="30" t="n">
        <f aca="false">B7*70</f>
        <v>1827</v>
      </c>
      <c r="O7" s="17" t="n">
        <f aca="false">B7/B$2</f>
        <v>1.11538461538462</v>
      </c>
      <c r="P7" s="25" t="n">
        <f aca="false">RANK(B7,B$3:B$23,0)</f>
        <v>2</v>
      </c>
      <c r="Q7" s="25" t="n">
        <f aca="false">RANK(G7,G$3:G$23,0)</f>
        <v>5</v>
      </c>
    </row>
    <row r="8" customFormat="false" ht="15" hidden="false" customHeight="false" outlineLevel="0" collapsed="false">
      <c r="A8" s="12" t="s">
        <v>441</v>
      </c>
      <c r="B8" s="20" t="n">
        <v>23.7</v>
      </c>
      <c r="C8" s="24" t="n">
        <v>0.6</v>
      </c>
      <c r="D8" s="24" t="n">
        <v>1</v>
      </c>
      <c r="E8" s="24" t="n">
        <v>2.9</v>
      </c>
      <c r="F8" s="12" t="s">
        <v>442</v>
      </c>
      <c r="G8" s="23" t="n">
        <v>8127</v>
      </c>
      <c r="H8" s="24" t="n">
        <v>-1.2</v>
      </c>
      <c r="I8" s="24" t="n">
        <v>-2.1</v>
      </c>
      <c r="J8" s="24" t="n">
        <v>4.6</v>
      </c>
      <c r="K8" s="12" t="s">
        <v>443</v>
      </c>
      <c r="L8" s="29" t="n">
        <f aca="false">B8*12/G8*100</f>
        <v>3.49944629014396</v>
      </c>
      <c r="M8" s="27" t="n">
        <f aca="false">G8/(B8*12)</f>
        <v>28.5759493670886</v>
      </c>
      <c r="N8" s="30" t="n">
        <f aca="false">B8*70</f>
        <v>1659</v>
      </c>
      <c r="O8" s="17" t="n">
        <f aca="false">B8/B$2</f>
        <v>1.01282051282051</v>
      </c>
      <c r="P8" s="25" t="n">
        <f aca="false">RANK(B8,B$3:B$23,0)</f>
        <v>5</v>
      </c>
      <c r="Q8" s="25" t="n">
        <f aca="false">RANK(G8,G$3:G$23,0)</f>
        <v>4</v>
      </c>
    </row>
    <row r="9" customFormat="false" ht="15" hidden="false" customHeight="false" outlineLevel="0" collapsed="false">
      <c r="A9" s="12" t="s">
        <v>444</v>
      </c>
      <c r="B9" s="20" t="n">
        <v>26</v>
      </c>
      <c r="C9" s="24" t="n">
        <v>1.2</v>
      </c>
      <c r="D9" s="24" t="n">
        <v>1.3</v>
      </c>
      <c r="E9" s="24" t="n">
        <v>3.5</v>
      </c>
      <c r="F9" s="12" t="s">
        <v>445</v>
      </c>
      <c r="G9" s="23" t="n">
        <v>9159</v>
      </c>
      <c r="H9" s="24" t="n">
        <v>-0.5</v>
      </c>
      <c r="I9" s="24" t="n">
        <v>-1</v>
      </c>
      <c r="J9" s="24" t="n">
        <v>2.6</v>
      </c>
      <c r="K9" s="12" t="s">
        <v>446</v>
      </c>
      <c r="L9" s="29" t="n">
        <f aca="false">B9*12/G9*100</f>
        <v>3.40648542417294</v>
      </c>
      <c r="M9" s="27" t="n">
        <f aca="false">G9/(B9*12)</f>
        <v>29.3557692307692</v>
      </c>
      <c r="N9" s="30" t="n">
        <f aca="false">B9*70</f>
        <v>1820</v>
      </c>
      <c r="O9" s="17" t="n">
        <f aca="false">B9/B$2</f>
        <v>1.11111111111111</v>
      </c>
      <c r="P9" s="25" t="n">
        <f aca="false">RANK(B9,B$3:B$23,0)</f>
        <v>3</v>
      </c>
      <c r="Q9" s="25" t="n">
        <f aca="false">RANK(G9,G$3:G$23,0)</f>
        <v>2</v>
      </c>
    </row>
    <row r="10" customFormat="false" ht="15" hidden="false" customHeight="false" outlineLevel="0" collapsed="false">
      <c r="A10" s="12" t="s">
        <v>447</v>
      </c>
      <c r="B10" s="20" t="n">
        <v>20.1</v>
      </c>
      <c r="C10" s="24" t="n">
        <v>0.4</v>
      </c>
      <c r="D10" s="24" t="n">
        <v>1.8</v>
      </c>
      <c r="E10" s="24" t="n">
        <v>5.2</v>
      </c>
      <c r="F10" s="12" t="s">
        <v>448</v>
      </c>
      <c r="G10" s="23" t="n">
        <v>5242</v>
      </c>
      <c r="H10" s="24" t="n">
        <v>0.8</v>
      </c>
      <c r="I10" s="24" t="n">
        <v>-1.5</v>
      </c>
      <c r="J10" s="24" t="n">
        <v>8</v>
      </c>
      <c r="K10" s="12" t="s">
        <v>449</v>
      </c>
      <c r="L10" s="29" t="n">
        <f aca="false">B10*12/G10*100</f>
        <v>4.60129721480351</v>
      </c>
      <c r="M10" s="27" t="n">
        <f aca="false">G10/(B10*12)</f>
        <v>21.7330016583748</v>
      </c>
      <c r="N10" s="30" t="n">
        <f aca="false">B10*70</f>
        <v>1407</v>
      </c>
      <c r="O10" s="17" t="n">
        <f aca="false">B10/B$2</f>
        <v>0.858974358974359</v>
      </c>
      <c r="P10" s="25" t="n">
        <f aca="false">RANK(B10,B$3:B$23,0)</f>
        <v>9</v>
      </c>
      <c r="Q10" s="25" t="n">
        <f aca="false">RANK(G10,G$3:G$23,0)</f>
        <v>11</v>
      </c>
    </row>
    <row r="11" customFormat="false" ht="15" hidden="false" customHeight="false" outlineLevel="0" collapsed="false">
      <c r="A11" s="12" t="s">
        <v>450</v>
      </c>
      <c r="B11" s="20" t="n">
        <v>18.9</v>
      </c>
      <c r="C11" s="24" t="n">
        <v>1</v>
      </c>
      <c r="D11" s="24" t="n">
        <v>0.6</v>
      </c>
      <c r="E11" s="24" t="n">
        <v>6.8</v>
      </c>
      <c r="F11" s="12" t="s">
        <v>451</v>
      </c>
      <c r="G11" s="23" t="n">
        <v>5593</v>
      </c>
      <c r="H11" s="24" t="n">
        <v>-0.3</v>
      </c>
      <c r="I11" s="24" t="n">
        <v>-0.5</v>
      </c>
      <c r="J11" s="24" t="n">
        <v>5.5</v>
      </c>
      <c r="K11" s="12" t="s">
        <v>452</v>
      </c>
      <c r="L11" s="29" t="n">
        <f aca="false">B11*12/G11*100</f>
        <v>4.05506883604506</v>
      </c>
      <c r="M11" s="27" t="n">
        <f aca="false">G11/(B11*12)</f>
        <v>24.6604938271605</v>
      </c>
      <c r="N11" s="30" t="n">
        <f aca="false">B11*70</f>
        <v>1323</v>
      </c>
      <c r="O11" s="17" t="n">
        <f aca="false">B11/B$2</f>
        <v>0.807692307692308</v>
      </c>
      <c r="P11" s="25" t="n">
        <f aca="false">RANK(B11,B$3:B$23,0)</f>
        <v>15</v>
      </c>
      <c r="Q11" s="25" t="n">
        <f aca="false">RANK(G11,G$3:G$23,0)</f>
        <v>9</v>
      </c>
    </row>
    <row r="12" customFormat="false" ht="15" hidden="false" customHeight="false" outlineLevel="0" collapsed="false">
      <c r="A12" s="12" t="s">
        <v>453</v>
      </c>
      <c r="B12" s="20" t="n">
        <v>19.5</v>
      </c>
      <c r="C12" s="24" t="n">
        <v>3.1</v>
      </c>
      <c r="D12" s="24" t="n">
        <v>4</v>
      </c>
      <c r="E12" s="24" t="n">
        <v>9.3</v>
      </c>
      <c r="F12" s="12" t="s">
        <v>454</v>
      </c>
      <c r="G12" s="23" t="n">
        <v>5440</v>
      </c>
      <c r="H12" s="24" t="n">
        <v>-0.8</v>
      </c>
      <c r="I12" s="24" t="n">
        <v>-2.6</v>
      </c>
      <c r="J12" s="24" t="n">
        <v>7</v>
      </c>
      <c r="K12" s="12" t="s">
        <v>455</v>
      </c>
      <c r="L12" s="29" t="n">
        <f aca="false">B12*12/G12*100</f>
        <v>4.30147058823529</v>
      </c>
      <c r="M12" s="27" t="n">
        <f aca="false">G12/(B12*12)</f>
        <v>23.2478632478632</v>
      </c>
      <c r="N12" s="30" t="n">
        <f aca="false">B12*70</f>
        <v>1365</v>
      </c>
      <c r="O12" s="17" t="n">
        <f aca="false">B12/B$2</f>
        <v>0.833333333333333</v>
      </c>
      <c r="P12" s="25" t="n">
        <f aca="false">RANK(B12,B$3:B$23,0)</f>
        <v>11</v>
      </c>
      <c r="Q12" s="25" t="n">
        <f aca="false">RANK(G12,G$3:G$23,0)</f>
        <v>10</v>
      </c>
    </row>
    <row r="13" customFormat="false" ht="15" hidden="false" customHeight="false" outlineLevel="0" collapsed="false">
      <c r="A13" s="12" t="s">
        <v>456</v>
      </c>
      <c r="B13" s="20" t="n">
        <v>19.5</v>
      </c>
      <c r="C13" s="24" t="n">
        <v>0.1</v>
      </c>
      <c r="D13" s="24" t="n">
        <v>4.1</v>
      </c>
      <c r="E13" s="24" t="n">
        <v>7.6</v>
      </c>
      <c r="F13" s="12" t="s">
        <v>457</v>
      </c>
      <c r="G13" s="23" t="n">
        <v>4045</v>
      </c>
      <c r="H13" s="24" t="n">
        <v>0</v>
      </c>
      <c r="I13" s="24" t="n">
        <v>1.2</v>
      </c>
      <c r="J13" s="24" t="n">
        <v>6.5</v>
      </c>
      <c r="K13" s="12" t="s">
        <v>458</v>
      </c>
      <c r="L13" s="29" t="n">
        <f aca="false">B13*12/G13*100</f>
        <v>5.7849196538937</v>
      </c>
      <c r="M13" s="27" t="n">
        <f aca="false">G13/(B13*12)</f>
        <v>17.2863247863248</v>
      </c>
      <c r="N13" s="30" t="n">
        <f aca="false">B13*70</f>
        <v>1365</v>
      </c>
      <c r="O13" s="17" t="n">
        <f aca="false">B13/B$2</f>
        <v>0.833333333333333</v>
      </c>
      <c r="P13" s="25" t="n">
        <f aca="false">RANK(B13,B$3:B$23,0)</f>
        <v>11</v>
      </c>
      <c r="Q13" s="25" t="n">
        <f aca="false">RANK(G13,G$3:G$23,0)</f>
        <v>15</v>
      </c>
    </row>
    <row r="14" customFormat="false" ht="15" hidden="false" customHeight="false" outlineLevel="0" collapsed="false">
      <c r="A14" s="12" t="s">
        <v>459</v>
      </c>
      <c r="B14" s="20" t="n">
        <v>21.8</v>
      </c>
      <c r="C14" s="24" t="n">
        <v>-0.5</v>
      </c>
      <c r="D14" s="24" t="n">
        <v>-0.7</v>
      </c>
      <c r="E14" s="24" t="n">
        <v>1</v>
      </c>
      <c r="F14" s="12" t="s">
        <v>460</v>
      </c>
      <c r="G14" s="23" t="n">
        <v>6317</v>
      </c>
      <c r="H14" s="24" t="n">
        <v>-0.2</v>
      </c>
      <c r="I14" s="24" t="n">
        <v>-0.5</v>
      </c>
      <c r="J14" s="24" t="n">
        <v>1.3</v>
      </c>
      <c r="K14" s="12" t="s">
        <v>461</v>
      </c>
      <c r="L14" s="29" t="n">
        <f aca="false">B14*12/G14*100</f>
        <v>4.14120626879848</v>
      </c>
      <c r="M14" s="27" t="n">
        <f aca="false">G14/(B14*12)</f>
        <v>24.1475535168196</v>
      </c>
      <c r="N14" s="30" t="n">
        <f aca="false">B14*70</f>
        <v>1526</v>
      </c>
      <c r="O14" s="17" t="n">
        <f aca="false">B14/B$2</f>
        <v>0.931623931623932</v>
      </c>
      <c r="P14" s="25" t="n">
        <f aca="false">RANK(B14,B$3:B$23,0)</f>
        <v>8</v>
      </c>
      <c r="Q14" s="25" t="n">
        <f aca="false">RANK(G14,G$3:G$23,0)</f>
        <v>7</v>
      </c>
    </row>
    <row r="15" customFormat="false" ht="15" hidden="false" customHeight="false" outlineLevel="0" collapsed="false">
      <c r="A15" s="12" t="s">
        <v>462</v>
      </c>
      <c r="B15" s="20" t="n">
        <v>17.6</v>
      </c>
      <c r="C15" s="24" t="n">
        <v>1.6</v>
      </c>
      <c r="D15" s="24" t="n">
        <v>2.9</v>
      </c>
      <c r="E15" s="24" t="n">
        <v>6.5</v>
      </c>
      <c r="F15" s="12" t="s">
        <v>463</v>
      </c>
      <c r="G15" s="23" t="n">
        <v>4522</v>
      </c>
      <c r="H15" s="24" t="n">
        <v>-0.9</v>
      </c>
      <c r="I15" s="24" t="n">
        <v>-0.7</v>
      </c>
      <c r="J15" s="24" t="n">
        <v>11.3</v>
      </c>
      <c r="K15" s="12" t="s">
        <v>464</v>
      </c>
      <c r="L15" s="29" t="n">
        <f aca="false">B15*12/G15*100</f>
        <v>4.67049977885891</v>
      </c>
      <c r="M15" s="27" t="n">
        <f aca="false">G15/(B15*12)</f>
        <v>21.4109848484848</v>
      </c>
      <c r="N15" s="30" t="n">
        <f aca="false">B15*70</f>
        <v>1232</v>
      </c>
      <c r="O15" s="17" t="n">
        <f aca="false">B15/B$2</f>
        <v>0.752136752136752</v>
      </c>
      <c r="P15" s="25" t="n">
        <f aca="false">RANK(B15,B$3:B$23,0)</f>
        <v>17</v>
      </c>
      <c r="Q15" s="25" t="n">
        <f aca="false">RANK(G15,G$3:G$23,0)</f>
        <v>13</v>
      </c>
    </row>
    <row r="16" customFormat="false" ht="15" hidden="false" customHeight="false" outlineLevel="0" collapsed="false">
      <c r="A16" s="12" t="s">
        <v>465</v>
      </c>
      <c r="B16" s="20" t="n">
        <v>19.1</v>
      </c>
      <c r="C16" s="24" t="n">
        <v>-0.4</v>
      </c>
      <c r="D16" s="24" t="n">
        <v>-2.3</v>
      </c>
      <c r="E16" s="24" t="n">
        <v>3.7</v>
      </c>
      <c r="F16" s="12" t="s">
        <v>466</v>
      </c>
      <c r="G16" s="23" t="n">
        <v>3535</v>
      </c>
      <c r="H16" s="24" t="n">
        <v>1.6</v>
      </c>
      <c r="I16" s="24" t="n">
        <v>3.6</v>
      </c>
      <c r="J16" s="24" t="n">
        <v>17.9</v>
      </c>
      <c r="K16" s="12" t="s">
        <v>467</v>
      </c>
      <c r="L16" s="29" t="n">
        <f aca="false">B16*12/G16*100</f>
        <v>6.48373408769449</v>
      </c>
      <c r="M16" s="27" t="n">
        <f aca="false">G16/(B16*12)</f>
        <v>15.4232111692845</v>
      </c>
      <c r="N16" s="30" t="n">
        <f aca="false">B16*70</f>
        <v>1337</v>
      </c>
      <c r="O16" s="17" t="n">
        <f aca="false">B16/B$2</f>
        <v>0.816239316239316</v>
      </c>
      <c r="P16" s="25" t="n">
        <f aca="false">RANK(B16,B$3:B$23,0)</f>
        <v>14</v>
      </c>
      <c r="Q16" s="25" t="n">
        <f aca="false">RANK(G16,G$3:G$23,0)</f>
        <v>20</v>
      </c>
    </row>
    <row r="17" customFormat="false" ht="15" hidden="false" customHeight="false" outlineLevel="0" collapsed="false">
      <c r="A17" s="12" t="s">
        <v>468</v>
      </c>
      <c r="B17" s="20" t="n">
        <v>24</v>
      </c>
      <c r="C17" s="24" t="n">
        <v>1</v>
      </c>
      <c r="D17" s="24" t="n">
        <v>0.9</v>
      </c>
      <c r="E17" s="24" t="n">
        <v>2.5</v>
      </c>
      <c r="F17" s="12" t="s">
        <v>469</v>
      </c>
      <c r="G17" s="23" t="n">
        <v>8515</v>
      </c>
      <c r="H17" s="24" t="n">
        <v>0.8</v>
      </c>
      <c r="I17" s="24" t="n">
        <v>0.3</v>
      </c>
      <c r="J17" s="24" t="n">
        <v>-0.7</v>
      </c>
      <c r="K17" s="12" t="s">
        <v>470</v>
      </c>
      <c r="L17" s="29" t="n">
        <f aca="false">B17*12/G17*100</f>
        <v>3.38226658837346</v>
      </c>
      <c r="M17" s="27" t="n">
        <f aca="false">G17/(B17*12)</f>
        <v>29.5659722222222</v>
      </c>
      <c r="N17" s="30" t="n">
        <f aca="false">B17*70</f>
        <v>1680</v>
      </c>
      <c r="O17" s="17" t="n">
        <f aca="false">B17/B$2</f>
        <v>1.02564102564103</v>
      </c>
      <c r="P17" s="25" t="n">
        <f aca="false">RANK(B17,B$3:B$23,0)</f>
        <v>4</v>
      </c>
      <c r="Q17" s="25" t="n">
        <f aca="false">RANK(G17,G$3:G$23,0)</f>
        <v>3</v>
      </c>
    </row>
    <row r="18" customFormat="false" ht="15" hidden="false" customHeight="false" outlineLevel="0" collapsed="false">
      <c r="A18" s="12" t="s">
        <v>471</v>
      </c>
      <c r="B18" s="20" t="n">
        <v>17.6</v>
      </c>
      <c r="C18" s="24" t="n">
        <v>-1.9</v>
      </c>
      <c r="D18" s="24" t="n">
        <v>-3.8</v>
      </c>
      <c r="E18" s="24" t="n">
        <v>0.4</v>
      </c>
      <c r="F18" s="12" t="s">
        <v>472</v>
      </c>
      <c r="G18" s="23" t="n">
        <v>4146</v>
      </c>
      <c r="H18" s="24" t="n">
        <v>0.7</v>
      </c>
      <c r="I18" s="24" t="n">
        <v>0.2</v>
      </c>
      <c r="J18" s="24" t="n">
        <v>5.2</v>
      </c>
      <c r="K18" s="12" t="s">
        <v>473</v>
      </c>
      <c r="L18" s="29" t="n">
        <f aca="false">B18*12/G18*100</f>
        <v>5.09406657018813</v>
      </c>
      <c r="M18" s="27" t="n">
        <f aca="false">G18/(B18*12)</f>
        <v>19.6306818181818</v>
      </c>
      <c r="N18" s="30" t="n">
        <f aca="false">B18*70</f>
        <v>1232</v>
      </c>
      <c r="O18" s="17" t="n">
        <f aca="false">B18/B$2</f>
        <v>0.752136752136752</v>
      </c>
      <c r="P18" s="25" t="n">
        <f aca="false">RANK(B18,B$3:B$23,0)</f>
        <v>17</v>
      </c>
      <c r="Q18" s="25" t="n">
        <f aca="false">RANK(G18,G$3:G$23,0)</f>
        <v>14</v>
      </c>
    </row>
    <row r="19" customFormat="false" ht="15" hidden="false" customHeight="false" outlineLevel="0" collapsed="false">
      <c r="A19" s="12" t="s">
        <v>474</v>
      </c>
      <c r="B19" s="20" t="n">
        <v>22.9</v>
      </c>
      <c r="C19" s="24" t="n">
        <v>-0.3</v>
      </c>
      <c r="D19" s="24" t="n">
        <v>-0.6</v>
      </c>
      <c r="E19" s="24" t="n">
        <v>3.2</v>
      </c>
      <c r="F19" s="12" t="s">
        <v>475</v>
      </c>
      <c r="G19" s="23" t="n">
        <v>6161</v>
      </c>
      <c r="H19" s="24" t="n">
        <v>-0.5</v>
      </c>
      <c r="I19" s="24" t="n">
        <v>-1.3</v>
      </c>
      <c r="J19" s="24" t="n">
        <v>6.6</v>
      </c>
      <c r="K19" s="12" t="s">
        <v>476</v>
      </c>
      <c r="L19" s="29" t="n">
        <f aca="false">B19*12/G19*100</f>
        <v>4.46031488394741</v>
      </c>
      <c r="M19" s="27" t="n">
        <f aca="false">G19/(B19*12)</f>
        <v>22.419941775837</v>
      </c>
      <c r="N19" s="30" t="n">
        <f aca="false">B19*70</f>
        <v>1603</v>
      </c>
      <c r="O19" s="17" t="n">
        <f aca="false">B19/B$2</f>
        <v>0.978632478632479</v>
      </c>
      <c r="P19" s="25" t="n">
        <f aca="false">RANK(B19,B$3:B$23,0)</f>
        <v>6</v>
      </c>
      <c r="Q19" s="25" t="n">
        <f aca="false">RANK(G19,G$3:G$23,0)</f>
        <v>8</v>
      </c>
    </row>
    <row r="20" customFormat="false" ht="15" hidden="false" customHeight="false" outlineLevel="0" collapsed="false">
      <c r="A20" s="12" t="s">
        <v>477</v>
      </c>
      <c r="B20" s="20" t="n">
        <v>19.9</v>
      </c>
      <c r="C20" s="24" t="n">
        <v>2.3</v>
      </c>
      <c r="D20" s="24" t="n">
        <v>2.5</v>
      </c>
      <c r="E20" s="24" t="n">
        <v>8.5</v>
      </c>
      <c r="F20" s="12" t="s">
        <v>478</v>
      </c>
      <c r="G20" s="23" t="n">
        <v>3628</v>
      </c>
      <c r="H20" s="24" t="n">
        <v>0</v>
      </c>
      <c r="I20" s="24" t="n">
        <v>0.4</v>
      </c>
      <c r="J20" s="24" t="n">
        <v>15.9</v>
      </c>
      <c r="K20" s="12" t="s">
        <v>479</v>
      </c>
      <c r="L20" s="29" t="n">
        <f aca="false">B20*12/G20*100</f>
        <v>6.58213891951488</v>
      </c>
      <c r="M20" s="27" t="n">
        <f aca="false">G20/(B20*12)</f>
        <v>15.1926298157454</v>
      </c>
      <c r="N20" s="30" t="n">
        <f aca="false">B20*70</f>
        <v>1393</v>
      </c>
      <c r="O20" s="17" t="n">
        <f aca="false">B20/B$2</f>
        <v>0.85042735042735</v>
      </c>
      <c r="P20" s="25" t="n">
        <f aca="false">RANK(B20,B$3:B$23,0)</f>
        <v>10</v>
      </c>
      <c r="Q20" s="25" t="n">
        <f aca="false">RANK(G20,G$3:G$23,0)</f>
        <v>19</v>
      </c>
    </row>
    <row r="21" customFormat="false" ht="15" hidden="false" customHeight="false" outlineLevel="0" collapsed="false">
      <c r="A21" s="12" t="s">
        <v>480</v>
      </c>
      <c r="B21" s="20" t="n">
        <v>17.2</v>
      </c>
      <c r="C21" s="24" t="n">
        <v>2.5</v>
      </c>
      <c r="D21" s="24" t="n">
        <v>2</v>
      </c>
      <c r="E21" s="24" t="n">
        <v>10.4</v>
      </c>
      <c r="F21" s="12" t="s">
        <v>481</v>
      </c>
      <c r="G21" s="23" t="n">
        <v>4036</v>
      </c>
      <c r="H21" s="24" t="n">
        <v>1.4</v>
      </c>
      <c r="I21" s="24" t="n">
        <v>-0.3</v>
      </c>
      <c r="J21" s="24" t="n">
        <v>10.5</v>
      </c>
      <c r="K21" s="12" t="s">
        <v>482</v>
      </c>
      <c r="L21" s="29" t="n">
        <f aca="false">B21*12/G21*100</f>
        <v>5.11397423191279</v>
      </c>
      <c r="M21" s="27" t="n">
        <f aca="false">G21/(B21*12)</f>
        <v>19.5542635658915</v>
      </c>
      <c r="N21" s="30" t="n">
        <f aca="false">B21*70</f>
        <v>1204</v>
      </c>
      <c r="O21" s="17" t="n">
        <f aca="false">B21/B$2</f>
        <v>0.735042735042735</v>
      </c>
      <c r="P21" s="25" t="n">
        <f aca="false">RANK(B21,B$3:B$23,0)</f>
        <v>19</v>
      </c>
      <c r="Q21" s="25" t="n">
        <f aca="false">RANK(G21,G$3:G$23,0)</f>
        <v>16</v>
      </c>
    </row>
    <row r="22" customFormat="false" ht="15" hidden="false" customHeight="false" outlineLevel="0" collapsed="false">
      <c r="A22" s="12" t="s">
        <v>483</v>
      </c>
      <c r="B22" s="20" t="n">
        <v>17.2</v>
      </c>
      <c r="C22" s="24" t="n">
        <v>0</v>
      </c>
      <c r="D22" s="24" t="n">
        <v>-0.2</v>
      </c>
      <c r="E22" s="24" t="n">
        <v>3.6</v>
      </c>
      <c r="F22" s="12" t="s">
        <v>484</v>
      </c>
      <c r="G22" s="23" t="n">
        <v>3852</v>
      </c>
      <c r="H22" s="24" t="n">
        <v>0.2</v>
      </c>
      <c r="I22" s="24" t="n">
        <v>0</v>
      </c>
      <c r="J22" s="24" t="n">
        <v>12</v>
      </c>
      <c r="K22" s="12" t="s">
        <v>485</v>
      </c>
      <c r="L22" s="29" t="n">
        <f aca="false">B22*12/G22*100</f>
        <v>5.3582554517134</v>
      </c>
      <c r="M22" s="27" t="n">
        <f aca="false">G22/(B22*12)</f>
        <v>18.6627906976744</v>
      </c>
      <c r="N22" s="30" t="n">
        <f aca="false">B22*70</f>
        <v>1204</v>
      </c>
      <c r="O22" s="17" t="n">
        <f aca="false">B22/B$2</f>
        <v>0.735042735042735</v>
      </c>
      <c r="P22" s="25" t="n">
        <f aca="false">RANK(B22,B$3:B$23,0)</f>
        <v>19</v>
      </c>
      <c r="Q22" s="25" t="n">
        <f aca="false">RANK(G22,G$3:G$23,0)</f>
        <v>17</v>
      </c>
    </row>
    <row r="23" customFormat="false" ht="15" hidden="false" customHeight="false" outlineLevel="0" collapsed="false">
      <c r="A23" s="12" t="s">
        <v>486</v>
      </c>
      <c r="B23" s="20" t="n">
        <v>18.2</v>
      </c>
      <c r="C23" s="24" t="n">
        <v>1.8</v>
      </c>
      <c r="D23" s="24" t="n">
        <v>1.5</v>
      </c>
      <c r="E23" s="24" t="n">
        <v>14.5</v>
      </c>
      <c r="F23" s="12" t="s">
        <v>487</v>
      </c>
      <c r="G23" s="23" t="n">
        <v>3365</v>
      </c>
      <c r="H23" s="24" t="n">
        <v>1.9</v>
      </c>
      <c r="I23" s="24" t="n">
        <v>3.4</v>
      </c>
      <c r="J23" s="24" t="n">
        <v>23.7</v>
      </c>
      <c r="K23" s="12" t="s">
        <v>488</v>
      </c>
      <c r="L23" s="29" t="n">
        <f aca="false">B23*12/G23*100</f>
        <v>6.49034175334324</v>
      </c>
      <c r="M23" s="27" t="n">
        <f aca="false">G23/(B23*12)</f>
        <v>15.4075091575092</v>
      </c>
      <c r="N23" s="30" t="n">
        <f aca="false">B23*70</f>
        <v>1274</v>
      </c>
      <c r="O23" s="17" t="n">
        <f aca="false">B23/B$2</f>
        <v>0.777777777777778</v>
      </c>
      <c r="P23" s="25" t="n">
        <f aca="false">RANK(B23,B$3:B$23,0)</f>
        <v>16</v>
      </c>
      <c r="Q23" s="25" t="n">
        <f aca="false">RANK(G23,G$3:G$23,0)</f>
        <v>21</v>
      </c>
    </row>
    <row r="25" customFormat="false" ht="15" hidden="false" customHeight="false" outlineLevel="0" collapsed="false">
      <c r="A25" s="11" t="s">
        <v>489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5" min="2" style="0" width="13"/>
    <col collapsed="false" customWidth="true" hidden="false" outlineLevel="0" max="6" min="6" style="0" width="20"/>
    <col collapsed="false" customWidth="true" hidden="false" outlineLevel="0" max="10" min="7" style="0" width="13"/>
    <col collapsed="false" customWidth="true" hidden="false" outlineLevel="0" max="11" min="11" style="0" width="20"/>
    <col collapsed="false" customWidth="true" hidden="false" outlineLevel="0" max="14" min="12" style="0" width="13"/>
  </cols>
  <sheetData>
    <row r="1" customFormat="false" ht="45.75" hidden="false" customHeight="true" outlineLevel="0" collapsed="false">
      <c r="A1" s="4" t="s">
        <v>490</v>
      </c>
      <c r="B1" s="4" t="s">
        <v>363</v>
      </c>
      <c r="C1" s="4" t="s">
        <v>414</v>
      </c>
      <c r="D1" s="4" t="s">
        <v>415</v>
      </c>
      <c r="E1" s="4" t="s">
        <v>416</v>
      </c>
      <c r="F1" s="4" t="s">
        <v>322</v>
      </c>
      <c r="G1" s="4" t="s">
        <v>364</v>
      </c>
      <c r="H1" s="4" t="s">
        <v>417</v>
      </c>
      <c r="I1" s="4" t="s">
        <v>418</v>
      </c>
      <c r="J1" s="4" t="s">
        <v>419</v>
      </c>
      <c r="K1" s="4" t="s">
        <v>420</v>
      </c>
      <c r="L1" s="4" t="s">
        <v>365</v>
      </c>
      <c r="M1" s="4" t="s">
        <v>366</v>
      </c>
      <c r="N1" s="4" t="s">
        <v>331</v>
      </c>
    </row>
    <row r="2" customFormat="false" ht="15" hidden="false" customHeight="false" outlineLevel="0" collapsed="false">
      <c r="A2" s="12" t="s">
        <v>69</v>
      </c>
      <c r="B2" s="20" t="n">
        <v>23.4</v>
      </c>
      <c r="C2" s="24" t="n">
        <v>0.5</v>
      </c>
      <c r="D2" s="24" t="n">
        <v>1.2</v>
      </c>
      <c r="E2" s="24" t="n">
        <v>4.8</v>
      </c>
      <c r="F2" s="12" t="s">
        <v>424</v>
      </c>
      <c r="G2" s="23" t="n">
        <v>6458</v>
      </c>
      <c r="H2" s="24" t="n">
        <v>-0.2</v>
      </c>
      <c r="I2" s="24" t="n">
        <v>-1.8</v>
      </c>
      <c r="J2" s="24" t="n">
        <v>2.4</v>
      </c>
      <c r="K2" s="12" t="s">
        <v>425</v>
      </c>
      <c r="L2" s="29" t="n">
        <f aca="false">IF(OR(B2="",G2=""),"",B2*12/G2*100)</f>
        <v>4.34809538556829</v>
      </c>
      <c r="M2" s="27" t="n">
        <f aca="false">IF(OR(B2="",G2=""),"",G2/(B2*12))</f>
        <v>22.9985754985755</v>
      </c>
      <c r="N2" s="25" t="n">
        <f aca="false">IF(G2="","",RANK(G2,G$2:G$72,0))</f>
        <v>2</v>
      </c>
    </row>
    <row r="3" customFormat="false" ht="15" hidden="false" customHeight="false" outlineLevel="0" collapsed="false">
      <c r="A3" s="12" t="s">
        <v>491</v>
      </c>
      <c r="B3" s="20" t="n">
        <v>14.2</v>
      </c>
      <c r="C3" s="24" t="n">
        <v>0</v>
      </c>
      <c r="D3" s="24" t="n">
        <v>2.6</v>
      </c>
      <c r="E3" s="24" t="n">
        <v>9.9</v>
      </c>
      <c r="F3" s="12" t="s">
        <v>492</v>
      </c>
      <c r="G3" s="23" t="n">
        <v>3014</v>
      </c>
      <c r="H3" s="24" t="n">
        <v>1.5</v>
      </c>
      <c r="I3" s="24" t="n">
        <v>3.6</v>
      </c>
      <c r="J3" s="24" t="n">
        <v>17.1</v>
      </c>
      <c r="K3" s="12" t="s">
        <v>493</v>
      </c>
      <c r="L3" s="29" t="n">
        <f aca="false">IF(OR(B3="",G3=""),"",B3*12/G3*100)</f>
        <v>5.65361645653616</v>
      </c>
      <c r="M3" s="27" t="n">
        <f aca="false">IF(OR(B3="",G3=""),"",G3/(B3*12))</f>
        <v>17.68779342723</v>
      </c>
      <c r="N3" s="25" t="n">
        <f aca="false">IF(G3="","",RANK(G3,G$2:G$72,0))</f>
        <v>23</v>
      </c>
    </row>
    <row r="4" customFormat="false" ht="15" hidden="false" customHeight="false" outlineLevel="0" collapsed="false">
      <c r="A4" s="12" t="s">
        <v>494</v>
      </c>
      <c r="B4" s="20" t="n">
        <v>17.5</v>
      </c>
      <c r="C4" s="24" t="n">
        <v>2.5</v>
      </c>
      <c r="D4" s="24" t="n">
        <v>2.1</v>
      </c>
      <c r="E4" s="24" t="n">
        <v>2.9</v>
      </c>
      <c r="F4" s="12" t="s">
        <v>495</v>
      </c>
      <c r="G4" s="23" t="n">
        <v>4111</v>
      </c>
      <c r="H4" s="24" t="n">
        <v>0.4</v>
      </c>
      <c r="I4" s="24" t="n">
        <v>-0.8</v>
      </c>
      <c r="J4" s="24" t="n">
        <v>1.1</v>
      </c>
      <c r="K4" s="12" t="s">
        <v>496</v>
      </c>
      <c r="L4" s="29" t="n">
        <f aca="false">IF(OR(B4="",G4=""),"",B4*12/G4*100)</f>
        <v>5.10824616881537</v>
      </c>
      <c r="M4" s="27" t="n">
        <f aca="false">IF(OR(B4="",G4=""),"",G4/(B4*12))</f>
        <v>19.5761904761905</v>
      </c>
      <c r="N4" s="25" t="n">
        <f aca="false">IF(G4="","",RANK(G4,G$2:G$72,0))</f>
        <v>8</v>
      </c>
    </row>
    <row r="5" customFormat="false" ht="15" hidden="false" customHeight="false" outlineLevel="0" collapsed="false">
      <c r="A5" s="12" t="s">
        <v>497</v>
      </c>
      <c r="B5" s="20" t="n">
        <v>15.1</v>
      </c>
      <c r="C5" s="24" t="n">
        <v>-0.1</v>
      </c>
      <c r="D5" s="24" t="n">
        <v>3.6</v>
      </c>
      <c r="E5" s="24" t="n">
        <v>1.3</v>
      </c>
      <c r="F5" s="12" t="s">
        <v>498</v>
      </c>
      <c r="G5" s="23" t="n">
        <v>3537</v>
      </c>
      <c r="H5" s="24" t="n">
        <v>0.6</v>
      </c>
      <c r="I5" s="24" t="n">
        <v>2.5</v>
      </c>
      <c r="J5" s="24" t="n">
        <v>12.4</v>
      </c>
      <c r="K5" s="12" t="s">
        <v>499</v>
      </c>
      <c r="L5" s="29" t="n">
        <f aca="false">IF(OR(B5="",G5=""),"",B5*12/G5*100)</f>
        <v>5.12298558100085</v>
      </c>
      <c r="M5" s="27" t="n">
        <f aca="false">IF(OR(B5="",G5=""),"",G5/(B5*12))</f>
        <v>19.5198675496689</v>
      </c>
      <c r="N5" s="25" t="n">
        <f aca="false">IF(G5="","",RANK(G5,G$2:G$72,0))</f>
        <v>13</v>
      </c>
    </row>
    <row r="6" customFormat="false" ht="15" hidden="false" customHeight="false" outlineLevel="0" collapsed="false">
      <c r="A6" s="12" t="s">
        <v>500</v>
      </c>
      <c r="B6" s="12"/>
      <c r="C6" s="12"/>
      <c r="D6" s="12"/>
      <c r="E6" s="12"/>
      <c r="F6" s="12"/>
      <c r="G6" s="23" t="n">
        <v>2315</v>
      </c>
      <c r="H6" s="24" t="n">
        <v>1.1</v>
      </c>
      <c r="I6" s="24" t="n">
        <v>3.7</v>
      </c>
      <c r="J6" s="24" t="n">
        <v>4.1</v>
      </c>
      <c r="K6" s="12" t="s">
        <v>501</v>
      </c>
      <c r="L6" s="29" t="str">
        <f aca="false">IF(OR(B6="",G6=""),"",B6*12/G6*100)</f>
        <v/>
      </c>
      <c r="M6" s="27" t="str">
        <f aca="false">IF(OR(B6="",G6=""),"",G6/(B6*12))</f>
        <v/>
      </c>
      <c r="N6" s="25" t="n">
        <f aca="false">IF(G6="","",RANK(G6,G$2:G$72,0))</f>
        <v>57</v>
      </c>
    </row>
    <row r="7" customFormat="false" ht="15" hidden="false" customHeight="false" outlineLevel="0" collapsed="false">
      <c r="A7" s="12" t="s">
        <v>502</v>
      </c>
      <c r="B7" s="12"/>
      <c r="C7" s="12"/>
      <c r="D7" s="12"/>
      <c r="E7" s="12"/>
      <c r="F7" s="12"/>
      <c r="G7" s="23" t="n">
        <v>3000</v>
      </c>
      <c r="H7" s="24" t="n">
        <v>2.1</v>
      </c>
      <c r="I7" s="24" t="n">
        <v>4.5</v>
      </c>
      <c r="J7" s="24" t="n">
        <v>19.4</v>
      </c>
      <c r="K7" s="12" t="s">
        <v>503</v>
      </c>
      <c r="L7" s="29" t="str">
        <f aca="false">IF(OR(B7="",G7=""),"",B7*12/G7*100)</f>
        <v/>
      </c>
      <c r="M7" s="27" t="str">
        <f aca="false">IF(OR(B7="",G7=""),"",G7/(B7*12))</f>
        <v/>
      </c>
      <c r="N7" s="25" t="n">
        <f aca="false">IF(G7="","",RANK(G7,G$2:G$72,0))</f>
        <v>25</v>
      </c>
    </row>
    <row r="8" customFormat="false" ht="15" hidden="false" customHeight="false" outlineLevel="0" collapsed="false">
      <c r="A8" s="12" t="s">
        <v>504</v>
      </c>
      <c r="B8" s="20" t="n">
        <v>12.4</v>
      </c>
      <c r="C8" s="24" t="n">
        <v>-3.2</v>
      </c>
      <c r="D8" s="24" t="n">
        <v>-3.3</v>
      </c>
      <c r="E8" s="24" t="n">
        <v>8.2</v>
      </c>
      <c r="F8" s="12" t="s">
        <v>505</v>
      </c>
      <c r="G8" s="23" t="n">
        <v>2384</v>
      </c>
      <c r="H8" s="24" t="n">
        <v>-0.4</v>
      </c>
      <c r="I8" s="24" t="n">
        <v>3.6</v>
      </c>
      <c r="J8" s="24" t="n">
        <v>19</v>
      </c>
      <c r="K8" s="12" t="s">
        <v>506</v>
      </c>
      <c r="L8" s="29" t="n">
        <f aca="false">IF(OR(B8="",G8=""),"",B8*12/G8*100)</f>
        <v>6.24161073825503</v>
      </c>
      <c r="M8" s="27" t="n">
        <f aca="false">IF(OR(B8="",G8=""),"",G8/(B8*12))</f>
        <v>16.0215053763441</v>
      </c>
      <c r="N8" s="25" t="n">
        <f aca="false">IF(G8="","",RANK(G8,G$2:G$72,0))</f>
        <v>54</v>
      </c>
    </row>
    <row r="9" customFormat="false" ht="15" hidden="false" customHeight="false" outlineLevel="0" collapsed="false">
      <c r="A9" s="12" t="s">
        <v>507</v>
      </c>
      <c r="B9" s="20" t="n">
        <v>13.2</v>
      </c>
      <c r="C9" s="24" t="n">
        <v>1.6</v>
      </c>
      <c r="D9" s="24" t="n">
        <v>3.2</v>
      </c>
      <c r="E9" s="24" t="n">
        <v>11.5</v>
      </c>
      <c r="F9" s="12" t="s">
        <v>508</v>
      </c>
      <c r="G9" s="23" t="n">
        <v>2676</v>
      </c>
      <c r="H9" s="24" t="n">
        <v>-1.1</v>
      </c>
      <c r="I9" s="24" t="n">
        <v>1.3</v>
      </c>
      <c r="J9" s="24" t="n">
        <v>13.9</v>
      </c>
      <c r="K9" s="12" t="s">
        <v>509</v>
      </c>
      <c r="L9" s="29" t="n">
        <f aca="false">IF(OR(B9="",G9=""),"",B9*12/G9*100)</f>
        <v>5.91928251121076</v>
      </c>
      <c r="M9" s="27" t="n">
        <f aca="false">IF(OR(B9="",G9=""),"",G9/(B9*12))</f>
        <v>16.8939393939394</v>
      </c>
      <c r="N9" s="25" t="n">
        <f aca="false">IF(G9="","",RANK(G9,G$2:G$72,0))</f>
        <v>40</v>
      </c>
    </row>
    <row r="10" customFormat="false" ht="15" hidden="false" customHeight="false" outlineLevel="0" collapsed="false">
      <c r="A10" s="12" t="s">
        <v>510</v>
      </c>
      <c r="B10" s="20" t="n">
        <v>10.8</v>
      </c>
      <c r="C10" s="24" t="n">
        <v>-2.8</v>
      </c>
      <c r="D10" s="24" t="n">
        <v>-5.3</v>
      </c>
      <c r="E10" s="12"/>
      <c r="F10" s="12" t="s">
        <v>511</v>
      </c>
      <c r="G10" s="23" t="n">
        <v>2693</v>
      </c>
      <c r="H10" s="24" t="n">
        <v>-0.5</v>
      </c>
      <c r="I10" s="24" t="n">
        <v>-0.3</v>
      </c>
      <c r="J10" s="24" t="n">
        <v>17.4</v>
      </c>
      <c r="K10" s="12" t="s">
        <v>512</v>
      </c>
      <c r="L10" s="29" t="n">
        <f aca="false">IF(OR(B10="",G10=""),"",B10*12/G10*100)</f>
        <v>4.81247679168214</v>
      </c>
      <c r="M10" s="27" t="n">
        <f aca="false">IF(OR(B10="",G10=""),"",G10/(B10*12))</f>
        <v>20.7793209876543</v>
      </c>
      <c r="N10" s="25" t="n">
        <f aca="false">IF(G10="","",RANK(G10,G$2:G$72,0))</f>
        <v>38</v>
      </c>
    </row>
    <row r="11" customFormat="false" ht="15" hidden="false" customHeight="false" outlineLevel="0" collapsed="false">
      <c r="A11" s="12" t="s">
        <v>513</v>
      </c>
      <c r="B11" s="12"/>
      <c r="C11" s="12"/>
      <c r="D11" s="12"/>
      <c r="E11" s="12"/>
      <c r="F11" s="12"/>
      <c r="G11" s="23" t="n">
        <v>2346</v>
      </c>
      <c r="H11" s="24" t="n">
        <v>-0.3</v>
      </c>
      <c r="I11" s="24" t="n">
        <v>2</v>
      </c>
      <c r="J11" s="24" t="n">
        <v>16.8</v>
      </c>
      <c r="K11" s="12" t="s">
        <v>514</v>
      </c>
      <c r="L11" s="29" t="str">
        <f aca="false">IF(OR(B11="",G11=""),"",B11*12/G11*100)</f>
        <v/>
      </c>
      <c r="M11" s="27" t="str">
        <f aca="false">IF(OR(B11="",G11=""),"",G11/(B11*12))</f>
        <v/>
      </c>
      <c r="N11" s="25" t="n">
        <f aca="false">IF(G11="","",RANK(G11,G$2:G$72,0))</f>
        <v>55</v>
      </c>
    </row>
    <row r="12" customFormat="false" ht="15" hidden="false" customHeight="false" outlineLevel="0" collapsed="false">
      <c r="A12" s="12" t="s">
        <v>515</v>
      </c>
      <c r="B12" s="20" t="n">
        <v>15</v>
      </c>
      <c r="C12" s="24" t="n">
        <v>-0.7</v>
      </c>
      <c r="D12" s="24" t="n">
        <v>7.6</v>
      </c>
      <c r="E12" s="24" t="n">
        <v>12.1</v>
      </c>
      <c r="F12" s="12" t="s">
        <v>498</v>
      </c>
      <c r="G12" s="23" t="n">
        <v>4384</v>
      </c>
      <c r="H12" s="24" t="n">
        <v>-1.7</v>
      </c>
      <c r="I12" s="24" t="n">
        <v>1.5</v>
      </c>
      <c r="J12" s="24" t="n">
        <v>15.2</v>
      </c>
      <c r="K12" s="12" t="s">
        <v>516</v>
      </c>
      <c r="L12" s="29" t="n">
        <f aca="false">IF(OR(B12="",G12=""),"",B12*12/G12*100)</f>
        <v>4.10583941605839</v>
      </c>
      <c r="M12" s="27" t="n">
        <f aca="false">IF(OR(B12="",G12=""),"",G12/(B12*12))</f>
        <v>24.3555555555556</v>
      </c>
      <c r="N12" s="25" t="n">
        <f aca="false">IF(G12="","",RANK(G12,G$2:G$72,0))</f>
        <v>5</v>
      </c>
    </row>
    <row r="13" customFormat="false" ht="15" hidden="false" customHeight="false" outlineLevel="0" collapsed="false">
      <c r="A13" s="12" t="s">
        <v>517</v>
      </c>
      <c r="B13" s="12"/>
      <c r="C13" s="12"/>
      <c r="D13" s="12"/>
      <c r="E13" s="12"/>
      <c r="F13" s="12"/>
      <c r="G13" s="23" t="n">
        <v>2192</v>
      </c>
      <c r="H13" s="24" t="n">
        <v>-1.1</v>
      </c>
      <c r="I13" s="24" t="n">
        <v>-2.9</v>
      </c>
      <c r="J13" s="24" t="n">
        <v>4.7</v>
      </c>
      <c r="K13" s="12" t="s">
        <v>518</v>
      </c>
      <c r="L13" s="29" t="str">
        <f aca="false">IF(OR(B13="",G13=""),"",B13*12/G13*100)</f>
        <v/>
      </c>
      <c r="M13" s="27" t="str">
        <f aca="false">IF(OR(B13="",G13=""),"",G13/(B13*12))</f>
        <v/>
      </c>
      <c r="N13" s="25" t="n">
        <f aca="false">IF(G13="","",RANK(G13,G$2:G$72,0))</f>
        <v>60</v>
      </c>
    </row>
    <row r="14" customFormat="false" ht="15" hidden="false" customHeight="false" outlineLevel="0" collapsed="false">
      <c r="A14" s="12" t="s">
        <v>519</v>
      </c>
      <c r="B14" s="12"/>
      <c r="C14" s="12"/>
      <c r="D14" s="12"/>
      <c r="E14" s="12"/>
      <c r="F14" s="12"/>
      <c r="G14" s="23" t="n">
        <v>2322</v>
      </c>
      <c r="H14" s="24" t="n">
        <v>3.6</v>
      </c>
      <c r="I14" s="24" t="n">
        <v>7</v>
      </c>
      <c r="J14" s="24" t="n">
        <v>29.2</v>
      </c>
      <c r="K14" s="12" t="s">
        <v>520</v>
      </c>
      <c r="L14" s="29" t="str">
        <f aca="false">IF(OR(B14="",G14=""),"",B14*12/G14*100)</f>
        <v/>
      </c>
      <c r="M14" s="27" t="str">
        <f aca="false">IF(OR(B14="",G14=""),"",G14/(B14*12))</f>
        <v/>
      </c>
      <c r="N14" s="25" t="n">
        <f aca="false">IF(G14="","",RANK(G14,G$2:G$72,0))</f>
        <v>56</v>
      </c>
    </row>
    <row r="15" customFormat="false" ht="15" hidden="false" customHeight="false" outlineLevel="0" collapsed="false">
      <c r="A15" s="12" t="s">
        <v>521</v>
      </c>
      <c r="B15" s="12"/>
      <c r="C15" s="12"/>
      <c r="D15" s="12"/>
      <c r="E15" s="12"/>
      <c r="F15" s="12"/>
      <c r="G15" s="23" t="n">
        <v>2429</v>
      </c>
      <c r="H15" s="24" t="n">
        <v>-4.3</v>
      </c>
      <c r="I15" s="24" t="n">
        <v>-5.8</v>
      </c>
      <c r="J15" s="24" t="n">
        <v>1.9</v>
      </c>
      <c r="K15" s="12" t="s">
        <v>522</v>
      </c>
      <c r="L15" s="29" t="str">
        <f aca="false">IF(OR(B15="",G15=""),"",B15*12/G15*100)</f>
        <v/>
      </c>
      <c r="M15" s="27" t="str">
        <f aca="false">IF(OR(B15="",G15=""),"",G15/(B15*12))</f>
        <v/>
      </c>
      <c r="N15" s="25" t="n">
        <f aca="false">IF(G15="","",RANK(G15,G$2:G$72,0))</f>
        <v>51</v>
      </c>
    </row>
    <row r="16" customFormat="false" ht="15" hidden="false" customHeight="false" outlineLevel="0" collapsed="false">
      <c r="A16" s="12" t="s">
        <v>523</v>
      </c>
      <c r="B16" s="12"/>
      <c r="C16" s="12"/>
      <c r="D16" s="12"/>
      <c r="E16" s="12"/>
      <c r="F16" s="12"/>
      <c r="G16" s="23" t="n">
        <v>2190</v>
      </c>
      <c r="H16" s="24" t="n">
        <v>-2.9</v>
      </c>
      <c r="I16" s="24" t="n">
        <v>4</v>
      </c>
      <c r="J16" s="24" t="n">
        <v>16.3</v>
      </c>
      <c r="K16" s="12" t="s">
        <v>524</v>
      </c>
      <c r="L16" s="29" t="str">
        <f aca="false">IF(OR(B16="",G16=""),"",B16*12/G16*100)</f>
        <v/>
      </c>
      <c r="M16" s="27" t="str">
        <f aca="false">IF(OR(B16="",G16=""),"",G16/(B16*12))</f>
        <v/>
      </c>
      <c r="N16" s="25" t="n">
        <f aca="false">IF(G16="","",RANK(G16,G$2:G$72,0))</f>
        <v>61</v>
      </c>
    </row>
    <row r="17" customFormat="false" ht="15" hidden="false" customHeight="false" outlineLevel="0" collapsed="false">
      <c r="A17" s="12" t="s">
        <v>525</v>
      </c>
      <c r="B17" s="12"/>
      <c r="C17" s="12"/>
      <c r="D17" s="12"/>
      <c r="E17" s="12"/>
      <c r="F17" s="12"/>
      <c r="G17" s="23" t="n">
        <v>3630</v>
      </c>
      <c r="H17" s="24" t="n">
        <v>-1.9</v>
      </c>
      <c r="I17" s="24" t="n">
        <v>3</v>
      </c>
      <c r="J17" s="24" t="n">
        <v>14.3</v>
      </c>
      <c r="K17" s="12" t="s">
        <v>526</v>
      </c>
      <c r="L17" s="29" t="str">
        <f aca="false">IF(OR(B17="",G17=""),"",B17*12/G17*100)</f>
        <v/>
      </c>
      <c r="M17" s="27" t="str">
        <f aca="false">IF(OR(B17="",G17=""),"",G17/(B17*12))</f>
        <v/>
      </c>
      <c r="N17" s="25" t="n">
        <f aca="false">IF(G17="","",RANK(G17,G$2:G$72,0))</f>
        <v>11</v>
      </c>
    </row>
    <row r="18" customFormat="false" ht="15" hidden="false" customHeight="false" outlineLevel="0" collapsed="false">
      <c r="A18" s="12" t="s">
        <v>527</v>
      </c>
      <c r="B18" s="12"/>
      <c r="C18" s="12"/>
      <c r="D18" s="12"/>
      <c r="E18" s="12"/>
      <c r="F18" s="12"/>
      <c r="G18" s="23" t="n">
        <v>2526</v>
      </c>
      <c r="H18" s="24" t="n">
        <v>1.2</v>
      </c>
      <c r="I18" s="24" t="n">
        <v>3.1</v>
      </c>
      <c r="J18" s="24" t="n">
        <v>16.1</v>
      </c>
      <c r="K18" s="12" t="s">
        <v>528</v>
      </c>
      <c r="L18" s="29" t="str">
        <f aca="false">IF(OR(B18="",G18=""),"",B18*12/G18*100)</f>
        <v/>
      </c>
      <c r="M18" s="27" t="str">
        <f aca="false">IF(OR(B18="",G18=""),"",G18/(B18*12))</f>
        <v/>
      </c>
      <c r="N18" s="25" t="n">
        <f aca="false">IF(G18="","",RANK(G18,G$2:G$72,0))</f>
        <v>45</v>
      </c>
    </row>
    <row r="19" customFormat="false" ht="15" hidden="false" customHeight="false" outlineLevel="0" collapsed="false">
      <c r="A19" s="12" t="s">
        <v>529</v>
      </c>
      <c r="B19" s="20" t="n">
        <v>13.9</v>
      </c>
      <c r="C19" s="24" t="n">
        <v>-1.7</v>
      </c>
      <c r="D19" s="24" t="n">
        <v>-1.5</v>
      </c>
      <c r="E19" s="24" t="n">
        <v>2.7</v>
      </c>
      <c r="F19" s="12" t="s">
        <v>333</v>
      </c>
      <c r="G19" s="23" t="n">
        <v>2904</v>
      </c>
      <c r="H19" s="24" t="n">
        <v>0.2</v>
      </c>
      <c r="I19" s="24" t="n">
        <v>-1.2</v>
      </c>
      <c r="J19" s="24" t="n">
        <v>7.4</v>
      </c>
      <c r="K19" s="12" t="s">
        <v>530</v>
      </c>
      <c r="L19" s="29" t="n">
        <f aca="false">IF(OR(B19="",G19=""),"",B19*12/G19*100)</f>
        <v>5.74380165289256</v>
      </c>
      <c r="M19" s="27" t="n">
        <f aca="false">IF(OR(B19="",G19=""),"",G19/(B19*12))</f>
        <v>17.410071942446</v>
      </c>
      <c r="N19" s="25" t="n">
        <f aca="false">IF(G19="","",RANK(G19,G$2:G$72,0))</f>
        <v>30</v>
      </c>
    </row>
    <row r="20" customFormat="false" ht="15" hidden="false" customHeight="false" outlineLevel="0" collapsed="false">
      <c r="A20" s="12" t="s">
        <v>531</v>
      </c>
      <c r="B20" s="12"/>
      <c r="C20" s="12"/>
      <c r="D20" s="12"/>
      <c r="E20" s="12"/>
      <c r="F20" s="12"/>
      <c r="G20" s="23" t="n">
        <v>1474</v>
      </c>
      <c r="H20" s="24" t="n">
        <v>-2</v>
      </c>
      <c r="I20" s="24" t="n">
        <v>-2.9</v>
      </c>
      <c r="J20" s="24" t="n">
        <v>32.5</v>
      </c>
      <c r="K20" s="12" t="s">
        <v>532</v>
      </c>
      <c r="L20" s="29" t="str">
        <f aca="false">IF(OR(B20="",G20=""),"",B20*12/G20*100)</f>
        <v/>
      </c>
      <c r="M20" s="27" t="str">
        <f aca="false">IF(OR(B20="",G20=""),"",G20/(B20*12))</f>
        <v/>
      </c>
      <c r="N20" s="25" t="n">
        <f aca="false">IF(G20="","",RANK(G20,G$2:G$72,0))</f>
        <v>69</v>
      </c>
    </row>
    <row r="21" customFormat="false" ht="15" hidden="false" customHeight="false" outlineLevel="0" collapsed="false">
      <c r="A21" s="12" t="s">
        <v>533</v>
      </c>
      <c r="B21" s="20" t="n">
        <v>12.7</v>
      </c>
      <c r="C21" s="24" t="n">
        <v>3</v>
      </c>
      <c r="D21" s="24" t="n">
        <v>1.8</v>
      </c>
      <c r="E21" s="24" t="n">
        <v>3.5</v>
      </c>
      <c r="F21" s="12" t="s">
        <v>534</v>
      </c>
      <c r="G21" s="23" t="n">
        <v>3151</v>
      </c>
      <c r="H21" s="24" t="n">
        <v>-0.3</v>
      </c>
      <c r="I21" s="24" t="n">
        <v>-3.5</v>
      </c>
      <c r="J21" s="24" t="n">
        <v>14.5</v>
      </c>
      <c r="K21" s="12" t="s">
        <v>535</v>
      </c>
      <c r="L21" s="29" t="n">
        <f aca="false">IF(OR(B21="",G21=""),"",B21*12/G21*100)</f>
        <v>4.83655982227864</v>
      </c>
      <c r="M21" s="27" t="n">
        <f aca="false">IF(OR(B21="",G21=""),"",G21/(B21*12))</f>
        <v>20.6758530183727</v>
      </c>
      <c r="N21" s="25" t="n">
        <f aca="false">IF(G21="","",RANK(G21,G$2:G$72,0))</f>
        <v>19</v>
      </c>
    </row>
    <row r="22" customFormat="false" ht="15" hidden="false" customHeight="false" outlineLevel="0" collapsed="false">
      <c r="A22" s="12" t="s">
        <v>536</v>
      </c>
      <c r="B22" s="12"/>
      <c r="C22" s="12"/>
      <c r="D22" s="12"/>
      <c r="E22" s="12"/>
      <c r="F22" s="12"/>
      <c r="G22" s="23" t="n">
        <v>2567</v>
      </c>
      <c r="H22" s="24" t="n">
        <v>4.1</v>
      </c>
      <c r="I22" s="24" t="n">
        <v>-1.7</v>
      </c>
      <c r="J22" s="24" t="n">
        <v>2.2</v>
      </c>
      <c r="K22" s="12" t="s">
        <v>537</v>
      </c>
      <c r="L22" s="29" t="str">
        <f aca="false">IF(OR(B22="",G22=""),"",B22*12/G22*100)</f>
        <v/>
      </c>
      <c r="M22" s="27" t="str">
        <f aca="false">IF(OR(B22="",G22=""),"",G22/(B22*12))</f>
        <v/>
      </c>
      <c r="N22" s="25" t="n">
        <f aca="false">IF(G22="","",RANK(G22,G$2:G$72,0))</f>
        <v>44</v>
      </c>
    </row>
    <row r="23" customFormat="false" ht="15" hidden="false" customHeight="false" outlineLevel="0" collapsed="false">
      <c r="A23" s="12" t="s">
        <v>538</v>
      </c>
      <c r="B23" s="12"/>
      <c r="C23" s="12"/>
      <c r="D23" s="12"/>
      <c r="E23" s="12"/>
      <c r="F23" s="12"/>
      <c r="G23" s="23" t="n">
        <v>3281</v>
      </c>
      <c r="H23" s="24" t="n">
        <v>-1.2</v>
      </c>
      <c r="I23" s="24" t="n">
        <v>-1.4</v>
      </c>
      <c r="J23" s="24" t="n">
        <v>14.7</v>
      </c>
      <c r="K23" s="12" t="s">
        <v>539</v>
      </c>
      <c r="L23" s="29" t="str">
        <f aca="false">IF(OR(B23="",G23=""),"",B23*12/G23*100)</f>
        <v/>
      </c>
      <c r="M23" s="27" t="str">
        <f aca="false">IF(OR(B23="",G23=""),"",G23/(B23*12))</f>
        <v/>
      </c>
      <c r="N23" s="25" t="n">
        <f aca="false">IF(G23="","",RANK(G23,G$2:G$72,0))</f>
        <v>17</v>
      </c>
    </row>
    <row r="24" customFormat="false" ht="15" hidden="false" customHeight="false" outlineLevel="0" collapsed="false">
      <c r="A24" s="12" t="s">
        <v>540</v>
      </c>
      <c r="B24" s="12"/>
      <c r="C24" s="12"/>
      <c r="D24" s="12"/>
      <c r="E24" s="12"/>
      <c r="F24" s="12"/>
      <c r="G24" s="23" t="n">
        <v>2757</v>
      </c>
      <c r="H24" s="24" t="n">
        <v>-2.8</v>
      </c>
      <c r="I24" s="24" t="n">
        <v>3.5</v>
      </c>
      <c r="J24" s="24" t="n">
        <v>9.7</v>
      </c>
      <c r="K24" s="12" t="s">
        <v>541</v>
      </c>
      <c r="L24" s="29" t="str">
        <f aca="false">IF(OR(B24="",G24=""),"",B24*12/G24*100)</f>
        <v/>
      </c>
      <c r="M24" s="27" t="str">
        <f aca="false">IF(OR(B24="",G24=""),"",G24/(B24*12))</f>
        <v/>
      </c>
      <c r="N24" s="25" t="n">
        <f aca="false">IF(G24="","",RANK(G24,G$2:G$72,0))</f>
        <v>36</v>
      </c>
    </row>
    <row r="25" customFormat="false" ht="15" hidden="false" customHeight="false" outlineLevel="0" collapsed="false">
      <c r="A25" s="12" t="s">
        <v>542</v>
      </c>
      <c r="B25" s="12"/>
      <c r="C25" s="12"/>
      <c r="D25" s="12"/>
      <c r="E25" s="12"/>
      <c r="F25" s="12"/>
      <c r="G25" s="23" t="n">
        <v>2441</v>
      </c>
      <c r="H25" s="24" t="n">
        <v>4.7</v>
      </c>
      <c r="I25" s="24" t="n">
        <v>15.6</v>
      </c>
      <c r="J25" s="24" t="n">
        <v>23.7</v>
      </c>
      <c r="K25" s="12" t="s">
        <v>543</v>
      </c>
      <c r="L25" s="29" t="str">
        <f aca="false">IF(OR(B25="",G25=""),"",B25*12/G25*100)</f>
        <v/>
      </c>
      <c r="M25" s="27" t="str">
        <f aca="false">IF(OR(B25="",G25=""),"",G25/(B25*12))</f>
        <v/>
      </c>
      <c r="N25" s="25" t="n">
        <f aca="false">IF(G25="","",RANK(G25,G$2:G$72,0))</f>
        <v>50</v>
      </c>
    </row>
    <row r="26" customFormat="false" ht="15" hidden="false" customHeight="false" outlineLevel="0" collapsed="false">
      <c r="A26" s="12" t="s">
        <v>544</v>
      </c>
      <c r="B26" s="12"/>
      <c r="C26" s="12"/>
      <c r="D26" s="12"/>
      <c r="E26" s="12"/>
      <c r="F26" s="12"/>
      <c r="G26" s="23" t="n">
        <v>1648</v>
      </c>
      <c r="H26" s="24" t="n">
        <v>0.7</v>
      </c>
      <c r="I26" s="24" t="n">
        <v>-0.9</v>
      </c>
      <c r="J26" s="24" t="n">
        <v>6</v>
      </c>
      <c r="K26" s="12" t="s">
        <v>545</v>
      </c>
      <c r="L26" s="29" t="str">
        <f aca="false">IF(OR(B26="",G26=""),"",B26*12/G26*100)</f>
        <v/>
      </c>
      <c r="M26" s="27" t="str">
        <f aca="false">IF(OR(B26="",G26=""),"",G26/(B26*12))</f>
        <v/>
      </c>
      <c r="N26" s="25" t="n">
        <f aca="false">IF(G26="","",RANK(G26,G$2:G$72,0))</f>
        <v>66</v>
      </c>
    </row>
    <row r="27" customFormat="false" ht="15" hidden="false" customHeight="false" outlineLevel="0" collapsed="false">
      <c r="A27" s="12" t="s">
        <v>546</v>
      </c>
      <c r="B27" s="20" t="n">
        <v>14.6</v>
      </c>
      <c r="C27" s="24" t="n">
        <v>-0.9</v>
      </c>
      <c r="D27" s="24" t="n">
        <v>3.2</v>
      </c>
      <c r="E27" s="24" t="n">
        <v>10.4</v>
      </c>
      <c r="F27" s="12" t="s">
        <v>547</v>
      </c>
      <c r="G27" s="23" t="n">
        <v>2887</v>
      </c>
      <c r="H27" s="24" t="n">
        <v>0.7</v>
      </c>
      <c r="I27" s="24" t="n">
        <v>-0.3</v>
      </c>
      <c r="J27" s="24" t="n">
        <v>11.7</v>
      </c>
      <c r="K27" s="12" t="s">
        <v>548</v>
      </c>
      <c r="L27" s="29" t="n">
        <f aca="false">IF(OR(B27="",G27=""),"",B27*12/G27*100)</f>
        <v>6.06858330446831</v>
      </c>
      <c r="M27" s="27" t="n">
        <f aca="false">IF(OR(B27="",G27=""),"",G27/(B27*12))</f>
        <v>16.4783105022831</v>
      </c>
      <c r="N27" s="25" t="n">
        <f aca="false">IF(G27="","",RANK(G27,G$2:G$72,0))</f>
        <v>32</v>
      </c>
    </row>
    <row r="28" customFormat="false" ht="15" hidden="false" customHeight="false" outlineLevel="0" collapsed="false">
      <c r="A28" s="12" t="s">
        <v>549</v>
      </c>
      <c r="B28" s="12"/>
      <c r="C28" s="12"/>
      <c r="D28" s="12"/>
      <c r="E28" s="12"/>
      <c r="F28" s="12"/>
      <c r="G28" s="23" t="n">
        <v>3647</v>
      </c>
      <c r="H28" s="24" t="n">
        <v>3.2</v>
      </c>
      <c r="I28" s="24" t="n">
        <v>1.5</v>
      </c>
      <c r="J28" s="12"/>
      <c r="K28" s="12" t="s">
        <v>550</v>
      </c>
      <c r="L28" s="29" t="str">
        <f aca="false">IF(OR(B28="",G28=""),"",B28*12/G28*100)</f>
        <v/>
      </c>
      <c r="M28" s="27" t="str">
        <f aca="false">IF(OR(B28="",G28=""),"",G28/(B28*12))</f>
        <v/>
      </c>
      <c r="N28" s="25" t="n">
        <f aca="false">IF(G28="","",RANK(G28,G$2:G$72,0))</f>
        <v>10</v>
      </c>
    </row>
    <row r="29" customFormat="false" ht="15" hidden="false" customHeight="false" outlineLevel="0" collapsed="false">
      <c r="A29" s="12" t="s">
        <v>551</v>
      </c>
      <c r="B29" s="20" t="n">
        <v>14.3</v>
      </c>
      <c r="C29" s="24" t="n">
        <v>-0.9</v>
      </c>
      <c r="D29" s="24" t="n">
        <v>-2.1</v>
      </c>
      <c r="E29" s="24" t="n">
        <v>8.1</v>
      </c>
      <c r="F29" s="12" t="s">
        <v>552</v>
      </c>
      <c r="G29" s="23" t="n">
        <v>2840</v>
      </c>
      <c r="H29" s="24" t="n">
        <v>2.5</v>
      </c>
      <c r="I29" s="24" t="n">
        <v>5.4</v>
      </c>
      <c r="J29" s="24" t="n">
        <v>17.6</v>
      </c>
      <c r="K29" s="12" t="s">
        <v>553</v>
      </c>
      <c r="L29" s="29" t="n">
        <f aca="false">IF(OR(B29="",G29=""),"",B29*12/G29*100)</f>
        <v>6.04225352112676</v>
      </c>
      <c r="M29" s="27" t="n">
        <f aca="false">IF(OR(B29="",G29=""),"",G29/(B29*12))</f>
        <v>16.5501165501166</v>
      </c>
      <c r="N29" s="25" t="n">
        <f aca="false">IF(G29="","",RANK(G29,G$2:G$72,0))</f>
        <v>35</v>
      </c>
    </row>
    <row r="30" customFormat="false" ht="15" hidden="false" customHeight="false" outlineLevel="0" collapsed="false">
      <c r="A30" s="12" t="s">
        <v>554</v>
      </c>
      <c r="B30" s="20" t="n">
        <v>15.1</v>
      </c>
      <c r="C30" s="24" t="n">
        <v>-0.3</v>
      </c>
      <c r="D30" s="24" t="n">
        <v>-4.3</v>
      </c>
      <c r="E30" s="24" t="n">
        <v>3</v>
      </c>
      <c r="F30" s="12" t="s">
        <v>555</v>
      </c>
      <c r="G30" s="23" t="n">
        <v>3335</v>
      </c>
      <c r="H30" s="24" t="n">
        <v>1</v>
      </c>
      <c r="I30" s="24" t="n">
        <v>1.9</v>
      </c>
      <c r="J30" s="24" t="n">
        <v>11.1</v>
      </c>
      <c r="K30" s="12" t="s">
        <v>556</v>
      </c>
      <c r="L30" s="29" t="n">
        <f aca="false">IF(OR(B30="",G30=""),"",B30*12/G30*100)</f>
        <v>5.43328335832084</v>
      </c>
      <c r="M30" s="27" t="n">
        <f aca="false">IF(OR(B30="",G30=""),"",G30/(B30*12))</f>
        <v>18.4050772626932</v>
      </c>
      <c r="N30" s="25" t="n">
        <f aca="false">IF(G30="","",RANK(G30,G$2:G$72,0))</f>
        <v>14</v>
      </c>
    </row>
    <row r="31" customFormat="false" ht="15" hidden="false" customHeight="false" outlineLevel="0" collapsed="false">
      <c r="A31" s="12" t="s">
        <v>557</v>
      </c>
      <c r="B31" s="12"/>
      <c r="C31" s="12"/>
      <c r="D31" s="12"/>
      <c r="E31" s="12"/>
      <c r="F31" s="12"/>
      <c r="G31" s="23" t="n">
        <v>2279</v>
      </c>
      <c r="H31" s="24" t="n">
        <v>-2.3</v>
      </c>
      <c r="I31" s="24" t="n">
        <v>0.6</v>
      </c>
      <c r="J31" s="24" t="n">
        <v>16.5</v>
      </c>
      <c r="K31" s="12" t="s">
        <v>558</v>
      </c>
      <c r="L31" s="29" t="str">
        <f aca="false">IF(OR(B31="",G31=""),"",B31*12/G31*100)</f>
        <v/>
      </c>
      <c r="M31" s="27" t="str">
        <f aca="false">IF(OR(B31="",G31=""),"",G31/(B31*12))</f>
        <v/>
      </c>
      <c r="N31" s="25" t="n">
        <f aca="false">IF(G31="","",RANK(G31,G$2:G$72,0))</f>
        <v>58</v>
      </c>
    </row>
    <row r="32" customFormat="false" ht="15" hidden="false" customHeight="false" outlineLevel="0" collapsed="false">
      <c r="A32" s="12" t="s">
        <v>559</v>
      </c>
      <c r="B32" s="12"/>
      <c r="C32" s="12"/>
      <c r="D32" s="12"/>
      <c r="E32" s="12"/>
      <c r="F32" s="12"/>
      <c r="G32" s="23" t="n">
        <v>2742</v>
      </c>
      <c r="H32" s="24" t="n">
        <v>-0.7</v>
      </c>
      <c r="I32" s="24" t="n">
        <v>0.6</v>
      </c>
      <c r="J32" s="24" t="n">
        <v>12.9</v>
      </c>
      <c r="K32" s="12" t="s">
        <v>560</v>
      </c>
      <c r="L32" s="29" t="str">
        <f aca="false">IF(OR(B32="",G32=""),"",B32*12/G32*100)</f>
        <v/>
      </c>
      <c r="M32" s="27" t="str">
        <f aca="false">IF(OR(B32="",G32=""),"",G32/(B32*12))</f>
        <v/>
      </c>
      <c r="N32" s="25" t="n">
        <f aca="false">IF(G32="","",RANK(G32,G$2:G$72,0))</f>
        <v>37</v>
      </c>
    </row>
    <row r="33" customFormat="false" ht="15" hidden="false" customHeight="false" outlineLevel="0" collapsed="false">
      <c r="A33" s="12" t="s">
        <v>561</v>
      </c>
      <c r="B33" s="12"/>
      <c r="C33" s="12"/>
      <c r="D33" s="12"/>
      <c r="E33" s="12"/>
      <c r="F33" s="12"/>
      <c r="G33" s="23" t="n">
        <v>2894</v>
      </c>
      <c r="H33" s="24" t="n">
        <v>2.7</v>
      </c>
      <c r="I33" s="24" t="n">
        <v>-2.6</v>
      </c>
      <c r="J33" s="24" t="n">
        <v>8.9</v>
      </c>
      <c r="K33" s="12" t="s">
        <v>562</v>
      </c>
      <c r="L33" s="29" t="str">
        <f aca="false">IF(OR(B33="",G33=""),"",B33*12/G33*100)</f>
        <v/>
      </c>
      <c r="M33" s="27" t="str">
        <f aca="false">IF(OR(B33="",G33=""),"",G33/(B33*12))</f>
        <v/>
      </c>
      <c r="N33" s="25" t="n">
        <f aca="false">IF(G33="","",RANK(G33,G$2:G$72,0))</f>
        <v>31</v>
      </c>
    </row>
    <row r="34" customFormat="false" ht="15" hidden="false" customHeight="false" outlineLevel="0" collapsed="false">
      <c r="A34" s="12" t="s">
        <v>563</v>
      </c>
      <c r="B34" s="12"/>
      <c r="C34" s="12"/>
      <c r="D34" s="12"/>
      <c r="E34" s="12"/>
      <c r="F34" s="12"/>
      <c r="G34" s="23" t="n">
        <v>2667</v>
      </c>
      <c r="H34" s="24" t="n">
        <v>0.6</v>
      </c>
      <c r="I34" s="24" t="n">
        <v>2.1</v>
      </c>
      <c r="J34" s="24" t="n">
        <v>18.8</v>
      </c>
      <c r="K34" s="12" t="s">
        <v>564</v>
      </c>
      <c r="L34" s="29" t="str">
        <f aca="false">IF(OR(B34="",G34=""),"",B34*12/G34*100)</f>
        <v/>
      </c>
      <c r="M34" s="27" t="str">
        <f aca="false">IF(OR(B34="",G34=""),"",G34/(B34*12))</f>
        <v/>
      </c>
      <c r="N34" s="25" t="n">
        <f aca="false">IF(G34="","",RANK(G34,G$2:G$72,0))</f>
        <v>41</v>
      </c>
    </row>
    <row r="35" customFormat="false" ht="15" hidden="false" customHeight="false" outlineLevel="0" collapsed="false">
      <c r="A35" s="12" t="s">
        <v>565</v>
      </c>
      <c r="B35" s="20" t="n">
        <v>21</v>
      </c>
      <c r="C35" s="24" t="n">
        <v>0.3</v>
      </c>
      <c r="D35" s="24" t="n">
        <v>0.4</v>
      </c>
      <c r="E35" s="24" t="n">
        <v>6.6</v>
      </c>
      <c r="F35" s="12" t="s">
        <v>566</v>
      </c>
      <c r="G35" s="23" t="n">
        <v>7246</v>
      </c>
      <c r="H35" s="24" t="n">
        <v>-0.4</v>
      </c>
      <c r="I35" s="24" t="n">
        <v>1.4</v>
      </c>
      <c r="J35" s="24" t="n">
        <v>9.2</v>
      </c>
      <c r="K35" s="12" t="s">
        <v>567</v>
      </c>
      <c r="L35" s="29" t="n">
        <f aca="false">IF(OR(B35="",G35=""),"",B35*12/G35*100)</f>
        <v>3.47778084460392</v>
      </c>
      <c r="M35" s="27" t="n">
        <f aca="false">IF(OR(B35="",G35=""),"",G35/(B35*12))</f>
        <v>28.7539682539683</v>
      </c>
      <c r="N35" s="25" t="n">
        <f aca="false">IF(G35="","",RANK(G35,G$2:G$72,0))</f>
        <v>1</v>
      </c>
    </row>
    <row r="36" customFormat="false" ht="15" hidden="false" customHeight="false" outlineLevel="0" collapsed="false">
      <c r="A36" s="12" t="s">
        <v>568</v>
      </c>
      <c r="B36" s="20" t="n">
        <v>16.4</v>
      </c>
      <c r="C36" s="24" t="n">
        <v>3</v>
      </c>
      <c r="D36" s="24" t="n">
        <v>6.1</v>
      </c>
      <c r="E36" s="24" t="n">
        <v>8.7</v>
      </c>
      <c r="F36" s="12" t="s">
        <v>569</v>
      </c>
      <c r="G36" s="23" t="n">
        <v>4026</v>
      </c>
      <c r="H36" s="24" t="n">
        <v>-0.8</v>
      </c>
      <c r="I36" s="24" t="n">
        <v>-2.3</v>
      </c>
      <c r="J36" s="24" t="n">
        <v>6</v>
      </c>
      <c r="K36" s="12" t="s">
        <v>570</v>
      </c>
      <c r="L36" s="29" t="n">
        <f aca="false">IF(OR(B36="",G36=""),"",B36*12/G36*100)</f>
        <v>4.88822652757079</v>
      </c>
      <c r="M36" s="27" t="n">
        <f aca="false">IF(OR(B36="",G36=""),"",G36/(B36*12))</f>
        <v>20.4573170731707</v>
      </c>
      <c r="N36" s="25" t="n">
        <f aca="false">IF(G36="","",RANK(G36,G$2:G$72,0))</f>
        <v>9</v>
      </c>
    </row>
    <row r="37" customFormat="false" ht="15" hidden="false" customHeight="false" outlineLevel="0" collapsed="false">
      <c r="A37" s="12" t="s">
        <v>571</v>
      </c>
      <c r="B37" s="20" t="n">
        <v>15.4</v>
      </c>
      <c r="C37" s="24" t="n">
        <v>1.6</v>
      </c>
      <c r="D37" s="24" t="n">
        <v>-1.5</v>
      </c>
      <c r="E37" s="24" t="n">
        <v>10.2</v>
      </c>
      <c r="F37" s="12" t="s">
        <v>572</v>
      </c>
      <c r="G37" s="23" t="n">
        <v>3234</v>
      </c>
      <c r="H37" s="24" t="n">
        <v>0.3</v>
      </c>
      <c r="I37" s="24" t="n">
        <v>0.7</v>
      </c>
      <c r="J37" s="24" t="n">
        <v>7.8</v>
      </c>
      <c r="K37" s="12" t="s">
        <v>573</v>
      </c>
      <c r="L37" s="29" t="n">
        <f aca="false">IF(OR(B37="",G37=""),"",B37*12/G37*100)</f>
        <v>5.71428571428571</v>
      </c>
      <c r="M37" s="27" t="n">
        <f aca="false">IF(OR(B37="",G37=""),"",G37/(B37*12))</f>
        <v>17.5</v>
      </c>
      <c r="N37" s="25" t="n">
        <f aca="false">IF(G37="","",RANK(G37,G$2:G$72,0))</f>
        <v>18</v>
      </c>
    </row>
    <row r="38" customFormat="false" ht="15" hidden="false" customHeight="false" outlineLevel="0" collapsed="false">
      <c r="A38" s="12" t="s">
        <v>574</v>
      </c>
      <c r="B38" s="12"/>
      <c r="C38" s="12"/>
      <c r="D38" s="12"/>
      <c r="E38" s="12"/>
      <c r="F38" s="12"/>
      <c r="G38" s="23" t="n">
        <v>2187</v>
      </c>
      <c r="H38" s="24" t="n">
        <v>-0.1</v>
      </c>
      <c r="I38" s="24" t="n">
        <v>7.6</v>
      </c>
      <c r="J38" s="24" t="n">
        <v>5.7</v>
      </c>
      <c r="K38" s="12" t="s">
        <v>575</v>
      </c>
      <c r="L38" s="29" t="str">
        <f aca="false">IF(OR(B38="",G38=""),"",B38*12/G38*100)</f>
        <v/>
      </c>
      <c r="M38" s="27" t="str">
        <f aca="false">IF(OR(B38="",G38=""),"",G38/(B38*12))</f>
        <v/>
      </c>
      <c r="N38" s="25" t="n">
        <f aca="false">IF(G38="","",RANK(G38,G$2:G$72,0))</f>
        <v>62</v>
      </c>
    </row>
    <row r="39" customFormat="false" ht="15" hidden="false" customHeight="false" outlineLevel="0" collapsed="false">
      <c r="A39" s="12" t="s">
        <v>576</v>
      </c>
      <c r="B39" s="20" t="n">
        <v>16.2</v>
      </c>
      <c r="C39" s="24" t="n">
        <v>-0.6</v>
      </c>
      <c r="D39" s="24" t="n">
        <v>-1.2</v>
      </c>
      <c r="E39" s="24" t="n">
        <v>1.9</v>
      </c>
      <c r="F39" s="12" t="s">
        <v>577</v>
      </c>
      <c r="G39" s="23" t="n">
        <v>4868</v>
      </c>
      <c r="H39" s="24" t="n">
        <v>0.1</v>
      </c>
      <c r="I39" s="24" t="n">
        <v>-0.1</v>
      </c>
      <c r="J39" s="24" t="n">
        <v>14.1</v>
      </c>
      <c r="K39" s="12" t="s">
        <v>578</v>
      </c>
      <c r="L39" s="29" t="n">
        <f aca="false">IF(OR(B39="",G39=""),"",B39*12/G39*100)</f>
        <v>3.99342645850452</v>
      </c>
      <c r="M39" s="27" t="n">
        <f aca="false">IF(OR(B39="",G39=""),"",G39/(B39*12))</f>
        <v>25.0411522633745</v>
      </c>
      <c r="N39" s="25" t="n">
        <f aca="false">IF(G39="","",RANK(G39,G$2:G$72,0))</f>
        <v>4</v>
      </c>
    </row>
    <row r="40" customFormat="false" ht="15" hidden="false" customHeight="false" outlineLevel="0" collapsed="false">
      <c r="A40" s="12" t="s">
        <v>579</v>
      </c>
      <c r="B40" s="12"/>
      <c r="C40" s="12"/>
      <c r="D40" s="12"/>
      <c r="E40" s="12"/>
      <c r="F40" s="12"/>
      <c r="G40" s="23" t="n">
        <v>2405</v>
      </c>
      <c r="H40" s="24" t="n">
        <v>-2.7</v>
      </c>
      <c r="I40" s="24" t="n">
        <v>-4.5</v>
      </c>
      <c r="J40" s="24" t="n">
        <v>-0.7</v>
      </c>
      <c r="K40" s="12" t="s">
        <v>580</v>
      </c>
      <c r="L40" s="29" t="str">
        <f aca="false">IF(OR(B40="",G40=""),"",B40*12/G40*100)</f>
        <v/>
      </c>
      <c r="M40" s="27" t="str">
        <f aca="false">IF(OR(B40="",G40=""),"",G40/(B40*12))</f>
        <v/>
      </c>
      <c r="N40" s="25" t="n">
        <f aca="false">IF(G40="","",RANK(G40,G$2:G$72,0))</f>
        <v>53</v>
      </c>
    </row>
    <row r="41" customFormat="false" ht="15" hidden="false" customHeight="false" outlineLevel="0" collapsed="false">
      <c r="A41" s="12" t="s">
        <v>581</v>
      </c>
      <c r="B41" s="12"/>
      <c r="C41" s="12"/>
      <c r="D41" s="12"/>
      <c r="E41" s="12"/>
      <c r="F41" s="12"/>
      <c r="G41" s="23" t="n">
        <v>2141</v>
      </c>
      <c r="H41" s="24" t="n">
        <v>-5.6</v>
      </c>
      <c r="I41" s="24" t="n">
        <v>-5.7</v>
      </c>
      <c r="J41" s="24" t="n">
        <v>2.8</v>
      </c>
      <c r="K41" s="12" t="s">
        <v>582</v>
      </c>
      <c r="L41" s="29" t="str">
        <f aca="false">IF(OR(B41="",G41=""),"",B41*12/G41*100)</f>
        <v/>
      </c>
      <c r="M41" s="27" t="str">
        <f aca="false">IF(OR(B41="",G41=""),"",G41/(B41*12))</f>
        <v/>
      </c>
      <c r="N41" s="25" t="n">
        <f aca="false">IF(G41="","",RANK(G41,G$2:G$72,0))</f>
        <v>63</v>
      </c>
    </row>
    <row r="42" customFormat="false" ht="15" hidden="false" customHeight="false" outlineLevel="0" collapsed="false">
      <c r="A42" s="12" t="s">
        <v>583</v>
      </c>
      <c r="B42" s="12"/>
      <c r="C42" s="12"/>
      <c r="D42" s="12"/>
      <c r="E42" s="12"/>
      <c r="F42" s="12"/>
      <c r="G42" s="23" t="n">
        <v>2573</v>
      </c>
      <c r="H42" s="24" t="n">
        <v>0.8</v>
      </c>
      <c r="I42" s="24" t="n">
        <v>3.2</v>
      </c>
      <c r="J42" s="24" t="n">
        <v>16.8</v>
      </c>
      <c r="K42" s="12" t="s">
        <v>584</v>
      </c>
      <c r="L42" s="29" t="str">
        <f aca="false">IF(OR(B42="",G42=""),"",B42*12/G42*100)</f>
        <v/>
      </c>
      <c r="M42" s="27" t="str">
        <f aca="false">IF(OR(B42="",G42=""),"",G42/(B42*12))</f>
        <v/>
      </c>
      <c r="N42" s="25" t="n">
        <f aca="false">IF(G42="","",RANK(G42,G$2:G$72,0))</f>
        <v>43</v>
      </c>
    </row>
    <row r="43" customFormat="false" ht="15" hidden="false" customHeight="false" outlineLevel="0" collapsed="false">
      <c r="A43" s="12" t="s">
        <v>585</v>
      </c>
      <c r="B43" s="20" t="n">
        <v>14.1</v>
      </c>
      <c r="C43" s="24" t="n">
        <v>-1.9</v>
      </c>
      <c r="D43" s="24" t="n">
        <v>-0.3</v>
      </c>
      <c r="E43" s="24" t="n">
        <v>3.7</v>
      </c>
      <c r="F43" s="12" t="s">
        <v>586</v>
      </c>
      <c r="G43" s="23" t="n">
        <v>3047</v>
      </c>
      <c r="H43" s="24" t="n">
        <v>0.7</v>
      </c>
      <c r="I43" s="24" t="n">
        <v>1.3</v>
      </c>
      <c r="J43" s="24" t="n">
        <v>12</v>
      </c>
      <c r="K43" s="12" t="s">
        <v>587</v>
      </c>
      <c r="L43" s="29" t="n">
        <f aca="false">IF(OR(B43="",G43=""),"",B43*12/G43*100)</f>
        <v>5.55300295372498</v>
      </c>
      <c r="M43" s="27" t="n">
        <f aca="false">IF(OR(B43="",G43=""),"",G43/(B43*12))</f>
        <v>18.0082742316785</v>
      </c>
      <c r="N43" s="25" t="n">
        <f aca="false">IF(G43="","",RANK(G43,G$2:G$72,0))</f>
        <v>22</v>
      </c>
    </row>
    <row r="44" customFormat="false" ht="15" hidden="false" customHeight="false" outlineLevel="0" collapsed="false">
      <c r="A44" s="12" t="s">
        <v>588</v>
      </c>
      <c r="B44" s="20" t="n">
        <v>13.2</v>
      </c>
      <c r="C44" s="24" t="n">
        <v>-3.2</v>
      </c>
      <c r="D44" s="24" t="n">
        <v>-0.2</v>
      </c>
      <c r="E44" s="24" t="n">
        <v>9.4</v>
      </c>
      <c r="F44" s="12" t="s">
        <v>589</v>
      </c>
      <c r="G44" s="23" t="n">
        <v>2416</v>
      </c>
      <c r="H44" s="24" t="n">
        <v>0</v>
      </c>
      <c r="I44" s="24" t="n">
        <v>-1.3</v>
      </c>
      <c r="J44" s="24" t="n">
        <v>7.8</v>
      </c>
      <c r="K44" s="12" t="s">
        <v>590</v>
      </c>
      <c r="L44" s="29" t="n">
        <f aca="false">IF(OR(B44="",G44=""),"",B44*12/G44*100)</f>
        <v>6.55629139072848</v>
      </c>
      <c r="M44" s="27" t="n">
        <f aca="false">IF(OR(B44="",G44=""),"",G44/(B44*12))</f>
        <v>15.2525252525253</v>
      </c>
      <c r="N44" s="25" t="n">
        <f aca="false">IF(G44="","",RANK(G44,G$2:G$72,0))</f>
        <v>52</v>
      </c>
    </row>
    <row r="45" customFormat="false" ht="15" hidden="false" customHeight="false" outlineLevel="0" collapsed="false">
      <c r="A45" s="12" t="s">
        <v>591</v>
      </c>
      <c r="B45" s="20" t="n">
        <v>13.3</v>
      </c>
      <c r="C45" s="24" t="n">
        <v>4.9</v>
      </c>
      <c r="D45" s="12"/>
      <c r="E45" s="24" t="n">
        <v>-0.4</v>
      </c>
      <c r="F45" s="12" t="s">
        <v>592</v>
      </c>
      <c r="G45" s="23" t="n">
        <v>3012</v>
      </c>
      <c r="H45" s="24" t="n">
        <v>3.6</v>
      </c>
      <c r="I45" s="24" t="n">
        <v>2.5</v>
      </c>
      <c r="J45" s="24" t="n">
        <v>17.2</v>
      </c>
      <c r="K45" s="12" t="s">
        <v>593</v>
      </c>
      <c r="L45" s="29" t="n">
        <f aca="false">IF(OR(B45="",G45=""),"",B45*12/G45*100)</f>
        <v>5.2988047808765</v>
      </c>
      <c r="M45" s="27" t="n">
        <f aca="false">IF(OR(B45="",G45=""),"",G45/(B45*12))</f>
        <v>18.8721804511278</v>
      </c>
      <c r="N45" s="25" t="n">
        <f aca="false">IF(G45="","",RANK(G45,G$2:G$72,0))</f>
        <v>24</v>
      </c>
    </row>
    <row r="46" customFormat="false" ht="15" hidden="false" customHeight="false" outlineLevel="0" collapsed="false">
      <c r="A46" s="12" t="s">
        <v>594</v>
      </c>
      <c r="B46" s="20" t="n">
        <v>13.8</v>
      </c>
      <c r="C46" s="24" t="n">
        <v>0.5</v>
      </c>
      <c r="D46" s="24" t="n">
        <v>0.3</v>
      </c>
      <c r="E46" s="24" t="n">
        <v>6.8</v>
      </c>
      <c r="F46" s="12" t="s">
        <v>595</v>
      </c>
      <c r="G46" s="23" t="n">
        <v>2457</v>
      </c>
      <c r="H46" s="24" t="n">
        <v>1.8</v>
      </c>
      <c r="I46" s="24" t="n">
        <v>1.8</v>
      </c>
      <c r="J46" s="24" t="n">
        <v>13.4</v>
      </c>
      <c r="K46" s="12" t="s">
        <v>596</v>
      </c>
      <c r="L46" s="29" t="n">
        <f aca="false">IF(OR(B46="",G46=""),"",B46*12/G46*100)</f>
        <v>6.73992673992674</v>
      </c>
      <c r="M46" s="27" t="n">
        <f aca="false">IF(OR(B46="",G46=""),"",G46/(B46*12))</f>
        <v>14.8369565217391</v>
      </c>
      <c r="N46" s="25" t="n">
        <f aca="false">IF(G46="","",RANK(G46,G$2:G$72,0))</f>
        <v>49</v>
      </c>
    </row>
    <row r="47" customFormat="false" ht="15" hidden="false" customHeight="false" outlineLevel="0" collapsed="false">
      <c r="A47" s="12" t="s">
        <v>597</v>
      </c>
      <c r="B47" s="20" t="n">
        <v>13.8</v>
      </c>
      <c r="C47" s="24" t="n">
        <v>0</v>
      </c>
      <c r="D47" s="24" t="n">
        <v>-1.2</v>
      </c>
      <c r="E47" s="24" t="n">
        <v>5</v>
      </c>
      <c r="F47" s="12" t="s">
        <v>598</v>
      </c>
      <c r="G47" s="23" t="n">
        <v>2930</v>
      </c>
      <c r="H47" s="24" t="n">
        <v>2</v>
      </c>
      <c r="I47" s="24" t="n">
        <v>2.9</v>
      </c>
      <c r="J47" s="24" t="n">
        <v>13.1</v>
      </c>
      <c r="K47" s="12" t="s">
        <v>599</v>
      </c>
      <c r="L47" s="29" t="n">
        <f aca="false">IF(OR(B47="",G47=""),"",B47*12/G47*100)</f>
        <v>5.6518771331058</v>
      </c>
      <c r="M47" s="27" t="n">
        <f aca="false">IF(OR(B47="",G47=""),"",G47/(B47*12))</f>
        <v>17.6932367149758</v>
      </c>
      <c r="N47" s="25" t="n">
        <f aca="false">IF(G47="","",RANK(G47,G$2:G$72,0))</f>
        <v>29</v>
      </c>
    </row>
    <row r="48" customFormat="false" ht="15" hidden="false" customHeight="false" outlineLevel="0" collapsed="false">
      <c r="A48" s="12" t="s">
        <v>600</v>
      </c>
      <c r="B48" s="20" t="n">
        <v>18.3</v>
      </c>
      <c r="C48" s="24" t="n">
        <v>1.6</v>
      </c>
      <c r="D48" s="24" t="n">
        <v>2.6</v>
      </c>
      <c r="E48" s="24" t="n">
        <v>6</v>
      </c>
      <c r="F48" s="12" t="s">
        <v>601</v>
      </c>
      <c r="G48" s="23" t="n">
        <v>4964</v>
      </c>
      <c r="H48" s="24" t="n">
        <v>-1</v>
      </c>
      <c r="I48" s="24" t="n">
        <v>-2</v>
      </c>
      <c r="J48" s="24" t="n">
        <v>0.7</v>
      </c>
      <c r="K48" s="12" t="s">
        <v>602</v>
      </c>
      <c r="L48" s="29" t="n">
        <f aca="false">IF(OR(B48="",G48=""),"",B48*12/G48*100)</f>
        <v>4.42385173247381</v>
      </c>
      <c r="M48" s="27" t="n">
        <f aca="false">IF(OR(B48="",G48=""),"",G48/(B48*12))</f>
        <v>22.6047358834244</v>
      </c>
      <c r="N48" s="25" t="n">
        <f aca="false">IF(G48="","",RANK(G48,G$2:G$72,0))</f>
        <v>3</v>
      </c>
    </row>
    <row r="49" customFormat="false" ht="15" hidden="false" customHeight="false" outlineLevel="0" collapsed="false">
      <c r="A49" s="12" t="s">
        <v>603</v>
      </c>
      <c r="B49" s="20" t="n">
        <v>13.2</v>
      </c>
      <c r="C49" s="24" t="n">
        <v>-2.4</v>
      </c>
      <c r="D49" s="24" t="n">
        <v>-8.5</v>
      </c>
      <c r="E49" s="24" t="n">
        <v>3.7</v>
      </c>
      <c r="F49" s="12" t="s">
        <v>604</v>
      </c>
      <c r="G49" s="23" t="n">
        <v>3310</v>
      </c>
      <c r="H49" s="24" t="n">
        <v>2.5</v>
      </c>
      <c r="I49" s="24" t="n">
        <v>2.1</v>
      </c>
      <c r="J49" s="24" t="n">
        <v>2.7</v>
      </c>
      <c r="K49" s="12" t="s">
        <v>605</v>
      </c>
      <c r="L49" s="29" t="n">
        <f aca="false">IF(OR(B49="",G49=""),"",B49*12/G49*100)</f>
        <v>4.78549848942598</v>
      </c>
      <c r="M49" s="27" t="n">
        <f aca="false">IF(OR(B49="",G49=""),"",G49/(B49*12))</f>
        <v>20.8964646464647</v>
      </c>
      <c r="N49" s="25" t="n">
        <f aca="false">IF(G49="","",RANK(G49,G$2:G$72,0))</f>
        <v>15</v>
      </c>
    </row>
    <row r="50" customFormat="false" ht="15" hidden="false" customHeight="false" outlineLevel="0" collapsed="false">
      <c r="A50" s="12" t="s">
        <v>606</v>
      </c>
      <c r="B50" s="12"/>
      <c r="C50" s="12"/>
      <c r="D50" s="12"/>
      <c r="E50" s="12"/>
      <c r="F50" s="12"/>
      <c r="G50" s="23" t="n">
        <v>1597</v>
      </c>
      <c r="H50" s="24" t="n">
        <v>-0.4</v>
      </c>
      <c r="I50" s="24" t="n">
        <v>-8.1</v>
      </c>
      <c r="J50" s="24" t="n">
        <v>1.7</v>
      </c>
      <c r="K50" s="12" t="s">
        <v>607</v>
      </c>
      <c r="L50" s="29" t="str">
        <f aca="false">IF(OR(B50="",G50=""),"",B50*12/G50*100)</f>
        <v/>
      </c>
      <c r="M50" s="27" t="str">
        <f aca="false">IF(OR(B50="",G50=""),"",G50/(B50*12))</f>
        <v/>
      </c>
      <c r="N50" s="25" t="n">
        <f aca="false">IF(G50="","",RANK(G50,G$2:G$72,0))</f>
        <v>67</v>
      </c>
    </row>
    <row r="51" customFormat="false" ht="15" hidden="false" customHeight="false" outlineLevel="0" collapsed="false">
      <c r="A51" s="12" t="s">
        <v>608</v>
      </c>
      <c r="B51" s="20" t="n">
        <v>13.2</v>
      </c>
      <c r="C51" s="24" t="n">
        <v>-0.8</v>
      </c>
      <c r="D51" s="12"/>
      <c r="E51" s="24" t="n">
        <v>2.3</v>
      </c>
      <c r="F51" s="12" t="s">
        <v>609</v>
      </c>
      <c r="G51" s="23" t="n">
        <v>3105</v>
      </c>
      <c r="H51" s="24" t="n">
        <v>4.6</v>
      </c>
      <c r="I51" s="24" t="n">
        <v>2.4</v>
      </c>
      <c r="J51" s="24" t="n">
        <v>-2.2</v>
      </c>
      <c r="K51" s="12" t="s">
        <v>610</v>
      </c>
      <c r="L51" s="29" t="n">
        <f aca="false">IF(OR(B51="",G51=""),"",B51*12/G51*100)</f>
        <v>5.10144927536232</v>
      </c>
      <c r="M51" s="27" t="n">
        <f aca="false">IF(OR(B51="",G51=""),"",G51/(B51*12))</f>
        <v>19.6022727272727</v>
      </c>
      <c r="N51" s="25" t="n">
        <f aca="false">IF(G51="","",RANK(G51,G$2:G$72,0))</f>
        <v>21</v>
      </c>
    </row>
    <row r="52" customFormat="false" ht="15" hidden="false" customHeight="false" outlineLevel="0" collapsed="false">
      <c r="A52" s="12" t="s">
        <v>611</v>
      </c>
      <c r="B52" s="12"/>
      <c r="C52" s="12"/>
      <c r="D52" s="12"/>
      <c r="E52" s="12"/>
      <c r="F52" s="12"/>
      <c r="G52" s="23" t="n">
        <v>2886</v>
      </c>
      <c r="H52" s="24" t="n">
        <v>-2.6</v>
      </c>
      <c r="I52" s="24" t="n">
        <v>-3.7</v>
      </c>
      <c r="J52" s="24" t="n">
        <v>7</v>
      </c>
      <c r="K52" s="12" t="s">
        <v>612</v>
      </c>
      <c r="L52" s="29" t="str">
        <f aca="false">IF(OR(B52="",G52=""),"",B52*12/G52*100)</f>
        <v/>
      </c>
      <c r="M52" s="27" t="str">
        <f aca="false">IF(OR(B52="",G52=""),"",G52/(B52*12))</f>
        <v/>
      </c>
      <c r="N52" s="25" t="n">
        <f aca="false">IF(G52="","",RANK(G52,G$2:G$72,0))</f>
        <v>33</v>
      </c>
    </row>
    <row r="53" customFormat="false" ht="15" hidden="false" customHeight="false" outlineLevel="0" collapsed="false">
      <c r="A53" s="12" t="s">
        <v>613</v>
      </c>
      <c r="B53" s="20" t="n">
        <v>12.9</v>
      </c>
      <c r="C53" s="24" t="n">
        <v>0.9</v>
      </c>
      <c r="D53" s="24" t="n">
        <v>-8</v>
      </c>
      <c r="E53" s="24" t="n">
        <v>-0.1</v>
      </c>
      <c r="F53" s="12" t="s">
        <v>614</v>
      </c>
      <c r="G53" s="23" t="n">
        <v>2937</v>
      </c>
      <c r="H53" s="24" t="n">
        <v>-1.9</v>
      </c>
      <c r="I53" s="24" t="n">
        <v>2.1</v>
      </c>
      <c r="J53" s="24" t="n">
        <v>14.3</v>
      </c>
      <c r="K53" s="12" t="s">
        <v>615</v>
      </c>
      <c r="L53" s="29" t="n">
        <f aca="false">IF(OR(B53="",G53=""),"",B53*12/G53*100)</f>
        <v>5.27068437180797</v>
      </c>
      <c r="M53" s="27" t="n">
        <f aca="false">IF(OR(B53="",G53=""),"",G53/(B53*12))</f>
        <v>18.9728682170543</v>
      </c>
      <c r="N53" s="25" t="n">
        <f aca="false">IF(G53="","",RANK(G53,G$2:G$72,0))</f>
        <v>28</v>
      </c>
    </row>
    <row r="54" customFormat="false" ht="15" hidden="false" customHeight="false" outlineLevel="0" collapsed="false">
      <c r="A54" s="12" t="s">
        <v>616</v>
      </c>
      <c r="B54" s="12"/>
      <c r="C54" s="12"/>
      <c r="D54" s="12"/>
      <c r="E54" s="12"/>
      <c r="F54" s="12"/>
      <c r="G54" s="23" t="n">
        <v>2021</v>
      </c>
      <c r="H54" s="24" t="n">
        <v>-0.4</v>
      </c>
      <c r="I54" s="24" t="n">
        <v>2.3</v>
      </c>
      <c r="J54" s="24" t="n">
        <v>20.1</v>
      </c>
      <c r="K54" s="12" t="s">
        <v>617</v>
      </c>
      <c r="L54" s="29" t="str">
        <f aca="false">IF(OR(B54="",G54=""),"",B54*12/G54*100)</f>
        <v/>
      </c>
      <c r="M54" s="27" t="str">
        <f aca="false">IF(OR(B54="",G54=""),"",G54/(B54*12))</f>
        <v/>
      </c>
      <c r="N54" s="25" t="n">
        <f aca="false">IF(G54="","",RANK(G54,G$2:G$72,0))</f>
        <v>64</v>
      </c>
    </row>
    <row r="55" customFormat="false" ht="15" hidden="false" customHeight="false" outlineLevel="0" collapsed="false">
      <c r="A55" s="12" t="s">
        <v>618</v>
      </c>
      <c r="B55" s="20" t="n">
        <v>19.1</v>
      </c>
      <c r="C55" s="24" t="n">
        <v>0.3</v>
      </c>
      <c r="D55" s="24" t="n">
        <v>1.7</v>
      </c>
      <c r="E55" s="24" t="n">
        <v>4.3</v>
      </c>
      <c r="F55" s="12" t="s">
        <v>619</v>
      </c>
      <c r="G55" s="23" t="n">
        <v>4170</v>
      </c>
      <c r="H55" s="24" t="n">
        <v>-0.8</v>
      </c>
      <c r="I55" s="24" t="n">
        <v>-1.9</v>
      </c>
      <c r="J55" s="24" t="n">
        <v>10</v>
      </c>
      <c r="K55" s="12" t="s">
        <v>620</v>
      </c>
      <c r="L55" s="29" t="n">
        <f aca="false">IF(OR(B55="",G55=""),"",B55*12/G55*100)</f>
        <v>5.49640287769784</v>
      </c>
      <c r="M55" s="27" t="n">
        <f aca="false">IF(OR(B55="",G55=""),"",G55/(B55*12))</f>
        <v>18.1937172774869</v>
      </c>
      <c r="N55" s="25" t="n">
        <f aca="false">IF(G55="","",RANK(G55,G$2:G$72,0))</f>
        <v>6</v>
      </c>
    </row>
    <row r="56" customFormat="false" ht="15" hidden="false" customHeight="false" outlineLevel="0" collapsed="false">
      <c r="A56" s="12" t="s">
        <v>621</v>
      </c>
      <c r="B56" s="12"/>
      <c r="C56" s="12"/>
      <c r="D56" s="12"/>
      <c r="E56" s="12"/>
      <c r="F56" s="12"/>
      <c r="G56" s="23" t="n">
        <v>2511</v>
      </c>
      <c r="H56" s="24" t="n">
        <v>0</v>
      </c>
      <c r="I56" s="24" t="n">
        <v>-3.9</v>
      </c>
      <c r="J56" s="24" t="n">
        <v>-17.8</v>
      </c>
      <c r="K56" s="12" t="s">
        <v>622</v>
      </c>
      <c r="L56" s="29" t="str">
        <f aca="false">IF(OR(B56="",G56=""),"",B56*12/G56*100)</f>
        <v/>
      </c>
      <c r="M56" s="27" t="str">
        <f aca="false">IF(OR(B56="",G56=""),"",G56/(B56*12))</f>
        <v/>
      </c>
      <c r="N56" s="25" t="n">
        <f aca="false">IF(G56="","",RANK(G56,G$2:G$72,0))</f>
        <v>47</v>
      </c>
    </row>
    <row r="57" customFormat="false" ht="15" hidden="false" customHeight="false" outlineLevel="0" collapsed="false">
      <c r="A57" s="12" t="s">
        <v>623</v>
      </c>
      <c r="B57" s="12"/>
      <c r="C57" s="12"/>
      <c r="D57" s="12"/>
      <c r="E57" s="12"/>
      <c r="F57" s="12"/>
      <c r="G57" s="23" t="n">
        <v>2681</v>
      </c>
      <c r="H57" s="24" t="n">
        <v>-2</v>
      </c>
      <c r="I57" s="24" t="n">
        <v>-3.6</v>
      </c>
      <c r="J57" s="24" t="n">
        <v>9.8</v>
      </c>
      <c r="K57" s="12" t="s">
        <v>624</v>
      </c>
      <c r="L57" s="29" t="str">
        <f aca="false">IF(OR(B57="",G57=""),"",B57*12/G57*100)</f>
        <v/>
      </c>
      <c r="M57" s="27" t="str">
        <f aca="false">IF(OR(B57="",G57=""),"",G57/(B57*12))</f>
        <v/>
      </c>
      <c r="N57" s="25" t="n">
        <f aca="false">IF(G57="","",RANK(G57,G$2:G$72,0))</f>
        <v>39</v>
      </c>
    </row>
    <row r="58" customFormat="false" ht="15" hidden="false" customHeight="false" outlineLevel="0" collapsed="false">
      <c r="A58" s="12" t="s">
        <v>625</v>
      </c>
      <c r="B58" s="12"/>
      <c r="C58" s="12"/>
      <c r="D58" s="12"/>
      <c r="E58" s="12"/>
      <c r="F58" s="12"/>
      <c r="G58" s="23" t="n">
        <v>2858</v>
      </c>
      <c r="H58" s="24" t="n">
        <v>6.5</v>
      </c>
      <c r="I58" s="24" t="n">
        <v>4.4</v>
      </c>
      <c r="J58" s="24" t="n">
        <v>23.6</v>
      </c>
      <c r="K58" s="12" t="s">
        <v>626</v>
      </c>
      <c r="L58" s="29" t="str">
        <f aca="false">IF(OR(B58="",G58=""),"",B58*12/G58*100)</f>
        <v/>
      </c>
      <c r="M58" s="27" t="str">
        <f aca="false">IF(OR(B58="",G58=""),"",G58/(B58*12))</f>
        <v/>
      </c>
      <c r="N58" s="25" t="n">
        <f aca="false">IF(G58="","",RANK(G58,G$2:G$72,0))</f>
        <v>34</v>
      </c>
    </row>
    <row r="59" customFormat="false" ht="15" hidden="false" customHeight="false" outlineLevel="0" collapsed="false">
      <c r="A59" s="12" t="s">
        <v>627</v>
      </c>
      <c r="B59" s="20" t="n">
        <v>15.6</v>
      </c>
      <c r="C59" s="24" t="n">
        <v>1.9</v>
      </c>
      <c r="D59" s="24" t="n">
        <v>6.3</v>
      </c>
      <c r="E59" s="24" t="n">
        <v>13.4</v>
      </c>
      <c r="F59" s="12" t="s">
        <v>628</v>
      </c>
      <c r="G59" s="23" t="n">
        <v>3119</v>
      </c>
      <c r="H59" s="24" t="n">
        <v>-0.3</v>
      </c>
      <c r="I59" s="24" t="n">
        <v>1</v>
      </c>
      <c r="J59" s="24" t="n">
        <v>12.8</v>
      </c>
      <c r="K59" s="12" t="s">
        <v>629</v>
      </c>
      <c r="L59" s="29" t="n">
        <f aca="false">IF(OR(B59="",G59=""),"",B59*12/G59*100)</f>
        <v>6.0019236934915</v>
      </c>
      <c r="M59" s="27" t="n">
        <f aca="false">IF(OR(B59="",G59=""),"",G59/(B59*12))</f>
        <v>16.6613247863248</v>
      </c>
      <c r="N59" s="25" t="n">
        <f aca="false">IF(G59="","",RANK(G59,G$2:G$72,0))</f>
        <v>20</v>
      </c>
    </row>
    <row r="60" customFormat="false" ht="15" hidden="false" customHeight="false" outlineLevel="0" collapsed="false">
      <c r="A60" s="12" t="s">
        <v>630</v>
      </c>
      <c r="B60" s="12"/>
      <c r="C60" s="12"/>
      <c r="D60" s="12"/>
      <c r="E60" s="12"/>
      <c r="F60" s="12"/>
      <c r="G60" s="23" t="n">
        <v>1649</v>
      </c>
      <c r="H60" s="24" t="n">
        <v>-1.1</v>
      </c>
      <c r="I60" s="24" t="n">
        <v>-0.6</v>
      </c>
      <c r="J60" s="24" t="n">
        <v>18.1</v>
      </c>
      <c r="K60" s="12" t="s">
        <v>631</v>
      </c>
      <c r="L60" s="29" t="str">
        <f aca="false">IF(OR(B60="",G60=""),"",B60*12/G60*100)</f>
        <v/>
      </c>
      <c r="M60" s="27" t="str">
        <f aca="false">IF(OR(B60="",G60=""),"",G60/(B60*12))</f>
        <v/>
      </c>
      <c r="N60" s="25" t="n">
        <f aca="false">IF(G60="","",RANK(G60,G$2:G$72,0))</f>
        <v>65</v>
      </c>
    </row>
    <row r="61" customFormat="false" ht="15" hidden="false" customHeight="false" outlineLevel="0" collapsed="false">
      <c r="A61" s="12" t="s">
        <v>632</v>
      </c>
      <c r="B61" s="20" t="n">
        <v>13.5</v>
      </c>
      <c r="C61" s="24" t="n">
        <v>1.6</v>
      </c>
      <c r="D61" s="24" t="n">
        <v>-1.4</v>
      </c>
      <c r="E61" s="24" t="n">
        <v>-2.5</v>
      </c>
      <c r="F61" s="12" t="s">
        <v>633</v>
      </c>
      <c r="G61" s="23" t="n">
        <v>2968</v>
      </c>
      <c r="H61" s="24" t="n">
        <v>1.1</v>
      </c>
      <c r="I61" s="24" t="n">
        <v>-0.8</v>
      </c>
      <c r="J61" s="24" t="n">
        <v>2.2</v>
      </c>
      <c r="K61" s="12" t="s">
        <v>634</v>
      </c>
      <c r="L61" s="29" t="n">
        <f aca="false">IF(OR(B61="",G61=""),"",B61*12/G61*100)</f>
        <v>5.45822102425876</v>
      </c>
      <c r="M61" s="27" t="n">
        <f aca="false">IF(OR(B61="",G61=""),"",G61/(B61*12))</f>
        <v>18.320987654321</v>
      </c>
      <c r="N61" s="25" t="n">
        <f aca="false">IF(G61="","",RANK(G61,G$2:G$72,0))</f>
        <v>26</v>
      </c>
    </row>
    <row r="62" customFormat="false" ht="15" hidden="false" customHeight="false" outlineLevel="0" collapsed="false">
      <c r="A62" s="12" t="s">
        <v>635</v>
      </c>
      <c r="B62" s="20" t="n">
        <v>14.4</v>
      </c>
      <c r="C62" s="24" t="n">
        <v>0.2</v>
      </c>
      <c r="D62" s="24" t="n">
        <v>-2.5</v>
      </c>
      <c r="E62" s="24" t="n">
        <v>4.6</v>
      </c>
      <c r="F62" s="12" t="s">
        <v>636</v>
      </c>
      <c r="G62" s="23" t="n">
        <v>4136</v>
      </c>
      <c r="H62" s="24" t="n">
        <v>1.3</v>
      </c>
      <c r="I62" s="24" t="n">
        <v>-0.2</v>
      </c>
      <c r="J62" s="24" t="n">
        <v>6.2</v>
      </c>
      <c r="K62" s="12" t="s">
        <v>637</v>
      </c>
      <c r="L62" s="29" t="n">
        <f aca="false">IF(OR(B62="",G62=""),"",B62*12/G62*100)</f>
        <v>4.1779497098646</v>
      </c>
      <c r="M62" s="27" t="n">
        <f aca="false">IF(OR(B62="",G62=""),"",G62/(B62*12))</f>
        <v>23.9351851851852</v>
      </c>
      <c r="N62" s="25" t="n">
        <f aca="false">IF(G62="","",RANK(G62,G$2:G$72,0))</f>
        <v>7</v>
      </c>
    </row>
    <row r="63" customFormat="false" ht="15" hidden="false" customHeight="false" outlineLevel="0" collapsed="false">
      <c r="A63" s="12" t="s">
        <v>638</v>
      </c>
      <c r="B63" s="12"/>
      <c r="C63" s="12"/>
      <c r="D63" s="12"/>
      <c r="E63" s="12"/>
      <c r="F63" s="12"/>
      <c r="G63" s="23" t="n">
        <v>2481</v>
      </c>
      <c r="H63" s="24" t="n">
        <v>0</v>
      </c>
      <c r="I63" s="24" t="n">
        <v>0.7</v>
      </c>
      <c r="J63" s="24" t="n">
        <v>13.6</v>
      </c>
      <c r="K63" s="12" t="s">
        <v>639</v>
      </c>
      <c r="L63" s="29" t="str">
        <f aca="false">IF(OR(B63="",G63=""),"",B63*12/G63*100)</f>
        <v/>
      </c>
      <c r="M63" s="27" t="str">
        <f aca="false">IF(OR(B63="",G63=""),"",G63/(B63*12))</f>
        <v/>
      </c>
      <c r="N63" s="25" t="n">
        <f aca="false">IF(G63="","",RANK(G63,G$2:G$72,0))</f>
        <v>48</v>
      </c>
    </row>
    <row r="64" customFormat="false" ht="15" hidden="false" customHeight="false" outlineLevel="0" collapsed="false">
      <c r="A64" s="12" t="s">
        <v>640</v>
      </c>
      <c r="B64" s="20" t="n">
        <v>13.9</v>
      </c>
      <c r="C64" s="24" t="n">
        <v>-0.1</v>
      </c>
      <c r="D64" s="24" t="n">
        <v>2.3</v>
      </c>
      <c r="E64" s="24" t="n">
        <v>9.4</v>
      </c>
      <c r="F64" s="12" t="s">
        <v>641</v>
      </c>
      <c r="G64" s="23" t="n">
        <v>2522</v>
      </c>
      <c r="H64" s="24" t="n">
        <v>0.2</v>
      </c>
      <c r="I64" s="24" t="n">
        <v>-1.2</v>
      </c>
      <c r="J64" s="24" t="n">
        <v>5.4</v>
      </c>
      <c r="K64" s="12" t="s">
        <v>642</v>
      </c>
      <c r="L64" s="29" t="n">
        <f aca="false">IF(OR(B64="",G64=""),"",B64*12/G64*100)</f>
        <v>6.61379857256146</v>
      </c>
      <c r="M64" s="27" t="n">
        <f aca="false">IF(OR(B64="",G64=""),"",G64/(B64*12))</f>
        <v>15.1199040767386</v>
      </c>
      <c r="N64" s="25" t="n">
        <f aca="false">IF(G64="","",RANK(G64,G$2:G$72,0))</f>
        <v>46</v>
      </c>
    </row>
    <row r="65" customFormat="false" ht="15" hidden="false" customHeight="false" outlineLevel="0" collapsed="false">
      <c r="A65" s="12" t="s">
        <v>643</v>
      </c>
      <c r="B65" s="12"/>
      <c r="C65" s="12"/>
      <c r="D65" s="12"/>
      <c r="E65" s="12"/>
      <c r="F65" s="12"/>
      <c r="G65" s="23" t="n">
        <v>2620</v>
      </c>
      <c r="H65" s="24" t="n">
        <v>3.4</v>
      </c>
      <c r="I65" s="24" t="n">
        <v>7.9</v>
      </c>
      <c r="J65" s="24" t="n">
        <v>9.9</v>
      </c>
      <c r="K65" s="12" t="s">
        <v>644</v>
      </c>
      <c r="L65" s="29" t="str">
        <f aca="false">IF(OR(B65="",G65=""),"",B65*12/G65*100)</f>
        <v/>
      </c>
      <c r="M65" s="27" t="str">
        <f aca="false">IF(OR(B65="",G65=""),"",G65/(B65*12))</f>
        <v/>
      </c>
      <c r="N65" s="25" t="n">
        <f aca="false">IF(G65="","",RANK(G65,G$2:G$72,0))</f>
        <v>42</v>
      </c>
    </row>
    <row r="66" customFormat="false" ht="15" hidden="false" customHeight="false" outlineLevel="0" collapsed="false">
      <c r="A66" s="12" t="s">
        <v>645</v>
      </c>
      <c r="B66" s="12"/>
      <c r="C66" s="12"/>
      <c r="D66" s="12"/>
      <c r="E66" s="12"/>
      <c r="F66" s="12"/>
      <c r="G66" s="23" t="n">
        <v>1519</v>
      </c>
      <c r="H66" s="24" t="n">
        <v>3.3</v>
      </c>
      <c r="I66" s="24" t="n">
        <v>11.7</v>
      </c>
      <c r="J66" s="24" t="n">
        <v>27.1</v>
      </c>
      <c r="K66" s="12" t="s">
        <v>646</v>
      </c>
      <c r="L66" s="29" t="str">
        <f aca="false">IF(OR(B66="",G66=""),"",B66*12/G66*100)</f>
        <v/>
      </c>
      <c r="M66" s="27" t="str">
        <f aca="false">IF(OR(B66="",G66=""),"",G66/(B66*12))</f>
        <v/>
      </c>
      <c r="N66" s="25" t="n">
        <f aca="false">IF(G66="","",RANK(G66,G$2:G$72,0))</f>
        <v>68</v>
      </c>
    </row>
    <row r="67" customFormat="false" ht="15" hidden="false" customHeight="false" outlineLevel="0" collapsed="false">
      <c r="A67" s="12" t="s">
        <v>647</v>
      </c>
      <c r="B67" s="12"/>
      <c r="C67" s="12"/>
      <c r="D67" s="12"/>
      <c r="E67" s="12"/>
      <c r="F67" s="12"/>
      <c r="G67" s="23" t="n">
        <v>2240</v>
      </c>
      <c r="H67" s="24" t="n">
        <v>-2</v>
      </c>
      <c r="I67" s="24" t="n">
        <v>-9.7</v>
      </c>
      <c r="J67" s="24" t="n">
        <v>11.6</v>
      </c>
      <c r="K67" s="12" t="s">
        <v>648</v>
      </c>
      <c r="L67" s="29" t="str">
        <f aca="false">IF(OR(B67="",G67=""),"",B67*12/G67*100)</f>
        <v/>
      </c>
      <c r="M67" s="27" t="str">
        <f aca="false">IF(OR(B67="",G67=""),"",G67/(B67*12))</f>
        <v/>
      </c>
      <c r="N67" s="25" t="n">
        <f aca="false">IF(G67="","",RANK(G67,G$2:G$72,0))</f>
        <v>59</v>
      </c>
    </row>
    <row r="68" customFormat="false" ht="15" hidden="false" customHeight="false" outlineLevel="0" collapsed="false">
      <c r="A68" s="12" t="s">
        <v>649</v>
      </c>
      <c r="B68" s="20" t="n">
        <v>18.2</v>
      </c>
      <c r="C68" s="24" t="n">
        <v>2.8</v>
      </c>
      <c r="D68" s="24" t="n">
        <v>5.2</v>
      </c>
      <c r="E68" s="24" t="n">
        <v>15.3</v>
      </c>
      <c r="F68" s="12" t="s">
        <v>487</v>
      </c>
      <c r="G68" s="23" t="n">
        <v>2941</v>
      </c>
      <c r="H68" s="24" t="n">
        <v>1.6</v>
      </c>
      <c r="I68" s="24" t="n">
        <v>-3.6</v>
      </c>
      <c r="J68" s="24" t="n">
        <v>9.3</v>
      </c>
      <c r="K68" s="12" t="s">
        <v>650</v>
      </c>
      <c r="L68" s="29" t="n">
        <f aca="false">IF(OR(B68="",G68=""),"",B68*12/G68*100)</f>
        <v>7.42604556273376</v>
      </c>
      <c r="M68" s="27" t="n">
        <f aca="false">IF(OR(B68="",G68=""),"",G68/(B68*12))</f>
        <v>13.4661172161172</v>
      </c>
      <c r="N68" s="25" t="n">
        <f aca="false">IF(G68="","",RANK(G68,G$2:G$72,0))</f>
        <v>27</v>
      </c>
    </row>
    <row r="69" customFormat="false" ht="15" hidden="false" customHeight="false" outlineLevel="0" collapsed="false">
      <c r="A69" s="12" t="s">
        <v>651</v>
      </c>
      <c r="B69" s="20" t="n">
        <v>15.7</v>
      </c>
      <c r="C69" s="12"/>
      <c r="D69" s="24" t="n">
        <v>-1.4</v>
      </c>
      <c r="E69" s="24" t="n">
        <v>5.2</v>
      </c>
      <c r="F69" s="12" t="s">
        <v>652</v>
      </c>
      <c r="G69" s="23" t="n">
        <v>3310</v>
      </c>
      <c r="H69" s="24" t="n">
        <v>1.4</v>
      </c>
      <c r="I69" s="24" t="n">
        <v>5.6</v>
      </c>
      <c r="J69" s="24" t="n">
        <v>7.2</v>
      </c>
      <c r="K69" s="12" t="s">
        <v>605</v>
      </c>
      <c r="L69" s="29" t="n">
        <f aca="false">IF(OR(B69="",G69=""),"",B69*12/G69*100)</f>
        <v>5.69184290030211</v>
      </c>
      <c r="M69" s="27" t="n">
        <f aca="false">IF(OR(B69="",G69=""),"",G69/(B69*12))</f>
        <v>17.5690021231423</v>
      </c>
      <c r="N69" s="25" t="n">
        <f aca="false">IF(G69="","",RANK(G69,G$2:G$72,0))</f>
        <v>15</v>
      </c>
    </row>
    <row r="70" customFormat="false" ht="15" hidden="false" customHeight="false" outlineLevel="0" collapsed="false">
      <c r="A70" s="12" t="s">
        <v>653</v>
      </c>
      <c r="B70" s="12"/>
      <c r="C70" s="12"/>
      <c r="D70" s="12"/>
      <c r="E70" s="12"/>
      <c r="F70" s="12"/>
      <c r="G70" s="23" t="n">
        <v>1440</v>
      </c>
      <c r="H70" s="24" t="n">
        <v>-2.1</v>
      </c>
      <c r="I70" s="24" t="n">
        <v>-2.8</v>
      </c>
      <c r="J70" s="24" t="n">
        <v>16.4</v>
      </c>
      <c r="K70" s="12" t="s">
        <v>654</v>
      </c>
      <c r="L70" s="29" t="str">
        <f aca="false">IF(OR(B70="",G70=""),"",B70*12/G70*100)</f>
        <v/>
      </c>
      <c r="M70" s="27" t="str">
        <f aca="false">IF(OR(B70="",G70=""),"",G70/(B70*12))</f>
        <v/>
      </c>
      <c r="N70" s="25" t="n">
        <f aca="false">IF(G70="","",RANK(G70,G$2:G$72,0))</f>
        <v>70</v>
      </c>
    </row>
    <row r="71" customFormat="false" ht="15" hidden="false" customHeight="false" outlineLevel="0" collapsed="false">
      <c r="A71" s="12" t="s">
        <v>655</v>
      </c>
      <c r="B71" s="12"/>
      <c r="C71" s="12"/>
      <c r="D71" s="12"/>
      <c r="E71" s="12"/>
      <c r="F71" s="12"/>
      <c r="G71" s="23" t="n">
        <v>3602</v>
      </c>
      <c r="H71" s="24" t="n">
        <v>1.1</v>
      </c>
      <c r="I71" s="24" t="n">
        <v>3.8</v>
      </c>
      <c r="J71" s="24" t="n">
        <v>21.5</v>
      </c>
      <c r="K71" s="12" t="s">
        <v>656</v>
      </c>
      <c r="L71" s="29" t="str">
        <f aca="false">IF(OR(B71="",G71=""),"",B71*12/G71*100)</f>
        <v/>
      </c>
      <c r="M71" s="27" t="str">
        <f aca="false">IF(OR(B71="",G71=""),"",G71/(B71*12))</f>
        <v/>
      </c>
      <c r="N71" s="25" t="n">
        <f aca="false">IF(G71="","",RANK(G71,G$2:G$72,0))</f>
        <v>12</v>
      </c>
    </row>
    <row r="72" customFormat="false" ht="15" hidden="false" customHeight="false" outlineLevel="0" collapsed="false">
      <c r="A72" s="12" t="s">
        <v>657</v>
      </c>
      <c r="B72" s="20" t="n">
        <v>16.1</v>
      </c>
      <c r="C72" s="24" t="n">
        <v>0</v>
      </c>
      <c r="D72" s="12"/>
      <c r="E72" s="12"/>
      <c r="F72" s="12" t="s">
        <v>658</v>
      </c>
      <c r="G72" s="12"/>
      <c r="H72" s="12"/>
      <c r="I72" s="12"/>
      <c r="J72" s="12"/>
      <c r="K72" s="12"/>
      <c r="L72" s="29" t="str">
        <f aca="false">IF(OR(B72="",G72=""),"",B72*12/G72*100)</f>
        <v/>
      </c>
      <c r="M72" s="27" t="str">
        <f aca="false">IF(OR(B72="",G72=""),"",G72/(B72*12))</f>
        <v/>
      </c>
      <c r="N72" s="25" t="str">
        <f aca="false">IF(G72="","",RANK(G72,G$2:G$72,0))</f>
        <v/>
      </c>
    </row>
    <row r="74" customFormat="false" ht="15" hidden="false" customHeight="false" outlineLevel="0" collapsed="false">
      <c r="A74" s="11" t="s">
        <v>659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15" min="2" style="0" width="14"/>
  </cols>
  <sheetData>
    <row r="1" customFormat="false" ht="69.75" hidden="false" customHeight="true" outlineLevel="0" collapsed="false">
      <c r="A1" s="4" t="s">
        <v>660</v>
      </c>
      <c r="B1" s="4" t="s">
        <v>661</v>
      </c>
      <c r="C1" s="4" t="s">
        <v>662</v>
      </c>
      <c r="D1" s="4" t="s">
        <v>663</v>
      </c>
      <c r="E1" s="4" t="s">
        <v>664</v>
      </c>
      <c r="F1" s="4" t="s">
        <v>665</v>
      </c>
      <c r="G1" s="4" t="s">
        <v>666</v>
      </c>
      <c r="H1" s="4" t="s">
        <v>667</v>
      </c>
      <c r="I1" s="4" t="s">
        <v>668</v>
      </c>
      <c r="J1" s="4" t="s">
        <v>669</v>
      </c>
      <c r="K1" s="4" t="s">
        <v>670</v>
      </c>
      <c r="L1" s="4" t="s">
        <v>671</v>
      </c>
      <c r="M1" s="4" t="s">
        <v>672</v>
      </c>
      <c r="N1" s="4" t="s">
        <v>673</v>
      </c>
      <c r="O1" s="4" t="s">
        <v>674</v>
      </c>
    </row>
    <row r="2" customFormat="false" ht="15" hidden="false" customHeight="false" outlineLevel="0" collapsed="false">
      <c r="A2" s="12" t="s">
        <v>675</v>
      </c>
      <c r="B2" s="20" t="n">
        <v>14.3</v>
      </c>
      <c r="C2" s="24" t="n">
        <v>8.3</v>
      </c>
      <c r="D2" s="20" t="n">
        <v>20.5</v>
      </c>
      <c r="E2" s="24" t="n">
        <v>9.6</v>
      </c>
      <c r="F2" s="20" t="n">
        <v>22.4</v>
      </c>
      <c r="G2" s="24" t="n">
        <v>8.5</v>
      </c>
      <c r="H2" s="23" t="n">
        <v>2658</v>
      </c>
      <c r="I2" s="24" t="n">
        <v>16.6</v>
      </c>
      <c r="J2" s="23" t="n">
        <v>6343</v>
      </c>
      <c r="K2" s="24" t="n">
        <v>17</v>
      </c>
      <c r="L2" s="29" t="n">
        <f aca="false">F2*12/J2*100</f>
        <v>4.23774239318934</v>
      </c>
      <c r="M2" s="29" t="n">
        <f aca="false">F2/B2</f>
        <v>1.56643356643357</v>
      </c>
      <c r="N2" s="27" t="n">
        <f aca="false">F2-B2</f>
        <v>8.1</v>
      </c>
      <c r="O2" s="29" t="n">
        <f aca="false">J2/H2</f>
        <v>2.38638073739654</v>
      </c>
    </row>
    <row r="3" customFormat="false" ht="15" hidden="false" customHeight="false" outlineLevel="0" collapsed="false">
      <c r="A3" s="12" t="s">
        <v>676</v>
      </c>
      <c r="B3" s="20" t="n">
        <v>14.3</v>
      </c>
      <c r="C3" s="24" t="n">
        <v>7.8</v>
      </c>
      <c r="D3" s="20" t="n">
        <v>20.4</v>
      </c>
      <c r="E3" s="24" t="n">
        <v>8.6</v>
      </c>
      <c r="F3" s="20" t="n">
        <v>22.4</v>
      </c>
      <c r="G3" s="24" t="n">
        <v>7.5</v>
      </c>
      <c r="H3" s="23" t="n">
        <v>2701</v>
      </c>
      <c r="I3" s="24" t="n">
        <v>16.8</v>
      </c>
      <c r="J3" s="23" t="n">
        <v>6422</v>
      </c>
      <c r="K3" s="24" t="n">
        <v>16.6</v>
      </c>
      <c r="L3" s="29" t="n">
        <f aca="false">F3*12/J3*100</f>
        <v>4.18561195889131</v>
      </c>
      <c r="M3" s="29" t="n">
        <f aca="false">F3/B3</f>
        <v>1.56643356643357</v>
      </c>
      <c r="N3" s="27" t="n">
        <f aca="false">F3-B3</f>
        <v>8.1</v>
      </c>
      <c r="O3" s="29" t="n">
        <f aca="false">J3/H3</f>
        <v>2.37763791188449</v>
      </c>
    </row>
    <row r="4" customFormat="false" ht="15" hidden="false" customHeight="false" outlineLevel="0" collapsed="false">
      <c r="A4" s="12" t="s">
        <v>243</v>
      </c>
      <c r="B4" s="20" t="n">
        <v>14.4</v>
      </c>
      <c r="C4" s="24" t="n">
        <v>6.8</v>
      </c>
      <c r="D4" s="20" t="n">
        <v>20.3</v>
      </c>
      <c r="E4" s="24" t="n">
        <v>7.2</v>
      </c>
      <c r="F4" s="20" t="n">
        <v>22.3</v>
      </c>
      <c r="G4" s="24" t="n">
        <v>6.4</v>
      </c>
      <c r="H4" s="23" t="n">
        <v>2725</v>
      </c>
      <c r="I4" s="24" t="n">
        <v>17.2</v>
      </c>
      <c r="J4" s="23" t="n">
        <v>6469</v>
      </c>
      <c r="K4" s="24" t="n">
        <v>15.6</v>
      </c>
      <c r="L4" s="29" t="n">
        <f aca="false">F4*12/J4*100</f>
        <v>4.13665172360489</v>
      </c>
      <c r="M4" s="29" t="n">
        <f aca="false">F4/B4</f>
        <v>1.54861111111111</v>
      </c>
      <c r="N4" s="27" t="n">
        <f aca="false">F4-B4</f>
        <v>7.9</v>
      </c>
      <c r="O4" s="29" t="n">
        <f aca="false">J4/H4</f>
        <v>2.37394495412844</v>
      </c>
    </row>
    <row r="5" customFormat="false" ht="15" hidden="false" customHeight="false" outlineLevel="0" collapsed="false">
      <c r="A5" s="12" t="s">
        <v>244</v>
      </c>
      <c r="B5" s="20" t="n">
        <v>14.5</v>
      </c>
      <c r="C5" s="24" t="n">
        <v>6.3</v>
      </c>
      <c r="D5" s="20" t="n">
        <v>20.3</v>
      </c>
      <c r="E5" s="24" t="n">
        <v>6</v>
      </c>
      <c r="F5" s="20" t="n">
        <v>22.4</v>
      </c>
      <c r="G5" s="24" t="n">
        <v>5.5</v>
      </c>
      <c r="H5" s="23" t="n">
        <v>2739</v>
      </c>
      <c r="I5" s="24" t="n">
        <v>16.8</v>
      </c>
      <c r="J5" s="23" t="n">
        <v>6491</v>
      </c>
      <c r="K5" s="24" t="n">
        <v>13.9</v>
      </c>
      <c r="L5" s="29" t="n">
        <f aca="false">F5*12/J5*100</f>
        <v>4.14111847173009</v>
      </c>
      <c r="M5" s="29" t="n">
        <f aca="false">F5/B5</f>
        <v>1.5448275862069</v>
      </c>
      <c r="N5" s="27" t="n">
        <f aca="false">F5-B5</f>
        <v>7.9</v>
      </c>
      <c r="O5" s="29" t="n">
        <f aca="false">J5/H5</f>
        <v>2.36984300839723</v>
      </c>
    </row>
    <row r="6" customFormat="false" ht="15" hidden="false" customHeight="false" outlineLevel="0" collapsed="false">
      <c r="A6" s="12" t="s">
        <v>245</v>
      </c>
      <c r="B6" s="20" t="n">
        <v>14.6</v>
      </c>
      <c r="C6" s="24" t="n">
        <v>6.8</v>
      </c>
      <c r="D6" s="20" t="n">
        <v>20.5</v>
      </c>
      <c r="E6" s="24" t="n">
        <v>6.8</v>
      </c>
      <c r="F6" s="20" t="n">
        <v>22.5</v>
      </c>
      <c r="G6" s="24" t="n">
        <v>6</v>
      </c>
      <c r="H6" s="23" t="n">
        <v>2771</v>
      </c>
      <c r="I6" s="24" t="n">
        <v>16.4</v>
      </c>
      <c r="J6" s="23" t="n">
        <v>6557</v>
      </c>
      <c r="K6" s="24" t="n">
        <v>12.1</v>
      </c>
      <c r="L6" s="29" t="n">
        <f aca="false">F6*12/J6*100</f>
        <v>4.11773676986427</v>
      </c>
      <c r="M6" s="29" t="n">
        <f aca="false">F6/B6</f>
        <v>1.54109589041096</v>
      </c>
      <c r="N6" s="27" t="n">
        <f aca="false">F6-B6</f>
        <v>7.9</v>
      </c>
      <c r="O6" s="29" t="n">
        <f aca="false">J6/H6</f>
        <v>2.36629375676651</v>
      </c>
    </row>
    <row r="7" customFormat="false" ht="15" hidden="false" customHeight="false" outlineLevel="0" collapsed="false">
      <c r="A7" s="12" t="s">
        <v>246</v>
      </c>
      <c r="B7" s="20" t="n">
        <v>14.7</v>
      </c>
      <c r="C7" s="24" t="n">
        <v>7</v>
      </c>
      <c r="D7" s="20" t="n">
        <v>20.7</v>
      </c>
      <c r="E7" s="24" t="n">
        <v>7.4</v>
      </c>
      <c r="F7" s="20" t="n">
        <v>22.6</v>
      </c>
      <c r="G7" s="24" t="n">
        <v>6.3</v>
      </c>
      <c r="H7" s="23" t="n">
        <v>2807</v>
      </c>
      <c r="I7" s="24" t="n">
        <v>16</v>
      </c>
      <c r="J7" s="23" t="n">
        <v>6606</v>
      </c>
      <c r="K7" s="24" t="n">
        <v>10.3</v>
      </c>
      <c r="L7" s="29" t="n">
        <f aca="false">F7*12/J7*100</f>
        <v>4.10535876475931</v>
      </c>
      <c r="M7" s="29" t="n">
        <f aca="false">F7/B7</f>
        <v>1.53741496598639</v>
      </c>
      <c r="N7" s="27" t="n">
        <f aca="false">F7-B7</f>
        <v>7.9</v>
      </c>
      <c r="O7" s="29" t="n">
        <f aca="false">J7/H7</f>
        <v>2.35340220876381</v>
      </c>
    </row>
    <row r="8" customFormat="false" ht="15" hidden="false" customHeight="false" outlineLevel="0" collapsed="false">
      <c r="A8" s="12" t="s">
        <v>247</v>
      </c>
      <c r="B8" s="20" t="n">
        <v>14.9</v>
      </c>
      <c r="C8" s="24" t="n">
        <v>6.4</v>
      </c>
      <c r="D8" s="20" t="n">
        <v>20.8</v>
      </c>
      <c r="E8" s="24" t="n">
        <v>6.6</v>
      </c>
      <c r="F8" s="20" t="n">
        <v>22.8</v>
      </c>
      <c r="G8" s="24" t="n">
        <v>5.6</v>
      </c>
      <c r="H8" s="23" t="n">
        <v>2839</v>
      </c>
      <c r="I8" s="24" t="n">
        <v>15</v>
      </c>
      <c r="J8" s="23" t="n">
        <v>6619</v>
      </c>
      <c r="K8" s="24" t="n">
        <v>8.4</v>
      </c>
      <c r="L8" s="29" t="n">
        <f aca="false">F8*12/J8*100</f>
        <v>4.13355491766128</v>
      </c>
      <c r="M8" s="29" t="n">
        <f aca="false">F8/B8</f>
        <v>1.53020134228188</v>
      </c>
      <c r="N8" s="27" t="n">
        <f aca="false">F8-B8</f>
        <v>7.9</v>
      </c>
      <c r="O8" s="29" t="n">
        <f aca="false">J8/H8</f>
        <v>2.33145473758366</v>
      </c>
    </row>
    <row r="9" customFormat="false" ht="15" hidden="false" customHeight="false" outlineLevel="0" collapsed="false">
      <c r="A9" s="12" t="s">
        <v>248</v>
      </c>
      <c r="B9" s="20" t="n">
        <v>15</v>
      </c>
      <c r="C9" s="24" t="n">
        <v>6.1</v>
      </c>
      <c r="D9" s="20" t="n">
        <v>21</v>
      </c>
      <c r="E9" s="24" t="n">
        <v>6.3</v>
      </c>
      <c r="F9" s="20" t="n">
        <v>22.9</v>
      </c>
      <c r="G9" s="24" t="n">
        <v>5.5</v>
      </c>
      <c r="H9" s="23" t="n">
        <v>2881</v>
      </c>
      <c r="I9" s="24" t="n">
        <v>14.7</v>
      </c>
      <c r="J9" s="23" t="n">
        <v>6609</v>
      </c>
      <c r="K9" s="24" t="n">
        <v>6.3</v>
      </c>
      <c r="L9" s="29" t="n">
        <f aca="false">F9*12/J9*100</f>
        <v>4.15796640944167</v>
      </c>
      <c r="M9" s="29" t="n">
        <f aca="false">F9/B9</f>
        <v>1.52666666666667</v>
      </c>
      <c r="N9" s="27" t="n">
        <f aca="false">F9-B9</f>
        <v>7.9</v>
      </c>
      <c r="O9" s="29" t="n">
        <f aca="false">J9/H9</f>
        <v>2.29399514057619</v>
      </c>
    </row>
    <row r="10" customFormat="false" ht="15" hidden="false" customHeight="false" outlineLevel="0" collapsed="false">
      <c r="A10" s="12" t="s">
        <v>249</v>
      </c>
      <c r="B10" s="20" t="n">
        <v>15.2</v>
      </c>
      <c r="C10" s="24" t="n">
        <v>6.3</v>
      </c>
      <c r="D10" s="20" t="n">
        <v>21.3</v>
      </c>
      <c r="E10" s="24" t="n">
        <v>6.3</v>
      </c>
      <c r="F10" s="20" t="n">
        <v>23.1</v>
      </c>
      <c r="G10" s="24" t="n">
        <v>5.4</v>
      </c>
      <c r="H10" s="23" t="n">
        <v>2914</v>
      </c>
      <c r="I10" s="24" t="n">
        <v>13.9</v>
      </c>
      <c r="J10" s="23" t="n">
        <v>6576</v>
      </c>
      <c r="K10" s="24" t="n">
        <v>3.9</v>
      </c>
      <c r="L10" s="29" t="n">
        <f aca="false">F10*12/J10*100</f>
        <v>4.21532846715329</v>
      </c>
      <c r="M10" s="29" t="n">
        <f aca="false">F10/B10</f>
        <v>1.51973684210526</v>
      </c>
      <c r="N10" s="27" t="n">
        <f aca="false">F10-B10</f>
        <v>7.9</v>
      </c>
      <c r="O10" s="29" t="n">
        <f aca="false">J10/H10</f>
        <v>2.2566918325326</v>
      </c>
    </row>
    <row r="11" customFormat="false" ht="15" hidden="false" customHeight="false" outlineLevel="0" collapsed="false">
      <c r="A11" s="12" t="s">
        <v>250</v>
      </c>
      <c r="B11" s="20" t="n">
        <v>15.3</v>
      </c>
      <c r="C11" s="24" t="n">
        <v>6.8</v>
      </c>
      <c r="D11" s="20" t="n">
        <v>21.4</v>
      </c>
      <c r="E11" s="24" t="n">
        <v>6.6</v>
      </c>
      <c r="F11" s="20" t="n">
        <v>23.2</v>
      </c>
      <c r="G11" s="24" t="n">
        <v>5.8</v>
      </c>
      <c r="H11" s="23" t="n">
        <v>2933</v>
      </c>
      <c r="I11" s="24" t="n">
        <v>13.1</v>
      </c>
      <c r="J11" s="23" t="n">
        <v>6547</v>
      </c>
      <c r="K11" s="24" t="n">
        <v>3.1</v>
      </c>
      <c r="L11" s="29" t="n">
        <f aca="false">F11*12/J11*100</f>
        <v>4.25232931113487</v>
      </c>
      <c r="M11" s="29" t="n">
        <f aca="false">F11/B11</f>
        <v>1.51633986928105</v>
      </c>
      <c r="N11" s="27" t="n">
        <f aca="false">F11-B11</f>
        <v>7.9</v>
      </c>
      <c r="O11" s="29" t="n">
        <f aca="false">J11/H11</f>
        <v>2.23218547562223</v>
      </c>
    </row>
    <row r="12" customFormat="false" ht="15" hidden="false" customHeight="false" outlineLevel="0" collapsed="false">
      <c r="A12" s="12" t="s">
        <v>251</v>
      </c>
      <c r="B12" s="20" t="n">
        <v>15.1</v>
      </c>
      <c r="C12" s="24" t="n">
        <v>5.8</v>
      </c>
      <c r="D12" s="20" t="n">
        <v>21.5</v>
      </c>
      <c r="E12" s="24" t="n">
        <v>5.9</v>
      </c>
      <c r="F12" s="20" t="n">
        <v>23.3</v>
      </c>
      <c r="G12" s="24" t="n">
        <v>5.1</v>
      </c>
      <c r="H12" s="23" t="n">
        <v>2924</v>
      </c>
      <c r="I12" s="24" t="n">
        <v>12.5</v>
      </c>
      <c r="J12" s="23" t="n">
        <v>6471</v>
      </c>
      <c r="K12" s="24" t="n">
        <v>2.2</v>
      </c>
      <c r="L12" s="29" t="n">
        <f aca="false">F12*12/J12*100</f>
        <v>4.32081594807603</v>
      </c>
      <c r="M12" s="29" t="n">
        <f aca="false">F12/B12</f>
        <v>1.54304635761589</v>
      </c>
      <c r="N12" s="27" t="n">
        <f aca="false">F12-B12</f>
        <v>8.2</v>
      </c>
      <c r="O12" s="29" t="n">
        <f aca="false">J12/H12</f>
        <v>2.21306429548564</v>
      </c>
    </row>
    <row r="13" customFormat="false" ht="15" hidden="false" customHeight="false" outlineLevel="0" collapsed="false">
      <c r="A13" s="12" t="s">
        <v>252</v>
      </c>
      <c r="B13" s="20" t="n">
        <v>15.1</v>
      </c>
      <c r="C13" s="24" t="n">
        <v>5.6</v>
      </c>
      <c r="D13" s="20" t="n">
        <v>21.6</v>
      </c>
      <c r="E13" s="24" t="n">
        <v>5.7</v>
      </c>
      <c r="F13" s="20" t="n">
        <v>23.4</v>
      </c>
      <c r="G13" s="24" t="n">
        <v>4.8</v>
      </c>
      <c r="H13" s="23" t="n">
        <v>2930</v>
      </c>
      <c r="I13" s="24" t="n">
        <v>11.8</v>
      </c>
      <c r="J13" s="23" t="n">
        <v>6458</v>
      </c>
      <c r="K13" s="24" t="n">
        <v>2.4</v>
      </c>
      <c r="L13" s="29" t="n">
        <f aca="false">F13*12/J13*100</f>
        <v>4.34809538556829</v>
      </c>
      <c r="M13" s="29" t="n">
        <f aca="false">F13/B13</f>
        <v>1.54966887417219</v>
      </c>
      <c r="N13" s="27" t="n">
        <f aca="false">F13-B13</f>
        <v>8.3</v>
      </c>
      <c r="O13" s="29" t="n">
        <f aca="false">J13/H13</f>
        <v>2.20409556313993</v>
      </c>
    </row>
    <row r="15" customFormat="false" ht="15" hidden="false" customHeight="false" outlineLevel="0" collapsed="false">
      <c r="A15" s="2" t="s">
        <v>677</v>
      </c>
      <c r="B15" s="14" t="n">
        <f aca="false">(B13/B2-1)*100</f>
        <v>5.59440559440558</v>
      </c>
      <c r="D15" s="14" t="n">
        <f aca="false">(D13/D2-1)*100</f>
        <v>5.36585365853659</v>
      </c>
      <c r="F15" s="14" t="n">
        <f aca="false">(F13/F2-1)*100</f>
        <v>4.46428571428572</v>
      </c>
      <c r="H15" s="14" t="n">
        <f aca="false">(H13/H2-1)*100</f>
        <v>10.2332580887886</v>
      </c>
      <c r="J15" s="14" t="n">
        <f aca="false">(J13/J2-1)*100</f>
        <v>1.81302222922908</v>
      </c>
    </row>
    <row r="16" customFormat="false" ht="15" hidden="false" customHeight="false" outlineLevel="0" collapsed="false">
      <c r="A16" s="2" t="s">
        <v>678</v>
      </c>
      <c r="B16" s="31" t="n">
        <f aca="false">AVERAGE(B2:B13)</f>
        <v>14.7833333333333</v>
      </c>
      <c r="D16" s="31" t="n">
        <f aca="false">AVERAGE(D2:D13)</f>
        <v>20.8583333333333</v>
      </c>
      <c r="F16" s="31" t="n">
        <f aca="false">AVERAGE(F2:F13)</f>
        <v>22.775</v>
      </c>
      <c r="H16" s="31" t="n">
        <f aca="false">AVERAGE(H2:H13)</f>
        <v>2818.5</v>
      </c>
      <c r="J16" s="31" t="n">
        <f aca="false">AVERAGE(J2:J13)</f>
        <v>6514</v>
      </c>
    </row>
    <row r="18" customFormat="false" ht="15" hidden="false" customHeight="false" outlineLevel="0" collapsed="false">
      <c r="A18" s="11" t="s">
        <v>679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3" min="2" style="0" width="16"/>
    <col collapsed="false" customWidth="true" hidden="false" outlineLevel="0" max="4" min="4" style="0" width="18"/>
    <col collapsed="false" customWidth="true" hidden="false" outlineLevel="0" max="6" min="5" style="0" width="16"/>
    <col collapsed="false" customWidth="true" hidden="false" outlineLevel="0" max="7" min="7" style="0" width="18"/>
    <col collapsed="false" customWidth="true" hidden="false" outlineLevel="0" max="8" min="8" style="0" width="16"/>
    <col collapsed="false" customWidth="true" hidden="false" outlineLevel="0" max="9" min="9" style="0" width="14"/>
  </cols>
  <sheetData>
    <row r="1" customFormat="false" ht="17.35" hidden="false" customHeight="false" outlineLevel="0" collapsed="false">
      <c r="A1" s="1" t="s">
        <v>680</v>
      </c>
    </row>
    <row r="2" customFormat="false" ht="15" hidden="false" customHeight="false" outlineLevel="0" collapsed="false">
      <c r="A2" s="11" t="s">
        <v>681</v>
      </c>
    </row>
    <row r="4" customFormat="false" ht="15" hidden="false" customHeight="false" outlineLevel="0" collapsed="false">
      <c r="A4" s="2" t="s">
        <v>682</v>
      </c>
      <c r="B4" s="22" t="n">
        <v>70</v>
      </c>
      <c r="C4" s="11" t="s">
        <v>683</v>
      </c>
    </row>
    <row r="5" customFormat="false" ht="15" hidden="false" customHeight="false" outlineLevel="0" collapsed="false">
      <c r="A5" s="2" t="s">
        <v>684</v>
      </c>
      <c r="B5" s="22" t="n">
        <v>30</v>
      </c>
      <c r="C5" s="11" t="s">
        <v>685</v>
      </c>
    </row>
    <row r="6" customFormat="false" ht="15" hidden="false" customHeight="false" outlineLevel="0" collapsed="false">
      <c r="A6" s="2" t="s">
        <v>686</v>
      </c>
      <c r="B6" s="23" t="n">
        <v>17094</v>
      </c>
      <c r="C6" s="11" t="s">
        <v>687</v>
      </c>
    </row>
    <row r="8" customFormat="false" ht="61.5" hidden="false" customHeight="true" outlineLevel="0" collapsed="false">
      <c r="A8" s="4" t="s">
        <v>118</v>
      </c>
      <c r="B8" s="4" t="s">
        <v>688</v>
      </c>
      <c r="C8" s="4" t="s">
        <v>689</v>
      </c>
      <c r="D8" s="4" t="s">
        <v>690</v>
      </c>
      <c r="E8" s="4" t="s">
        <v>691</v>
      </c>
      <c r="F8" s="4" t="s">
        <v>692</v>
      </c>
      <c r="G8" s="4" t="s">
        <v>693</v>
      </c>
      <c r="H8" s="4" t="s">
        <v>694</v>
      </c>
      <c r="I8" s="4" t="s">
        <v>695</v>
      </c>
    </row>
    <row r="9" customFormat="false" ht="15" hidden="false" customHeight="false" outlineLevel="0" collapsed="false">
      <c r="A9" s="2" t="s">
        <v>68</v>
      </c>
      <c r="B9" s="32" t="n">
        <f aca="false">Idealista_CCAA!B2</f>
        <v>15.1</v>
      </c>
      <c r="C9" s="16" t="n">
        <f aca="false">B9*$B$4</f>
        <v>1057</v>
      </c>
      <c r="D9" s="26" t="n">
        <v>24497.17</v>
      </c>
      <c r="E9" s="16" t="n">
        <f aca="false">D9/12</f>
        <v>2041.43083333333</v>
      </c>
      <c r="F9" s="27" t="n">
        <f aca="false">C9/E9*100</f>
        <v>51.7774093905541</v>
      </c>
      <c r="G9" s="30" t="n">
        <f aca="false">C9/($B$5/100)</f>
        <v>3523.33333333333</v>
      </c>
      <c r="H9" s="27" t="n">
        <f aca="false">C9/($B$6/12)*100</f>
        <v>74.2014742014742</v>
      </c>
    </row>
    <row r="10" customFormat="false" ht="15" hidden="false" customHeight="false" outlineLevel="0" collapsed="false">
      <c r="A10" s="12" t="s">
        <v>278</v>
      </c>
      <c r="B10" s="32" t="n">
        <f aca="false">Idealista_CCAA!B3</f>
        <v>14.1</v>
      </c>
      <c r="C10" s="16" t="n">
        <f aca="false">B10*$B$4</f>
        <v>987</v>
      </c>
      <c r="D10" s="26" t="n">
        <v>21557.4</v>
      </c>
      <c r="E10" s="16" t="n">
        <f aca="false">D10/12</f>
        <v>1796.45</v>
      </c>
      <c r="F10" s="27" t="n">
        <f aca="false">C10/E10*100</f>
        <v>54.9416905563751</v>
      </c>
      <c r="G10" s="30" t="n">
        <f aca="false">C10/($B$5/100)</f>
        <v>3290</v>
      </c>
      <c r="H10" s="27" t="n">
        <f aca="false">C10/($B$6/12)*100</f>
        <v>69.2874692874693</v>
      </c>
      <c r="I10" s="25" t="n">
        <f aca="false">RANK(F10,F$10:F$26,0)</f>
        <v>4</v>
      </c>
    </row>
    <row r="11" customFormat="false" ht="15" hidden="false" customHeight="false" outlineLevel="0" collapsed="false">
      <c r="A11" s="12" t="s">
        <v>279</v>
      </c>
      <c r="B11" s="32" t="n">
        <f aca="false">Idealista_CCAA!B4</f>
        <v>11.2</v>
      </c>
      <c r="C11" s="16" t="n">
        <f aca="false">B11*$B$4</f>
        <v>784</v>
      </c>
      <c r="D11" s="26" t="n">
        <v>24936.2</v>
      </c>
      <c r="E11" s="16" t="n">
        <f aca="false">D11/12</f>
        <v>2078.01666666667</v>
      </c>
      <c r="F11" s="27" t="n">
        <f aca="false">C11/E11*100</f>
        <v>37.7282825771369</v>
      </c>
      <c r="G11" s="30" t="n">
        <f aca="false">C11/($B$5/100)</f>
        <v>2613.33333333333</v>
      </c>
      <c r="H11" s="27" t="n">
        <f aca="false">C11/($B$6/12)*100</f>
        <v>55.036855036855</v>
      </c>
      <c r="I11" s="25" t="n">
        <f aca="false">RANK(F11,F$10:F$26,0)</f>
        <v>10</v>
      </c>
    </row>
    <row r="12" customFormat="false" ht="15" hidden="false" customHeight="false" outlineLevel="0" collapsed="false">
      <c r="A12" s="12" t="s">
        <v>335</v>
      </c>
      <c r="B12" s="32" t="n">
        <f aca="false">Idealista_CCAA!B5</f>
        <v>10.9</v>
      </c>
      <c r="C12" s="16" t="n">
        <f aca="false">B12*$B$4</f>
        <v>763</v>
      </c>
      <c r="D12" s="26" t="n">
        <v>24196.64</v>
      </c>
      <c r="E12" s="16" t="n">
        <f aca="false">D12/12</f>
        <v>2016.38666666667</v>
      </c>
      <c r="F12" s="27" t="n">
        <f aca="false">C12/E12*100</f>
        <v>37.8399645570625</v>
      </c>
      <c r="G12" s="30" t="n">
        <f aca="false">C12/($B$5/100)</f>
        <v>2543.33333333333</v>
      </c>
      <c r="H12" s="27" t="n">
        <f aca="false">C12/($B$6/12)*100</f>
        <v>53.5626535626536</v>
      </c>
      <c r="I12" s="25" t="n">
        <f aca="false">RANK(F12,F$10:F$26,0)</f>
        <v>9</v>
      </c>
    </row>
    <row r="13" customFormat="false" ht="15" hidden="false" customHeight="false" outlineLevel="0" collapsed="false">
      <c r="A13" s="12" t="s">
        <v>337</v>
      </c>
      <c r="B13" s="32" t="n">
        <f aca="false">Idealista_CCAA!B6</f>
        <v>20.2</v>
      </c>
      <c r="C13" s="16" t="n">
        <f aca="false">B13*$B$4</f>
        <v>1414</v>
      </c>
      <c r="D13" s="26" t="n">
        <v>24962.01</v>
      </c>
      <c r="E13" s="16" t="n">
        <f aca="false">D13/12</f>
        <v>2080.1675</v>
      </c>
      <c r="F13" s="27" t="n">
        <f aca="false">C13/E13*100</f>
        <v>67.9752952586751</v>
      </c>
      <c r="G13" s="30" t="n">
        <f aca="false">C13/($B$5/100)</f>
        <v>4713.33333333333</v>
      </c>
      <c r="H13" s="27" t="n">
        <f aca="false">C13/($B$6/12)*100</f>
        <v>99.2628992628993</v>
      </c>
      <c r="I13" s="25" t="n">
        <f aca="false">RANK(F13,F$10:F$26,0)</f>
        <v>1</v>
      </c>
    </row>
    <row r="14" customFormat="false" ht="15" hidden="false" customHeight="false" outlineLevel="0" collapsed="false">
      <c r="A14" s="12" t="s">
        <v>282</v>
      </c>
      <c r="B14" s="32" t="n">
        <f aca="false">Idealista_CCAA!B7</f>
        <v>15.2</v>
      </c>
      <c r="C14" s="16" t="n">
        <f aca="false">B14*$B$4</f>
        <v>1064</v>
      </c>
      <c r="D14" s="26" t="n">
        <v>20631.84</v>
      </c>
      <c r="E14" s="16" t="n">
        <f aca="false">D14/12</f>
        <v>1719.32</v>
      </c>
      <c r="F14" s="27" t="n">
        <f aca="false">C14/E14*100</f>
        <v>61.8849312518903</v>
      </c>
      <c r="G14" s="30" t="n">
        <f aca="false">C14/($B$5/100)</f>
        <v>3546.66666666667</v>
      </c>
      <c r="H14" s="27" t="n">
        <f aca="false">C14/($B$6/12)*100</f>
        <v>74.6928746928747</v>
      </c>
      <c r="I14" s="25" t="n">
        <f aca="false">RANK(F14,F$10:F$26,0)</f>
        <v>3</v>
      </c>
    </row>
    <row r="15" customFormat="false" ht="15" hidden="false" customHeight="false" outlineLevel="0" collapsed="false">
      <c r="A15" s="12" t="s">
        <v>283</v>
      </c>
      <c r="B15" s="32" t="n">
        <f aca="false">Idealista_CCAA!B8</f>
        <v>11.8</v>
      </c>
      <c r="C15" s="16" t="n">
        <f aca="false">B15*$B$4</f>
        <v>826</v>
      </c>
      <c r="D15" s="26" t="n">
        <v>23246.78</v>
      </c>
      <c r="E15" s="16" t="n">
        <f aca="false">D15/12</f>
        <v>1937.23166666667</v>
      </c>
      <c r="F15" s="27" t="n">
        <f aca="false">C15/E15*100</f>
        <v>42.6381632208848</v>
      </c>
      <c r="G15" s="30" t="n">
        <f aca="false">C15/($B$5/100)</f>
        <v>2753.33333333333</v>
      </c>
      <c r="H15" s="27" t="n">
        <f aca="false">C15/($B$6/12)*100</f>
        <v>57.985257985258</v>
      </c>
      <c r="I15" s="25" t="n">
        <f aca="false">RANK(F15,F$10:F$26,0)</f>
        <v>7</v>
      </c>
    </row>
    <row r="16" customFormat="false" ht="15" hidden="false" customHeight="false" outlineLevel="0" collapsed="false">
      <c r="A16" s="12" t="s">
        <v>284</v>
      </c>
      <c r="B16" s="32" t="n">
        <f aca="false">Idealista_CCAA!B9</f>
        <v>9.7</v>
      </c>
      <c r="C16" s="16" t="n">
        <f aca="false">B16*$B$4</f>
        <v>679</v>
      </c>
      <c r="D16" s="26" t="n">
        <v>22566.96</v>
      </c>
      <c r="E16" s="16" t="n">
        <f aca="false">D16/12</f>
        <v>1880.58</v>
      </c>
      <c r="F16" s="27" t="n">
        <f aca="false">C16/E16*100</f>
        <v>36.1058822278233</v>
      </c>
      <c r="G16" s="30" t="n">
        <f aca="false">C16/($B$5/100)</f>
        <v>2263.33333333333</v>
      </c>
      <c r="H16" s="27" t="n">
        <f aca="false">C16/($B$6/12)*100</f>
        <v>47.6658476658477</v>
      </c>
      <c r="I16" s="25" t="n">
        <f aca="false">RANK(F16,F$10:F$26,0)</f>
        <v>13</v>
      </c>
    </row>
    <row r="17" customFormat="false" ht="15" hidden="false" customHeight="false" outlineLevel="0" collapsed="false">
      <c r="A17" s="12" t="s">
        <v>285</v>
      </c>
      <c r="B17" s="32" t="n">
        <f aca="false">Idealista_CCAA!B10</f>
        <v>8.8</v>
      </c>
      <c r="C17" s="16" t="n">
        <f aca="false">B17*$B$4</f>
        <v>616</v>
      </c>
      <c r="D17" s="26" t="n">
        <v>22045.52</v>
      </c>
      <c r="E17" s="16" t="n">
        <f aca="false">D17/12</f>
        <v>1837.12666666667</v>
      </c>
      <c r="F17" s="27" t="n">
        <f aca="false">C17/E17*100</f>
        <v>33.5306220946478</v>
      </c>
      <c r="G17" s="30" t="n">
        <f aca="false">C17/($B$5/100)</f>
        <v>2053.33333333333</v>
      </c>
      <c r="H17" s="27" t="n">
        <f aca="false">C17/($B$6/12)*100</f>
        <v>43.2432432432432</v>
      </c>
      <c r="I17" s="25" t="n">
        <f aca="false">RANK(F17,F$10:F$26,0)</f>
        <v>14</v>
      </c>
    </row>
    <row r="18" customFormat="false" ht="15" hidden="false" customHeight="false" outlineLevel="0" collapsed="false">
      <c r="A18" s="12" t="s">
        <v>286</v>
      </c>
      <c r="B18" s="32" t="n">
        <f aca="false">Idealista_CCAA!B11</f>
        <v>15.9</v>
      </c>
      <c r="C18" s="16" t="n">
        <f aca="false">B18*$B$4</f>
        <v>1113</v>
      </c>
      <c r="D18" s="26" t="n">
        <v>27132.93</v>
      </c>
      <c r="E18" s="16" t="n">
        <f aca="false">D18/12</f>
        <v>2261.0775</v>
      </c>
      <c r="F18" s="27" t="n">
        <f aca="false">C18/E18*100</f>
        <v>49.2243189364363</v>
      </c>
      <c r="G18" s="30" t="n">
        <f aca="false">C18/($B$5/100)</f>
        <v>3710</v>
      </c>
      <c r="H18" s="27" t="n">
        <f aca="false">C18/($B$6/12)*100</f>
        <v>78.1326781326781</v>
      </c>
      <c r="I18" s="25" t="n">
        <f aca="false">RANK(F18,F$10:F$26,0)</f>
        <v>5</v>
      </c>
    </row>
    <row r="19" customFormat="false" ht="15" hidden="false" customHeight="false" outlineLevel="0" collapsed="false">
      <c r="A19" s="12" t="s">
        <v>344</v>
      </c>
      <c r="B19" s="32" t="n">
        <f aca="false">Idealista_CCAA!B13</f>
        <v>13.2</v>
      </c>
      <c r="C19" s="16" t="n">
        <f aca="false">B19*$B$4</f>
        <v>924</v>
      </c>
      <c r="D19" s="26" t="n">
        <v>22652.43</v>
      </c>
      <c r="E19" s="16" t="n">
        <f aca="false">D19/12</f>
        <v>1887.7025</v>
      </c>
      <c r="F19" s="27" t="n">
        <f aca="false">C19/E19*100</f>
        <v>48.9483909673267</v>
      </c>
      <c r="G19" s="30" t="n">
        <f aca="false">C19/($B$5/100)</f>
        <v>3080</v>
      </c>
      <c r="H19" s="27" t="n">
        <f aca="false">C19/($B$6/12)*100</f>
        <v>64.8648648648649</v>
      </c>
      <c r="I19" s="25" t="n">
        <f aca="false">RANK(F19,F$10:F$26,0)</f>
        <v>6</v>
      </c>
    </row>
    <row r="20" customFormat="false" ht="15" hidden="false" customHeight="false" outlineLevel="0" collapsed="false">
      <c r="A20" s="12" t="s">
        <v>346</v>
      </c>
      <c r="B20" s="32" t="n">
        <f aca="false">Idealista_CCAA!B14</f>
        <v>15</v>
      </c>
      <c r="C20" s="16" t="n">
        <f aca="false">B20*$B$4</f>
        <v>1050</v>
      </c>
      <c r="D20" s="26" t="n">
        <v>31912.13</v>
      </c>
      <c r="E20" s="16" t="n">
        <f aca="false">D20/12</f>
        <v>2659.34416666667</v>
      </c>
      <c r="F20" s="27" t="n">
        <f aca="false">C20/E20*100</f>
        <v>39.4834190008627</v>
      </c>
      <c r="G20" s="30" t="n">
        <f aca="false">C20/($B$5/100)</f>
        <v>3500</v>
      </c>
      <c r="H20" s="27" t="n">
        <f aca="false">C20/($B$6/12)*100</f>
        <v>73.7100737100737</v>
      </c>
      <c r="I20" s="25" t="n">
        <f aca="false">RANK(F20,F$10:F$26,0)</f>
        <v>8</v>
      </c>
    </row>
    <row r="21" customFormat="false" ht="15" hidden="false" customHeight="false" outlineLevel="0" collapsed="false">
      <c r="A21" s="12" t="s">
        <v>288</v>
      </c>
      <c r="B21" s="32" t="n">
        <f aca="false">Idealista_CCAA!B15</f>
        <v>7.7</v>
      </c>
      <c r="C21" s="16" t="n">
        <f aca="false">B21*$B$4</f>
        <v>539</v>
      </c>
      <c r="D21" s="26" t="n">
        <v>20904.64</v>
      </c>
      <c r="E21" s="16" t="n">
        <f aca="false">D21/12</f>
        <v>1742.05333333333</v>
      </c>
      <c r="F21" s="27" t="n">
        <f aca="false">C21/E21*100</f>
        <v>30.9404993341191</v>
      </c>
      <c r="G21" s="30" t="n">
        <f aca="false">C21/($B$5/100)</f>
        <v>1796.66666666667</v>
      </c>
      <c r="H21" s="27" t="n">
        <f aca="false">C21/($B$6/12)*100</f>
        <v>37.8378378378378</v>
      </c>
      <c r="I21" s="25" t="n">
        <f aca="false">RANK(F21,F$10:F$26,0)</f>
        <v>16</v>
      </c>
    </row>
    <row r="22" customFormat="false" ht="15" hidden="false" customHeight="false" outlineLevel="0" collapsed="false">
      <c r="A22" s="12" t="s">
        <v>289</v>
      </c>
      <c r="B22" s="32" t="n">
        <f aca="false">Idealista_CCAA!B16</f>
        <v>9.9</v>
      </c>
      <c r="C22" s="16" t="n">
        <f aca="false">B22*$B$4</f>
        <v>693</v>
      </c>
      <c r="D22" s="26" t="n">
        <v>22603.14</v>
      </c>
      <c r="E22" s="16" t="n">
        <f aca="false">D22/12</f>
        <v>1883.595</v>
      </c>
      <c r="F22" s="27" t="n">
        <f aca="false">C22/E22*100</f>
        <v>36.7913484586655</v>
      </c>
      <c r="G22" s="30" t="n">
        <f aca="false">C22/($B$5/100)</f>
        <v>2310</v>
      </c>
      <c r="H22" s="27" t="n">
        <f aca="false">C22/($B$6/12)*100</f>
        <v>48.6486486486487</v>
      </c>
      <c r="I22" s="25" t="n">
        <f aca="false">RANK(F22,F$10:F$26,0)</f>
        <v>12</v>
      </c>
    </row>
    <row r="23" customFormat="false" ht="15" hidden="false" customHeight="false" outlineLevel="0" collapsed="false">
      <c r="A23" s="12" t="s">
        <v>350</v>
      </c>
      <c r="B23" s="32" t="n">
        <f aca="false">Idealista_CCAA!B17</f>
        <v>9.5</v>
      </c>
      <c r="C23" s="16" t="n">
        <f aca="false">B23*$B$4</f>
        <v>665</v>
      </c>
      <c r="D23" s="26" t="n">
        <v>24501.28</v>
      </c>
      <c r="E23" s="16" t="n">
        <f aca="false">D23/12</f>
        <v>2041.77333333333</v>
      </c>
      <c r="F23" s="27" t="n">
        <f aca="false">C23/E23*100</f>
        <v>32.5697269693665</v>
      </c>
      <c r="G23" s="30" t="n">
        <f aca="false">C23/($B$5/100)</f>
        <v>2216.66666666667</v>
      </c>
      <c r="H23" s="27" t="n">
        <f aca="false">C23/($B$6/12)*100</f>
        <v>46.6830466830467</v>
      </c>
      <c r="I23" s="25" t="n">
        <f aca="false">RANK(F23,F$10:F$26,0)</f>
        <v>15</v>
      </c>
    </row>
    <row r="24" customFormat="false" ht="15" hidden="false" customHeight="false" outlineLevel="0" collapsed="false">
      <c r="A24" s="12" t="s">
        <v>352</v>
      </c>
      <c r="B24" s="32" t="n">
        <f aca="false">Idealista_CCAA!B18</f>
        <v>21.6</v>
      </c>
      <c r="C24" s="16" t="n">
        <f aca="false">B24*$B$4</f>
        <v>1512</v>
      </c>
      <c r="D24" s="26" t="n">
        <v>28037.75</v>
      </c>
      <c r="E24" s="16" t="n">
        <f aca="false">D24/12</f>
        <v>2336.47916666667</v>
      </c>
      <c r="F24" s="27" t="n">
        <f aca="false">C24/E24*100</f>
        <v>64.7127533414771</v>
      </c>
      <c r="G24" s="30" t="n">
        <f aca="false">C24/($B$5/100)</f>
        <v>5040</v>
      </c>
      <c r="H24" s="27" t="n">
        <f aca="false">C24/($B$6/12)*100</f>
        <v>106.142506142506</v>
      </c>
      <c r="I24" s="25" t="n">
        <f aca="false">RANK(F24,F$10:F$26,0)</f>
        <v>2</v>
      </c>
    </row>
    <row r="25" customFormat="false" ht="15" hidden="false" customHeight="false" outlineLevel="0" collapsed="false">
      <c r="A25" s="12" t="s">
        <v>355</v>
      </c>
      <c r="B25" s="32" t="n">
        <f aca="false">Idealista_CCAA!B20</f>
        <v>9.5</v>
      </c>
      <c r="C25" s="16" t="n">
        <f aca="false">B25*$B$4</f>
        <v>665</v>
      </c>
      <c r="D25" s="26" t="n">
        <v>21672.45</v>
      </c>
      <c r="E25" s="16" t="n">
        <f aca="false">D25/12</f>
        <v>1806.0375</v>
      </c>
      <c r="F25" s="27" t="n">
        <f aca="false">C25/E25*100</f>
        <v>36.8209408719365</v>
      </c>
      <c r="G25" s="30" t="n">
        <f aca="false">C25/($B$5/100)</f>
        <v>2216.66666666667</v>
      </c>
      <c r="H25" s="27" t="n">
        <f aca="false">C25/($B$6/12)*100</f>
        <v>46.6830466830467</v>
      </c>
      <c r="I25" s="25" t="n">
        <f aca="false">RANK(F25,F$10:F$26,0)</f>
        <v>11</v>
      </c>
    </row>
    <row r="26" customFormat="false" ht="15" hidden="false" customHeight="false" outlineLevel="0" collapsed="false">
      <c r="A26" s="12" t="s">
        <v>357</v>
      </c>
      <c r="B26" s="32" t="n">
        <f aca="false">Idealista_CCAA!B21</f>
        <v>10.6</v>
      </c>
      <c r="C26" s="16" t="n">
        <f aca="false">B26*$B$4</f>
        <v>742</v>
      </c>
      <c r="D26" s="26" t="n">
        <v>29385.02</v>
      </c>
      <c r="E26" s="16" t="n">
        <f aca="false">D26/12</f>
        <v>2448.75166666667</v>
      </c>
      <c r="F26" s="27" t="n">
        <f aca="false">C26/E26*100</f>
        <v>30.3011534448505</v>
      </c>
      <c r="G26" s="30" t="n">
        <f aca="false">C26/($B$5/100)</f>
        <v>2473.33333333333</v>
      </c>
      <c r="H26" s="27" t="n">
        <f aca="false">C26/($B$6/12)*100</f>
        <v>52.0884520884521</v>
      </c>
      <c r="I26" s="25" t="n">
        <f aca="false">RANK(F26,F$10:F$26,0)</f>
        <v>17</v>
      </c>
    </row>
    <row r="28" customFormat="false" ht="51.75" hidden="false" customHeight="true" outlineLevel="0" collapsed="false">
      <c r="A28" s="28" t="s">
        <v>696</v>
      </c>
      <c r="B28" s="28"/>
      <c r="C28" s="28"/>
      <c r="D28" s="28"/>
      <c r="E28" s="28"/>
      <c r="F28" s="28"/>
      <c r="G28" s="28"/>
      <c r="H28" s="28"/>
      <c r="I28" s="28"/>
    </row>
  </sheetData>
  <mergeCells count="1">
    <mergeCell ref="A28:I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22"/>
    <col collapsed="false" customWidth="true" hidden="false" outlineLevel="0" max="3" min="3" style="0" width="26"/>
    <col collapsed="false" customWidth="true" hidden="false" outlineLevel="0" max="4" min="4" style="0" width="70"/>
    <col collapsed="false" customWidth="true" hidden="false" outlineLevel="0" max="5" min="5" style="0" width="32"/>
    <col collapsed="false" customWidth="true" hidden="false" outlineLevel="0" max="6" min="6" style="0" width="16"/>
    <col collapsed="false" customWidth="true" hidden="false" outlineLevel="0" max="7" min="7" style="0" width="60"/>
  </cols>
  <sheetData>
    <row r="1" customFormat="false" ht="23.85" hidden="false" customHeight="false" outlineLevel="0" collapsed="false">
      <c r="A1" s="4" t="s">
        <v>697</v>
      </c>
      <c r="B1" s="4" t="s">
        <v>698</v>
      </c>
      <c r="C1" s="4" t="s">
        <v>699</v>
      </c>
      <c r="D1" s="4" t="s">
        <v>700</v>
      </c>
      <c r="E1" s="4" t="s">
        <v>7</v>
      </c>
      <c r="F1" s="4" t="s">
        <v>701</v>
      </c>
      <c r="G1" s="4" t="s">
        <v>702</v>
      </c>
    </row>
    <row r="2" customFormat="false" ht="23.85" hidden="false" customHeight="false" outlineLevel="0" collapsed="false">
      <c r="A2" s="5" t="s">
        <v>703</v>
      </c>
      <c r="B2" s="5" t="s">
        <v>704</v>
      </c>
      <c r="C2" s="5" t="s">
        <v>705</v>
      </c>
      <c r="D2" s="5" t="s">
        <v>706</v>
      </c>
      <c r="E2" s="5" t="s">
        <v>707</v>
      </c>
      <c r="F2" s="5" t="s">
        <v>708</v>
      </c>
      <c r="G2" s="5" t="s">
        <v>709</v>
      </c>
    </row>
    <row r="3" customFormat="false" ht="23.85" hidden="false" customHeight="false" outlineLevel="0" collapsed="false">
      <c r="A3" s="5" t="s">
        <v>710</v>
      </c>
      <c r="B3" s="5" t="s">
        <v>704</v>
      </c>
      <c r="C3" s="5" t="s">
        <v>711</v>
      </c>
      <c r="D3" s="5" t="s">
        <v>712</v>
      </c>
      <c r="E3" s="5" t="s">
        <v>18</v>
      </c>
      <c r="F3" s="5" t="s">
        <v>708</v>
      </c>
      <c r="G3" s="5" t="s">
        <v>709</v>
      </c>
    </row>
    <row r="4" customFormat="false" ht="23.85" hidden="false" customHeight="false" outlineLevel="0" collapsed="false">
      <c r="A4" s="5" t="s">
        <v>713</v>
      </c>
      <c r="B4" s="5" t="s">
        <v>714</v>
      </c>
      <c r="C4" s="5" t="s">
        <v>715</v>
      </c>
      <c r="D4" s="5" t="s">
        <v>716</v>
      </c>
      <c r="E4" s="5" t="s">
        <v>717</v>
      </c>
      <c r="F4" s="5" t="s">
        <v>708</v>
      </c>
      <c r="G4" s="5" t="s">
        <v>718</v>
      </c>
    </row>
    <row r="5" customFormat="false" ht="23.85" hidden="false" customHeight="false" outlineLevel="0" collapsed="false">
      <c r="A5" s="5" t="s">
        <v>719</v>
      </c>
      <c r="B5" s="5" t="s">
        <v>704</v>
      </c>
      <c r="C5" s="5" t="s">
        <v>720</v>
      </c>
      <c r="D5" s="5" t="s">
        <v>721</v>
      </c>
      <c r="E5" s="5" t="s">
        <v>24</v>
      </c>
      <c r="F5" s="5" t="s">
        <v>708</v>
      </c>
      <c r="G5" s="5" t="s">
        <v>722</v>
      </c>
    </row>
    <row r="6" customFormat="false" ht="15" hidden="false" customHeight="false" outlineLevel="0" collapsed="false">
      <c r="A6" s="5" t="s">
        <v>723</v>
      </c>
      <c r="B6" s="5" t="s">
        <v>704</v>
      </c>
      <c r="C6" s="5" t="s">
        <v>724</v>
      </c>
      <c r="D6" s="5" t="s">
        <v>725</v>
      </c>
      <c r="E6" s="5" t="s">
        <v>27</v>
      </c>
      <c r="F6" s="5" t="s">
        <v>708</v>
      </c>
      <c r="G6" s="5"/>
    </row>
    <row r="7" customFormat="false" ht="23.85" hidden="false" customHeight="false" outlineLevel="0" collapsed="false">
      <c r="A7" s="5" t="s">
        <v>726</v>
      </c>
      <c r="B7" s="5" t="s">
        <v>727</v>
      </c>
      <c r="C7" s="5" t="s">
        <v>728</v>
      </c>
      <c r="D7" s="5" t="s">
        <v>729</v>
      </c>
      <c r="E7" s="5" t="s">
        <v>30</v>
      </c>
      <c r="F7" s="5" t="s">
        <v>708</v>
      </c>
      <c r="G7" s="5" t="s">
        <v>730</v>
      </c>
    </row>
    <row r="8" customFormat="false" ht="35.05" hidden="false" customHeight="false" outlineLevel="0" collapsed="false">
      <c r="A8" s="5" t="s">
        <v>731</v>
      </c>
      <c r="B8" s="5" t="s">
        <v>727</v>
      </c>
      <c r="C8" s="5" t="s">
        <v>732</v>
      </c>
      <c r="D8" s="5" t="s">
        <v>733</v>
      </c>
      <c r="E8" s="5" t="s">
        <v>734</v>
      </c>
      <c r="F8" s="5" t="s">
        <v>708</v>
      </c>
      <c r="G8" s="5" t="s">
        <v>735</v>
      </c>
    </row>
    <row r="9" customFormat="false" ht="23.85" hidden="false" customHeight="false" outlineLevel="0" collapsed="false">
      <c r="A9" s="5" t="s">
        <v>736</v>
      </c>
      <c r="B9" s="5" t="s">
        <v>737</v>
      </c>
      <c r="C9" s="5" t="s">
        <v>738</v>
      </c>
      <c r="D9" s="5" t="s">
        <v>739</v>
      </c>
      <c r="E9" s="5" t="s">
        <v>740</v>
      </c>
      <c r="F9" s="5" t="s">
        <v>708</v>
      </c>
      <c r="G9" s="5" t="s">
        <v>741</v>
      </c>
    </row>
    <row r="10" customFormat="false" ht="23.85" hidden="false" customHeight="false" outlineLevel="0" collapsed="false">
      <c r="A10" s="5" t="s">
        <v>742</v>
      </c>
      <c r="B10" s="5" t="s">
        <v>737</v>
      </c>
      <c r="C10" s="5" t="s">
        <v>743</v>
      </c>
      <c r="D10" s="5" t="s">
        <v>744</v>
      </c>
      <c r="E10" s="5" t="s">
        <v>745</v>
      </c>
      <c r="F10" s="5" t="s">
        <v>708</v>
      </c>
      <c r="G10" s="5" t="s">
        <v>746</v>
      </c>
    </row>
    <row r="11" customFormat="false" ht="23.85" hidden="false" customHeight="false" outlineLevel="0" collapsed="false">
      <c r="A11" s="5" t="s">
        <v>747</v>
      </c>
      <c r="B11" s="5" t="s">
        <v>737</v>
      </c>
      <c r="C11" s="5" t="s">
        <v>748</v>
      </c>
      <c r="D11" s="5" t="s">
        <v>749</v>
      </c>
      <c r="E11" s="5" t="s">
        <v>750</v>
      </c>
      <c r="F11" s="5" t="s">
        <v>708</v>
      </c>
      <c r="G11" s="5" t="s">
        <v>751</v>
      </c>
    </row>
    <row r="12" customFormat="false" ht="23.85" hidden="false" customHeight="false" outlineLevel="0" collapsed="false">
      <c r="A12" s="5" t="s">
        <v>752</v>
      </c>
      <c r="B12" s="5" t="s">
        <v>737</v>
      </c>
      <c r="C12" s="5" t="s">
        <v>753</v>
      </c>
      <c r="D12" s="5" t="s">
        <v>754</v>
      </c>
      <c r="E12" s="5" t="s">
        <v>755</v>
      </c>
      <c r="F12" s="5" t="s">
        <v>708</v>
      </c>
      <c r="G12" s="5" t="s">
        <v>756</v>
      </c>
    </row>
    <row r="13" customFormat="false" ht="23.85" hidden="false" customHeight="false" outlineLevel="0" collapsed="false">
      <c r="A13" s="5" t="s">
        <v>757</v>
      </c>
      <c r="B13" s="5" t="s">
        <v>704</v>
      </c>
      <c r="C13" s="5" t="s">
        <v>758</v>
      </c>
      <c r="D13" s="5" t="s">
        <v>759</v>
      </c>
      <c r="E13" s="5" t="s">
        <v>30</v>
      </c>
      <c r="F13" s="5" t="s">
        <v>708</v>
      </c>
      <c r="G13" s="5" t="s">
        <v>760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2026-10-21T11:32:56Z</dcterms:created>
  <dc:creator>openpyxl</dc:creator>
  <dc:description/>
  <dc:language>en-US</dc:language>
  <cp:lastModifiedBy/>
  <dcterms:modified xsi:type="dcterms:W3CDTF">2026-10-21T11:32:56Z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