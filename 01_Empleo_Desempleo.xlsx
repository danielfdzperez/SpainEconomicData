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Resumen_Empleo" sheetId="2" state="visible" r:id="rId4"/>
    <sheet name="EPA_Tasas_Trim" sheetId="3" state="visible" r:id="rId5"/>
    <sheet name="EPA_Tasas_Anual_Calc" sheetId="4" state="visible" r:id="rId6"/>
    <sheet name="EPA_Paro_Anual_SexoEdad" sheetId="5" state="visible" r:id="rId7"/>
    <sheet name="EPA_Paro_Brecha_MAD_ESP" sheetId="6" state="visible" r:id="rId8"/>
    <sheet name="EPA_Paro_CCAA_2025" sheetId="7" state="visible" r:id="rId9"/>
    <sheet name="EPA_Absolutos_2026T2" sheetId="8" state="visible" r:id="rId10"/>
    <sheet name="EPA_Ocupados_4T" sheetId="9" state="visible" r:id="rId11"/>
    <sheet name="EPA_Madrid_Edad_2026T2" sheetId="10" state="visible" r:id="rId12"/>
    <sheet name="EPA_Sectores_2026T2" sheetId="11" state="visible" r:id="rId13"/>
    <sheet name="EPA_Sectores_Resumen" sheetId="12" state="visible" r:id="rId14"/>
    <sheet name="Eurostat_Paro_NUTS2" sheetId="13" state="visible" r:id="rId15"/>
    <sheet name="Eurostat_Empleo_NUTS2" sheetId="14" state="visible" r:id="rId16"/>
    <sheet name="Eurostat_Actividad_NUTS2" sheetId="15" state="visible" r:id="rId17"/>
    <sheet name="Paro_Registrado_Afiliacion" sheetId="16" state="visible" r:id="rId18"/>
    <sheet name="FUENT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<sst xmlns="http://schemas.openxmlformats.org/spreadsheetml/2006/main" count="2669" uniqueCount="568">
  <si>
    <t xml:space="preserve">Base de conocimiento — Empleo y desempleo (España y Comunidad de Madrid)</t>
  </si>
  <si>
    <t xml:space="preserve">Descripción</t>
  </si>
  <si>
    <t xml:space="preserve">Datos públicos y gratuitos de empleo, actividad y desempleo, con series largas por año/trimestre, sexo, edad, comunidad autónoma y sector. El eje principal es la Encuesta de Población Activa (EPA, INE); se complementa con paro registrado y afiliación (SEPE / Seguridad Social) y con la EU-LFS regional (Eurostat, NUTS2).</t>
  </si>
  <si>
    <t xml:space="preserve">Fecha de consulta: 2026-10-21. Todas las cifras están transcritas de las API oficiales; los cálculos (medias anuales, tasas recalculadas, ratios) son fórmulas visibles en el libro.</t>
  </si>
  <si>
    <t xml:space="preserve">Índice de hojas</t>
  </si>
  <si>
    <t xml:space="preserve">Hoja</t>
  </si>
  <si>
    <t xml:space="preserve">Contenido</t>
  </si>
  <si>
    <t xml:space="preserve">Cobertura</t>
  </si>
  <si>
    <t xml:space="preserve">Resumen_Empleo</t>
  </si>
  <si>
    <t xml:space="preserve">Indicadores clave comparando España y Madrid, con enlaces a las hojas de detalle.</t>
  </si>
  <si>
    <t xml:space="preserve">Último dato</t>
  </si>
  <si>
    <t xml:space="preserve">EPA_Tasas_Trim</t>
  </si>
  <si>
    <t xml:space="preserve">Tasas de paro, empleo y actividad trimestrales (ambos sexos) por tramos de edad: total, &lt;25, 25 y más, 16–19, 20–24.</t>
  </si>
  <si>
    <t xml:space="preserve">2002T1–2026T2, España y Madrid</t>
  </si>
  <si>
    <t xml:space="preserve">EPA_Tasas_Anual_Calc</t>
  </si>
  <si>
    <t xml:space="preserve">Media anual de las tasas trimestrales (fórmula; solo si hay 4 trimestres).</t>
  </si>
  <si>
    <t xml:space="preserve">2002–2025</t>
  </si>
  <si>
    <t xml:space="preserve">EPA_Paro_Anual_SexoEdad</t>
  </si>
  <si>
    <t xml:space="preserve">Tasa de paro, media anual publicada por el INE, por sexo y 6 tramos de edad.</t>
  </si>
  <si>
    <t xml:space="preserve">2006–2025, España y Madrid</t>
  </si>
  <si>
    <t xml:space="preserve">EPA_Paro_Brecha_MAD_ESP</t>
  </si>
  <si>
    <t xml:space="preserve">Diferencia Madrid − España en puntos porcentuales (fórmulas).</t>
  </si>
  <si>
    <t xml:space="preserve">2006–2025</t>
  </si>
  <si>
    <t xml:space="preserve">EPA_Paro_CCAA_2025</t>
  </si>
  <si>
    <t xml:space="preserve">Tasa de paro media 2025 por comunidad autónoma y tramos de edad, con ranking.</t>
  </si>
  <si>
    <t xml:space="preserve">2025, 17 CCAA + Ceuta y Melilla</t>
  </si>
  <si>
    <t xml:space="preserve">EPA_Absolutos_2026T2</t>
  </si>
  <si>
    <t xml:space="preserve">Ocupados, parados y población por CCAA (miles) y tasa de paro recalculada.</t>
  </si>
  <si>
    <t xml:space="preserve">2026T2</t>
  </si>
  <si>
    <t xml:space="preserve">EPA_Ocupados_4T</t>
  </si>
  <si>
    <t xml:space="preserve">Ocupados en los últimos 4 trimestres, España y Madrid.</t>
  </si>
  <si>
    <t xml:space="preserve">2025T3–2026T2</t>
  </si>
  <si>
    <t xml:space="preserve">EPA_Madrid_Edad_2026T2</t>
  </si>
  <si>
    <t xml:space="preserve">Madrid: ocupados, parados, población, tasas de actividad/empleo/paro por edad y por sexo (calculadas).</t>
  </si>
  <si>
    <t xml:space="preserve">EPA_Sectores_2026T2</t>
  </si>
  <si>
    <t xml:space="preserve">Ocupados por sector (CNAE-2025) × sexo × edad (datos largos).</t>
  </si>
  <si>
    <t xml:space="preserve">2026T2, España y Madrid</t>
  </si>
  <si>
    <t xml:space="preserve">EPA_Sectores_Resumen</t>
  </si>
  <si>
    <t xml:space="preserve">Resumen por sector con pesos y % de mujeres (SUMIFS).</t>
  </si>
  <si>
    <t xml:space="preserve">Eurostat_Paro_NUTS2 / _Empleo_ / _Actividad_</t>
  </si>
  <si>
    <t xml:space="preserve">EU-LFS regional: tasas por sexo y edad, definición Eurostat.</t>
  </si>
  <si>
    <t xml:space="preserve">2005–2025, ES30 (Madrid) y ES</t>
  </si>
  <si>
    <t xml:space="preserve">Paro_Registrado_Afiliacion</t>
  </si>
  <si>
    <t xml:space="preserve">Paro registrado (SEPE), contratos, prestaciones y afiliados (Seguridad Social).</t>
  </si>
  <si>
    <t xml:space="preserve">2026-06 a 2026-09 según fila</t>
  </si>
  <si>
    <t xml:space="preserve">FUENTES</t>
  </si>
  <si>
    <t xml:space="preserve">Origen de cada bloque: organismo, tabla, URL de la API y observaciones.</t>
  </si>
  <si>
    <t xml:space="preserve">Notas, límites y huecos conocidos</t>
  </si>
  <si>
    <t xml:space="preserve">• La EPA publica los datos de ambos sexos por tramos de edad; las series por sexo trimestrales y por tramos finos de edad no se descargaron (sí las medias anuales por sexo y edad, hoja EPA_Paro_Anual_SexoEdad).</t>
  </si>
  <si>
    <t xml:space="preserve">• El tramo 20–24 no existe antes de 2008T4/2009T1 en las series descargadas; las celdas vacías significan "sin dato".</t>
  </si>
  <si>
    <t xml:space="preserve">• La definición de EPA (INE) y la de Eurostat (EU-LFS) difieren en el tramo de edad (INE: 16 y más; Eurostat: 15–74 o 15–64) y las cifras no coinciden exactamente; úsese una misma fuente para comparar.</t>
  </si>
  <si>
    <t xml:space="preserve">• Los datos de sector de la EPA de 2026 usan CNAE-2025 (solo 4 grandes sectores en el cruce con sexo y edad). La serie histórica por sector en CNAE-2009 (tabla 66088) llega solo hasta 2008 y no se incluye.</t>
  </si>
  <si>
    <t xml:space="preserve">• Paro registrado: la cifra nacional es de septiembre de 2026 (Seguridad Social) y la de Madrid de junio de 2026 (boletín de la Comunidad de Madrid, cuyo encabezado indica julio pero el cuerpo junio). El boletín trae además una cifra nacional de paro (19.517) y de extranjeros en Madrid (1.345) que son erratas evidentes y se han excluido.</t>
  </si>
  <si>
    <t xml:space="preserve">• No incluido (huecos): serie histórica de paro registrado y afiliación por provincia/sector/edad, parados de larga duración, tipo de contrato y jornada en la EPA, población inactiva por motivo, NEET. Pendientes para una segunda fase.</t>
  </si>
  <si>
    <t xml:space="preserve">• Madrid por sexo y edad en cifras absolutas: solo se descargó hombres y ambos sexos (mujeres = ambos − hombres, cálculo propio).</t>
  </si>
  <si>
    <t xml:space="preserve">Convención de colores</t>
  </si>
  <si>
    <t xml:space="preserve">Azul: dato copiado de la fuente (valor fijo)</t>
  </si>
  <si>
    <t xml:space="preserve">Negro: fórmula de esta hoja</t>
  </si>
  <si>
    <t xml:space="preserve">Verde: fórmula que enlaza con otra hoja</t>
  </si>
  <si>
    <t xml:space="preserve">Fondo naranja claro: dato con muestra pequeña / poco fiable según la fuente</t>
  </si>
  <si>
    <t xml:space="preserve">Fondo amarillo claro: estimación no oficial (elaboración propia)</t>
  </si>
  <si>
    <t xml:space="preserve">Resumen de empleo y desempleo — España y Comunidad de Madrid</t>
  </si>
  <si>
    <t xml:space="preserve">Los valores enlazan con las hojas de detalle (verde). Último dato disponible a fecha de consulta: 2026-10-21</t>
  </si>
  <si>
    <t xml:space="preserve">Indicador</t>
  </si>
  <si>
    <t xml:space="preserve">Periodo</t>
  </si>
  <si>
    <t xml:space="preserve">España</t>
  </si>
  <si>
    <t xml:space="preserve">Madrid</t>
  </si>
  <si>
    <t xml:space="preserve">Madrid − España</t>
  </si>
  <si>
    <t xml:space="preserve">Hoja de origen / nota</t>
  </si>
  <si>
    <t xml:space="preserve">Tasa de paro EPA (%)</t>
  </si>
  <si>
    <t xml:space="preserve">Tasa de paro menores de 25 (%)</t>
  </si>
  <si>
    <t xml:space="preserve">Tasa de empleo (%)</t>
  </si>
  <si>
    <t xml:space="preserve">Tasa de actividad (%)</t>
  </si>
  <si>
    <t xml:space="preserve">Ocupados (miles)</t>
  </si>
  <si>
    <t xml:space="preserve">Parados (miles)</t>
  </si>
  <si>
    <t xml:space="preserve">Activos (miles, calculado)</t>
  </si>
  <si>
    <t xml:space="preserve">ocupados + parados</t>
  </si>
  <si>
    <t xml:space="preserve">Tasa de paro recalculada (%)</t>
  </si>
  <si>
    <t xml:space="preserve">Control: debe coincidir con la publicada (±0,05)</t>
  </si>
  <si>
    <t xml:space="preserve">Tasa de paro, media anual (%)</t>
  </si>
  <si>
    <t xml:space="preserve">2025</t>
  </si>
  <si>
    <t xml:space="preserve">EPA_Paro_Anual_SexoEdad (INE 74999)</t>
  </si>
  <si>
    <t xml:space="preserve">Máximo anual de la tasa de paro (%) 2006–2025</t>
  </si>
  <si>
    <t xml:space="preserve">Año del máximo</t>
  </si>
  <si>
    <t xml:space="preserve">Paro registrado (personas)</t>
  </si>
  <si>
    <t xml:space="preserve">España 2026-09 / Madrid 2026-06</t>
  </si>
  <si>
    <t xml:space="preserve">Periodos distintos: la fuente de Madrid consultada llegaba a junio 2026</t>
  </si>
  <si>
    <t xml:space="preserve">Afiliados medios a la Seguridad Social (personas)</t>
  </si>
  <si>
    <t xml:space="preserve">2026-08</t>
  </si>
  <si>
    <t xml:space="preserve">Tasa de paro 15–74 (Eurostat, %)</t>
  </si>
  <si>
    <t xml:space="preserve">Eurostat_Paro_NUTS2 (EU-LFS, definición ILO, 15–74 años)</t>
  </si>
  <si>
    <t xml:space="preserve">indicador</t>
  </si>
  <si>
    <t xml:space="preserve">territorio</t>
  </si>
  <si>
    <t xml:space="preserve">sexo</t>
  </si>
  <si>
    <t xml:space="preserve">edad</t>
  </si>
  <si>
    <t xml:space="preserve">cod_INE</t>
  </si>
  <si>
    <t xml:space="preserve">2002T1</t>
  </si>
  <si>
    <t xml:space="preserve">2002T2</t>
  </si>
  <si>
    <t xml:space="preserve">2002T3</t>
  </si>
  <si>
    <t xml:space="preserve">2002T4</t>
  </si>
  <si>
    <t xml:space="preserve">2003T1</t>
  </si>
  <si>
    <t xml:space="preserve">2003T2</t>
  </si>
  <si>
    <t xml:space="preserve">2003T3</t>
  </si>
  <si>
    <t xml:space="preserve">2003T4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</si>
  <si>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</si>
  <si>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</si>
  <si>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</si>
  <si>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</si>
  <si>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</si>
  <si>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</si>
  <si>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</si>
  <si>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</si>
  <si>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</si>
  <si>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</si>
  <si>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</si>
  <si>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</si>
  <si>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</si>
  <si>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</si>
  <si>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</si>
  <si>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</si>
  <si>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</si>
  <si>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</si>
  <si>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</si>
  <si>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</si>
  <si>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</si>
  <si>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</si>
  <si>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</si>
  <si>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</si>
  <si>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</si>
  <si>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</si>
  <si>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</si>
  <si>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</si>
  <si>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</si>
  <si>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</si>
  <si>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</si>
  <si>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</si>
  <si>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</si>
  <si>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</si>
  <si>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</si>
  <si>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</si>
  <si>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</si>
  <si>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</si>
  <si>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</si>
  <si>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</si>
  <si>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</si>
  <si>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</si>
  <si>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</si>
  <si>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</si>
  <si>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</si>
  <si>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</si>
  <si>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</si>
  <si>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</si>
  <si>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</si>
  <si>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</si>
  <si>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</si>
  <si>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</si>
  <si>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</si>
  <si>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</si>
  <si>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</si>
  <si>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</si>
  <si>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</si>
  <si>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</si>
  <si>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</si>
  <si>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</si>
  <si>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</si>
  <si>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</si>
  <si>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</si>
  <si>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</si>
  <si>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</si>
  <si>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</si>
  <si>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</si>
  <si>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</si>
  <si>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</si>
  <si>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</si>
  <si>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</si>
  <si>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</si>
  <si>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</si>
  <si>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</si>
  <si>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</si>
  <si>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</si>
  <si>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</si>
  <si>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</si>
  <si>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</si>
  <si>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</si>
  <si>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</si>
  <si>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</si>
  <si>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</si>
  <si>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</si>
  <si>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</si>
  <si>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</si>
  <si>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</si>
  <si>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</si>
  <si>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</si>
  <si>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Tasa de paro</t>
  </si>
  <si>
    <t xml:space="preserve">Comunidad de Madrid</t>
  </si>
  <si>
    <t xml:space="preserve">Ambos sexos</t>
  </si>
  <si>
    <t xml:space="preserve">Total</t>
  </si>
  <si>
    <t xml:space="preserve">EPA452536</t>
  </si>
  <si>
    <t xml:space="preserve">Menores de 25</t>
  </si>
  <si>
    <t xml:space="preserve">EPA452538</t>
  </si>
  <si>
    <t xml:space="preserve">25 y más</t>
  </si>
  <si>
    <t xml:space="preserve">EPA452539</t>
  </si>
  <si>
    <t xml:space="preserve">16 a 19</t>
  </si>
  <si>
    <t xml:space="preserve">EPA452540</t>
  </si>
  <si>
    <t xml:space="preserve">20 a 24</t>
  </si>
  <si>
    <t xml:space="preserve">EPA452541</t>
  </si>
  <si>
    <t xml:space="preserve">EPA452434</t>
  </si>
  <si>
    <t xml:space="preserve">EPA452436</t>
  </si>
  <si>
    <t xml:space="preserve">EPA452437</t>
  </si>
  <si>
    <t xml:space="preserve">EPA423476</t>
  </si>
  <si>
    <t xml:space="preserve">EPA423477</t>
  </si>
  <si>
    <t xml:space="preserve">Tasa de empleo</t>
  </si>
  <si>
    <t xml:space="preserve">EPA440971</t>
  </si>
  <si>
    <t xml:space="preserve">EPA440973</t>
  </si>
  <si>
    <t xml:space="preserve">EPA440974</t>
  </si>
  <si>
    <t xml:space="preserve">EPA440975</t>
  </si>
  <si>
    <t xml:space="preserve">EPA440976</t>
  </si>
  <si>
    <t xml:space="preserve">EPA441060</t>
  </si>
  <si>
    <t xml:space="preserve">EPA441062</t>
  </si>
  <si>
    <t xml:space="preserve">EPA441063</t>
  </si>
  <si>
    <t xml:space="preserve">EPA441064</t>
  </si>
  <si>
    <t xml:space="preserve">EPA441065</t>
  </si>
  <si>
    <t xml:space="preserve">Tasa de actividad</t>
  </si>
  <si>
    <t xml:space="preserve">EPA436440</t>
  </si>
  <si>
    <t xml:space="preserve">EPA436442</t>
  </si>
  <si>
    <t xml:space="preserve">EPA436443</t>
  </si>
  <si>
    <t xml:space="preserve">EPA436444</t>
  </si>
  <si>
    <t xml:space="preserve">EPA436445</t>
  </si>
  <si>
    <t xml:space="preserve">EPA388079</t>
  </si>
  <si>
    <t xml:space="preserve">EPA436340</t>
  </si>
  <si>
    <t xml:space="preserve">EPA436341</t>
  </si>
  <si>
    <t xml:space="preserve">EPA388081</t>
  </si>
  <si>
    <t xml:space="preserve">EPA388082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</si>
  <si>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</si>
  <si>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</si>
  <si>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</si>
  <si>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</si>
  <si>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</si>
  <si>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</si>
  <si>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</si>
  <si>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</si>
  <si>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</si>
  <si>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</si>
  <si>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</si>
  <si>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</si>
  <si>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</si>
  <si>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</si>
  <si>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</si>
  <si>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</si>
  <si>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</si>
  <si>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</si>
  <si>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</si>
  <si>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</si>
  <si>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</si>
  <si>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</si>
  <si>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</si>
  <si>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EPA667825</t>
  </si>
  <si>
    <t xml:space="preserve">Todas las edades</t>
  </si>
  <si>
    <t xml:space="preserve">EPA667826</t>
  </si>
  <si>
    <t xml:space="preserve">Menos de 25</t>
  </si>
  <si>
    <t xml:space="preserve">EPA667827</t>
  </si>
  <si>
    <t xml:space="preserve">EPA648632</t>
  </si>
  <si>
    <t xml:space="preserve">EPA648633</t>
  </si>
  <si>
    <t xml:space="preserve">EPA667828</t>
  </si>
  <si>
    <t xml:space="preserve">25 a 54</t>
  </si>
  <si>
    <t xml:space="preserve">EPA667829</t>
  </si>
  <si>
    <t xml:space="preserve">55 y más</t>
  </si>
  <si>
    <t xml:space="preserve">EPA667963</t>
  </si>
  <si>
    <t xml:space="preserve">Hombres</t>
  </si>
  <si>
    <t xml:space="preserve">EPA667964</t>
  </si>
  <si>
    <t xml:space="preserve">EPA667965</t>
  </si>
  <si>
    <t xml:space="preserve">EPA648645</t>
  </si>
  <si>
    <t xml:space="preserve">EPA648646</t>
  </si>
  <si>
    <t xml:space="preserve">EPA667966</t>
  </si>
  <si>
    <t xml:space="preserve">EPA667967</t>
  </si>
  <si>
    <t xml:space="preserve">EPA667687</t>
  </si>
  <si>
    <t xml:space="preserve">Mujeres</t>
  </si>
  <si>
    <t xml:space="preserve">EPA667688</t>
  </si>
  <si>
    <t xml:space="preserve">EPA667689</t>
  </si>
  <si>
    <t xml:space="preserve">EPA648658</t>
  </si>
  <si>
    <t xml:space="preserve">EPA648659</t>
  </si>
  <si>
    <t xml:space="preserve">EPA667690</t>
  </si>
  <si>
    <t xml:space="preserve">EPA667691</t>
  </si>
  <si>
    <t xml:space="preserve">EPA667914</t>
  </si>
  <si>
    <t xml:space="preserve">EPA667915</t>
  </si>
  <si>
    <t xml:space="preserve">EPA667916</t>
  </si>
  <si>
    <t xml:space="preserve">EPA667917</t>
  </si>
  <si>
    <t xml:space="preserve">EPA667918</t>
  </si>
  <si>
    <t xml:space="preserve">EPA667919</t>
  </si>
  <si>
    <t xml:space="preserve">EPA667920</t>
  </si>
  <si>
    <t xml:space="preserve">EPA668052</t>
  </si>
  <si>
    <t xml:space="preserve">EPA668053</t>
  </si>
  <si>
    <t xml:space="preserve">EPA668054</t>
  </si>
  <si>
    <t xml:space="preserve">EPA668055</t>
  </si>
  <si>
    <t xml:space="preserve">EPA668056</t>
  </si>
  <si>
    <t xml:space="preserve">EPA668057</t>
  </si>
  <si>
    <t xml:space="preserve">EPA668058</t>
  </si>
  <si>
    <t xml:space="preserve">EPA667776</t>
  </si>
  <si>
    <t xml:space="preserve">EPA667777</t>
  </si>
  <si>
    <t xml:space="preserve">EPA667778</t>
  </si>
  <si>
    <t xml:space="preserve">EPA667779</t>
  </si>
  <si>
    <t xml:space="preserve">EPA667780</t>
  </si>
  <si>
    <t xml:space="preserve">EPA667781</t>
  </si>
  <si>
    <t xml:space="preserve">EPA667782</t>
  </si>
  <si>
    <t xml:space="preserve">Valores en puntos porcentuales: tasa de paro de la Comunidad de Madrid menos tasa de paro de España (negativo = Madrid con menos paro).</t>
  </si>
  <si>
    <t xml:space="preserve">tasa_paro_todas_edades</t>
  </si>
  <si>
    <t xml:space="preserve">menos_25</t>
  </si>
  <si>
    <t xml:space="preserve">25_y_mas</t>
  </si>
  <si>
    <t xml:space="preserve">16_19</t>
  </si>
  <si>
    <t xml:space="preserve">20_24</t>
  </si>
  <si>
    <t xml:space="preserve">25_54</t>
  </si>
  <si>
    <t xml:space="preserve">55_y_mas</t>
  </si>
  <si>
    <t xml:space="preserve">dif_vs_Nacional_pp (todas edades)</t>
  </si>
  <si>
    <t xml:space="preserve">ranking_paro (1 = mayor)</t>
  </si>
  <si>
    <t xml:space="preserve">Total Nacional</t>
  </si>
  <si>
    <t xml:space="preserve">Andalucía</t>
  </si>
  <si>
    <t xml:space="preserve">Aragón</t>
  </si>
  <si>
    <t xml:space="preserve">Asturias, Principado de</t>
  </si>
  <si>
    <t xml:space="preserve">Balears, Illes</t>
  </si>
  <si>
    <t xml:space="preserve">Canarias</t>
  </si>
  <si>
    <t xml:space="preserve">Cantabria</t>
  </si>
  <si>
    <t xml:space="preserve">Castilla y León</t>
  </si>
  <si>
    <t xml:space="preserve">Castilla - La Mancha</t>
  </si>
  <si>
    <t xml:space="preserve">Cataluña</t>
  </si>
  <si>
    <t xml:space="preserve">Comunitat Valenciana</t>
  </si>
  <si>
    <t xml:space="preserve">Extremadura</t>
  </si>
  <si>
    <t xml:space="preserve">Galicia</t>
  </si>
  <si>
    <t xml:space="preserve">Madrid, Comunidad de</t>
  </si>
  <si>
    <t xml:space="preserve">Murcia, Región de</t>
  </si>
  <si>
    <t xml:space="preserve">Navarra, Comunidad Foral de</t>
  </si>
  <si>
    <t xml:space="preserve">País Vasco</t>
  </si>
  <si>
    <t xml:space="preserve">Rioja, La</t>
  </si>
  <si>
    <t xml:space="preserve">Ceuta</t>
  </si>
  <si>
    <t xml:space="preserve">Melilla</t>
  </si>
  <si>
    <t xml:space="preserve">Tasa de paro, media anual 2025, ambos sexos (INE, tabla 74999). Fuente: EPA, medias anuales.</t>
  </si>
  <si>
    <t xml:space="preserve">ocupados_miles</t>
  </si>
  <si>
    <t xml:space="preserve">parados_miles</t>
  </si>
  <si>
    <t xml:space="preserve">poblacion_total_miles</t>
  </si>
  <si>
    <t xml:space="preserve">activos_miles (calc.)</t>
  </si>
  <si>
    <t xml:space="preserve">tasa_paro_% (calc.)</t>
  </si>
  <si>
    <t xml:space="preserve">Asturias</t>
  </si>
  <si>
    <t xml:space="preserve">Illes Balears</t>
  </si>
  <si>
    <t xml:space="preserve">Castilla-La Mancha</t>
  </si>
  <si>
    <t xml:space="preserve">Murcia</t>
  </si>
  <si>
    <t xml:space="preserve">Navarra</t>
  </si>
  <si>
    <t xml:space="preserve">La Rioja</t>
  </si>
  <si>
    <t xml:space="preserve">Miles de personas. Población = población total de todas las edades (la EPA publica además la de 16 y más). Activos y tasa de paro son cálculos propios a partir de ocupados y parados.</t>
  </si>
  <si>
    <t xml:space="preserve">var_trimestral_%</t>
  </si>
  <si>
    <t xml:space="preserve">var_3_trimestres_%</t>
  </si>
  <si>
    <t xml:space="preserve">Ocupados en miles (INE, tabla 65302). Último dato disponible: 2026T2. No son comparables con medias anuales por la estacionalidad.</t>
  </si>
  <si>
    <t xml:space="preserve">poblacion_miles</t>
  </si>
  <si>
    <t xml:space="preserve">activos_miles</t>
  </si>
  <si>
    <t xml:space="preserve">tasa_paro_%</t>
  </si>
  <si>
    <t xml:space="preserve">tasa_actividad_%</t>
  </si>
  <si>
    <t xml:space="preserve">tasa_empleo_%</t>
  </si>
  <si>
    <t xml:space="preserve">ocupados_hombres</t>
  </si>
  <si>
    <t xml:space="preserve">parados_hombres</t>
  </si>
  <si>
    <t xml:space="preserve">ocupados_mujeres (calc.)</t>
  </si>
  <si>
    <t xml:space="preserve">parados_mujeres (calc.)</t>
  </si>
  <si>
    <t xml:space="preserve">tasa_paro_hombres_%</t>
  </si>
  <si>
    <t xml:space="preserve">tasa_paro_mujeres_%</t>
  </si>
  <si>
    <t xml:space="preserve">16-19</t>
  </si>
  <si>
    <t xml:space="preserve">20-24</t>
  </si>
  <si>
    <t xml:space="preserve">25-34</t>
  </si>
  <si>
    <t xml:space="preserve">35-44</t>
  </si>
  <si>
    <t xml:space="preserve">45-54</t>
  </si>
  <si>
    <t xml:space="preserve">Total 16 y más</t>
  </si>
  <si>
    <t xml:space="preserve">Detalle de población (miles) para el tramo 55 y más:</t>
  </si>
  <si>
    <t xml:space="preserve">Población 55 a 64</t>
  </si>
  <si>
    <t xml:space="preserve">Población 65 y más</t>
  </si>
  <si>
    <t xml:space="preserve">Comunidad de Madrid, 2026T2 (miles de personas). Fuentes INE: ocupados 65302, parados 65332, población 65285. Mujeres = ambos sexos − hombres (cálculo propio; INE no entregó la serie de mujeres en la descarga). La población incluye a todos los residentes del tramo de edad; la suma de ocupados por edad (3.631,2) difiere en 0,1 del total publicado (3.631,3) por redondeo.</t>
  </si>
  <si>
    <t xml:space="preserve">periodo</t>
  </si>
  <si>
    <t xml:space="preserve">sector</t>
  </si>
  <si>
    <t xml:space="preserve">25-54</t>
  </si>
  <si>
    <t xml:space="preserve">55+</t>
  </si>
  <si>
    <t xml:space="preserve">Agricultura</t>
  </si>
  <si>
    <t xml:space="preserve">Industria</t>
  </si>
  <si>
    <t xml:space="preserve">Construcción</t>
  </si>
  <si>
    <t xml:space="preserve">Servicios</t>
  </si>
  <si>
    <t xml:space="preserve">Ocupados por sector (CNAE-2025), 2026T2 — miles de personas</t>
  </si>
  <si>
    <t xml:space="preserve">Fuente: INE, EPA tabla 79325. Cálculos con SUMIFS sobre la hoja EPA_Sectores_2026T2.</t>
  </si>
  <si>
    <t xml:space="preserve">España ambos</t>
  </si>
  <si>
    <t xml:space="preserve">España hombres</t>
  </si>
  <si>
    <t xml:space="preserve">España mujeres</t>
  </si>
  <si>
    <t xml:space="preserve">España % del total</t>
  </si>
  <si>
    <t xml:space="preserve">España % mujeres</t>
  </si>
  <si>
    <t xml:space="preserve">Madrid ambos</t>
  </si>
  <si>
    <t xml:space="preserve">Madrid hombres</t>
  </si>
  <si>
    <t xml:space="preserve">Madrid mujeres</t>
  </si>
  <si>
    <t xml:space="preserve">Madrid % del total</t>
  </si>
  <si>
    <t xml:space="preserve">Madrid % mujeres</t>
  </si>
  <si>
    <t xml:space="preserve">Madrid % sobre España</t>
  </si>
  <si>
    <t xml:space="preserve">Nota: el sector "Total" incluye la suma de los cuatro sectores; la suma puede diferir ±0,1 por redondeo del INE. La EPA con CNAE-2025 solo publica 4 grandes sectores en este cruce (sexo × edad); no hay desglose por rama.</t>
  </si>
  <si>
    <t xml:space="preserve">geo (ES30=Madrid, ES=España)</t>
  </si>
  <si>
    <t xml:space="preserve">sex (T/M/F)</t>
  </si>
  <si>
    <t xml:space="preserve">age</t>
  </si>
  <si>
    <t xml:space="preserve">ES30</t>
  </si>
  <si>
    <t xml:space="preserve">T</t>
  </si>
  <si>
    <t xml:space="preserve">Y15-24</t>
  </si>
  <si>
    <t xml:space="preserve">Y15-29</t>
  </si>
  <si>
    <t xml:space="preserve">Y15-74</t>
  </si>
  <si>
    <t xml:space="preserve">Y_GE15</t>
  </si>
  <si>
    <t xml:space="preserve">Y20-64</t>
  </si>
  <si>
    <t xml:space="preserve">Y25-34</t>
  </si>
  <si>
    <t xml:space="preserve">Y_GE25</t>
  </si>
  <si>
    <t xml:space="preserve">Y35-44</t>
  </si>
  <si>
    <t xml:space="preserve">Y45-54</t>
  </si>
  <si>
    <t xml:space="preserve">Y55-64</t>
  </si>
  <si>
    <t xml:space="preserve">M</t>
  </si>
  <si>
    <t xml:space="preserve">F</t>
  </si>
  <si>
    <t xml:space="preserve">ES</t>
  </si>
  <si>
    <t xml:space="preserve">Y15-64</t>
  </si>
  <si>
    <t xml:space="preserve">Y25-64</t>
  </si>
  <si>
    <t xml:space="preserve">Y_GE65</t>
  </si>
  <si>
    <t xml:space="preserve">bloque</t>
  </si>
  <si>
    <t xml:space="preserve">valor</t>
  </si>
  <si>
    <t xml:space="preserve">unidad</t>
  </si>
  <si>
    <t xml:space="preserve">var_mensual</t>
  </si>
  <si>
    <t xml:space="preserve">var_interanual</t>
  </si>
  <si>
    <t xml:space="preserve">fuente</t>
  </si>
  <si>
    <t xml:space="preserve">nota</t>
  </si>
  <si>
    <t xml:space="preserve">Paro registrado</t>
  </si>
  <si>
    <t xml:space="preserve">Total parados registrados</t>
  </si>
  <si>
    <t xml:space="preserve">2026-09</t>
  </si>
  <si>
    <t xml:space="preserve">personas</t>
  </si>
  <si>
    <t xml:space="preserve">+23587</t>
  </si>
  <si>
    <t xml:space="preserve">-42160 (-1.74%)</t>
  </si>
  <si>
    <t xml:space="preserve">Seguridad Social (revista) - SEPE</t>
  </si>
  <si>
    <t xml:space="preserve">Cifra más baja en un mes de septiembre desde 2007</t>
  </si>
  <si>
    <t xml:space="preserve">+9648 (+0.68%)</t>
  </si>
  <si>
    <t xml:space="preserve">-40499 (-2.76%)</t>
  </si>
  <si>
    <t xml:space="preserve">+13939 (+1.49%)</t>
  </si>
  <si>
    <t xml:space="preserve">-1661 (-0.17%)</t>
  </si>
  <si>
    <t xml:space="preserve">Menores de 25 años</t>
  </si>
  <si>
    <t xml:space="preserve">+21411 (+12.77%)</t>
  </si>
  <si>
    <t xml:space="preserve">Variación mensual total</t>
  </si>
  <si>
    <t xml:space="preserve">+2773</t>
  </si>
  <si>
    <t xml:space="preserve">Solo variación mensual; el nivel de septiembre no figuraba en la fuente consultada</t>
  </si>
  <si>
    <t xml:space="preserve">2026-06</t>
  </si>
  <si>
    <t xml:space="preserve">+3822 (+1.4%)</t>
  </si>
  <si>
    <t xml:space="preserve">-2245 (-0.8%)</t>
  </si>
  <si>
    <t xml:space="preserve">Comunidad de Madrid iEstadis (boletín prc2607)</t>
  </si>
  <si>
    <t xml:space="preserve">El encabezado del PDF dice julio 2026 pero el cuerpo indica junio 2026</t>
  </si>
  <si>
    <t xml:space="preserve">+1379 (+1.3%)</t>
  </si>
  <si>
    <t xml:space="preserve">-573 (-0.5%)</t>
  </si>
  <si>
    <t xml:space="preserve">+2443 (+1.5%)</t>
  </si>
  <si>
    <t xml:space="preserve">-1672 (-1.0%)</t>
  </si>
  <si>
    <t xml:space="preserve">+97 (+0.6%)</t>
  </si>
  <si>
    <t xml:space="preserve">+386 (+2.3%)</t>
  </si>
  <si>
    <t xml:space="preserve">Sin empleo anterior</t>
  </si>
  <si>
    <t xml:space="preserve">+438 (+2.4%)</t>
  </si>
  <si>
    <t xml:space="preserve">+504 (+2.8%)</t>
  </si>
  <si>
    <t xml:space="preserve">Con empleo anterior</t>
  </si>
  <si>
    <t xml:space="preserve">+3384 (+1.3%)</t>
  </si>
  <si>
    <t xml:space="preserve">-2749 (-1.1%)</t>
  </si>
  <si>
    <t xml:space="preserve">Con empleo anterior: Agricultura</t>
  </si>
  <si>
    <t xml:space="preserve">-16 (-1.0%)</t>
  </si>
  <si>
    <t xml:space="preserve">-112 (-6.4%)</t>
  </si>
  <si>
    <t xml:space="preserve">Con empleo anterior: Industria</t>
  </si>
  <si>
    <t xml:space="preserve">-66 (-0.5%)</t>
  </si>
  <si>
    <t xml:space="preserve">-230 (-1.6%)</t>
  </si>
  <si>
    <t xml:space="preserve">Con empleo anterior: Construcción</t>
  </si>
  <si>
    <t xml:space="preserve">+30 (+0.2%)</t>
  </si>
  <si>
    <t xml:space="preserve">-1896 (-10.1%)</t>
  </si>
  <si>
    <t xml:space="preserve">Con empleo anterior: Servicios</t>
  </si>
  <si>
    <t xml:space="preserve">+3436 (+1.6%)</t>
  </si>
  <si>
    <t xml:space="preserve">-511 (-0.2%)</t>
  </si>
  <si>
    <t xml:space="preserve">Contratos</t>
  </si>
  <si>
    <t xml:space="preserve">Contratos registrados total</t>
  </si>
  <si>
    <t xml:space="preserve">contratos</t>
  </si>
  <si>
    <t xml:space="preserve">-18101 (-7.8%)</t>
  </si>
  <si>
    <t xml:space="preserve">-8085 (-3.6%)</t>
  </si>
  <si>
    <t xml:space="preserve">Contratos indefinidos</t>
  </si>
  <si>
    <t xml:space="preserve">-16650 (-15.7%)</t>
  </si>
  <si>
    <t xml:space="preserve">-4888 (-5.2%)</t>
  </si>
  <si>
    <t xml:space="preserve">Contratos temporales</t>
  </si>
  <si>
    <t xml:space="preserve">-1451 (-1.1%)</t>
  </si>
  <si>
    <t xml:space="preserve">-3197 (-2.5%)</t>
  </si>
  <si>
    <t xml:space="preserve">44.25% del total</t>
  </si>
  <si>
    <t xml:space="preserve">Prestaciones</t>
  </si>
  <si>
    <t xml:space="preserve">Beneficiarios de prestaciones por desempleo</t>
  </si>
  <si>
    <t xml:space="preserve">Gasto medio mensual por beneficiario</t>
  </si>
  <si>
    <t xml:space="preserve">euros</t>
  </si>
  <si>
    <t xml:space="preserve">+31.6 (+2.7%)</t>
  </si>
  <si>
    <t xml:space="preserve">Excluye subsidio agrario Andalucía/Extremadura</t>
  </si>
  <si>
    <t xml:space="preserve">Tasa de cobertura</t>
  </si>
  <si>
    <t xml:space="preserve">%</t>
  </si>
  <si>
    <t xml:space="preserve">Afiliación</t>
  </si>
  <si>
    <t xml:space="preserve">Afiliados medios total regímenes</t>
  </si>
  <si>
    <t xml:space="preserve">-36422 (-0.9%)</t>
  </si>
  <si>
    <t xml:space="preserve">+138115 (+3.7%)</t>
  </si>
  <si>
    <t xml:space="preserve">Comunidad de Madrid iEstadis (boletín ass2608)</t>
  </si>
  <si>
    <t xml:space="preserve">Régimen General</t>
  </si>
  <si>
    <t xml:space="preserve">-35067 (-1.0%)</t>
  </si>
  <si>
    <t xml:space="preserve">+3.9%</t>
  </si>
  <si>
    <t xml:space="preserve">Trabajadores autónomos</t>
  </si>
  <si>
    <t xml:space="preserve">-1340 (-0.3%)</t>
  </si>
  <si>
    <t xml:space="preserve">+2.6%</t>
  </si>
  <si>
    <t xml:space="preserve">Otros (Mar y Carbón)</t>
  </si>
  <si>
    <t xml:space="preserve">-15 (-0.4%)</t>
  </si>
  <si>
    <t xml:space="preserve">-8.5%</t>
  </si>
  <si>
    <t xml:space="preserve">-162840 (-0.7%)</t>
  </si>
  <si>
    <t xml:space="preserve">+679023 (+3.1%)</t>
  </si>
  <si>
    <t xml:space="preserve">-159484 (-0.8%)</t>
  </si>
  <si>
    <t xml:space="preserve">+3.4%</t>
  </si>
  <si>
    <t xml:space="preserve">-2941 (-0.1%)</t>
  </si>
  <si>
    <t xml:space="preserve">+1.9%</t>
  </si>
  <si>
    <t xml:space="preserve">-414 (-0.6%)</t>
  </si>
  <si>
    <t xml:space="preserve">+0.6%</t>
  </si>
  <si>
    <t xml:space="preserve">Tema</t>
  </si>
  <si>
    <t xml:space="preserve">Organismo</t>
  </si>
  <si>
    <t xml:space="preserve">Tabla / identificador</t>
  </si>
  <si>
    <t xml:space="preserve">URL (API o página)</t>
  </si>
  <si>
    <t xml:space="preserve">Fecha de consulta</t>
  </si>
  <si>
    <t xml:space="preserve">Observaciones</t>
  </si>
  <si>
    <t xml:space="preserve">EPA tasas trimestrales</t>
  </si>
  <si>
    <t xml:space="preserve">INE</t>
  </si>
  <si>
    <t xml:space="preserve">Series EPA (columna cod_INE)</t>
  </si>
  <si>
    <t xml:space="preserve">https://servicios.ine.es/wstempus/js/ES/DATOS_SERIE/{cod_INE}?nult=100</t>
  </si>
  <si>
    <t xml:space="preserve">España, Madrid; 2002T1–2026T2</t>
  </si>
  <si>
    <t xml:space="preserve">2026-10-21</t>
  </si>
  <si>
    <t xml:space="preserve">Tasas de paro, empleo y actividad por tramos de edad, ambos sexos.</t>
  </si>
  <si>
    <t xml:space="preserve">EPA paro anual por sexo y edad</t>
  </si>
  <si>
    <t xml:space="preserve">Tabla 74999</t>
  </si>
  <si>
    <t xml:space="preserve">https://servicios.ine.es/wstempus/js/ES/DATOS_TABLA/74999?nult=25&amp;tv=349:16473&amp;tv=18:451&amp;tip=A</t>
  </si>
  <si>
    <t xml:space="preserve">España y Madrid; 2006–2025</t>
  </si>
  <si>
    <t xml:space="preserve">Media anual de la tasa de paro. Variante Madrid con tv=70:9009.</t>
  </si>
  <si>
    <t xml:space="preserve">EPA paro por CCAA</t>
  </si>
  <si>
    <t xml:space="preserve">https://servicios.ine.es/wstempus/js/ES/DATOS_TABLA/74999?nult=1&amp;tip=A</t>
  </si>
  <si>
    <t xml:space="preserve">2025; 17 CCAA + Ceuta y Melilla</t>
  </si>
  <si>
    <t xml:space="preserve">Solo ambos sexos. La columna de hombres vino incompleta y se descartó.</t>
  </si>
  <si>
    <t xml:space="preserve">EPA ocupados</t>
  </si>
  <si>
    <t xml:space="preserve">Tabla 65302</t>
  </si>
  <si>
    <t xml:space="preserve">https://servicios.ine.es/wstempus/js/ES/DATOS_TABLA/65302?nult=4</t>
  </si>
  <si>
    <t xml:space="preserve">Valores absolutos en miles. Descarga truncada por el servicio para algunas series de mujeres.</t>
  </si>
  <si>
    <t xml:space="preserve">EPA parados</t>
  </si>
  <si>
    <t xml:space="preserve">Tabla 65332</t>
  </si>
  <si>
    <t xml:space="preserve">https://servicios.ine.es/wstempus/js/ES/DATOS_TABLA/65332?nult=1</t>
  </si>
  <si>
    <t xml:space="preserve">Miles de personas.</t>
  </si>
  <si>
    <t xml:space="preserve">EPA población</t>
  </si>
  <si>
    <t xml:space="preserve">Tabla 65285</t>
  </si>
  <si>
    <t xml:space="preserve">https://servicios.ine.es/wstempus/js/ES/DATOS_TABLA/65285?nult=1</t>
  </si>
  <si>
    <t xml:space="preserve">Miles; incluye todas las edades.</t>
  </si>
  <si>
    <t xml:space="preserve">EPA ocupados por sector</t>
  </si>
  <si>
    <t xml:space="preserve">Tabla 79325 (CNAE-2025)</t>
  </si>
  <si>
    <t xml:space="preserve">https://servicios.ine.es/wstempus/js/ES/DATOS_TABLA/79325?nult=1&amp;tv=70:9009&amp;tv=357:10559&amp;tip=A</t>
  </si>
  <si>
    <t xml:space="preserve">Variante nacional con tv=349:16473.</t>
  </si>
  <si>
    <t xml:space="preserve">EU-LFS regional</t>
  </si>
  <si>
    <t xml:space="preserve">Eurostat</t>
  </si>
  <si>
    <t xml:space="preserve">lfst_r_lfu3rt, lfst_r_lfe2emprt, lfst_r_lfp2actrt</t>
  </si>
  <si>
    <t xml:space="preserve">https://ec.europa.eu/eurostat/api/dissemination/statistics/1.0/data/{dataset}?geo=ES30&amp;sinceTimePeriod=2005&amp;format=JSON</t>
  </si>
  <si>
    <t xml:space="preserve">NUTS2 ES30 (Madrid) y ES; 2005–2025</t>
  </si>
  <si>
    <t xml:space="preserve">Los códigos de dataset de paro y empleo se dedujeron de la nomenclatura estándar de Eurostat; la actividad (lfst_r_lfp2actrt) se consultó explícitamente.</t>
  </si>
  <si>
    <t xml:space="preserve">Paro registrado España</t>
  </si>
  <si>
    <t xml:space="preserve">Seguridad Social / SEPE</t>
  </si>
  <si>
    <t xml:space="preserve">Nota mensual septiembre 2026</t>
  </si>
  <si>
    <t xml:space="preserve">https://revista.seg-social.es/-/el-paro-registrado-aumenta-en-23.587-personas-en-septiembre-y-se-situa-en-2.379.505-la-cifra-mas-baja-en-este-mes-desde-2007</t>
  </si>
  <si>
    <t xml:space="preserve">España; 2026-09</t>
  </si>
  <si>
    <t xml:space="preserve">Paro registrado Madrid</t>
  </si>
  <si>
    <t xml:space="preserve">Comunidad de Madrid (iEstadis)</t>
  </si>
  <si>
    <t xml:space="preserve">Boletín prc2607</t>
  </si>
  <si>
    <t xml:space="preserve">https://gestiona3.madrid.org/iestadis/gazeta/region/descarga/prc2607not.pdf</t>
  </si>
  <si>
    <t xml:space="preserve">Madrid; 2026-06</t>
  </si>
  <si>
    <t xml:space="preserve">Ver nota en LEEME sobre erratas del boletín.</t>
  </si>
  <si>
    <t xml:space="preserve">Comunidad de Madrid (iEstadis) sobre datos de la Seguridad Social</t>
  </si>
  <si>
    <t xml:space="preserve">Boletín ass2608</t>
  </si>
  <si>
    <t xml:space="preserve">https://web.comunidad.madrid/iestadis/gazeta/region/descarga/ass2608not.pdf</t>
  </si>
  <si>
    <t xml:space="preserve">Madrid y España; 2026-08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</si>
</sst>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#,##0.0"/>
    <numFmt numFmtId="167" formatCode="#,##0"/>
    <numFmt numFmtId="168" formatCode="0.0"/>
    <numFmt numFmtId="169" formatCode="0"/>
    <numFmt numFmtId="170" formatCode="#,##0.##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45" hidden="false" customHeight="true" outlineLevel="0" collapsed="false">
      <c r="A4" s="3" t="s">
        <v>2</v>
      </c>
      <c r="B4" s="3"/>
      <c r="C4" s="3"/>
    </row>
    <row r="5" customFormat="false" ht="30" hidden="false" customHeight="true" outlineLevel="0" collapsed="false">
      <c r="A5" s="3" t="s">
        <v>3</v>
      </c>
      <c r="B5" s="3"/>
      <c r="C5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4" t="s">
        <v>5</v>
      </c>
      <c r="B8" s="4" t="s">
        <v>6</v>
      </c>
      <c r="C8" s="4" t="s">
        <v>7</v>
      </c>
    </row>
    <row r="9" customFormat="false" ht="30" hidden="false" customHeight="true" outlineLevel="0" collapsed="false">
      <c r="A9" s="2" t="s">
        <v>8</v>
      </c>
      <c r="B9" s="5" t="s">
        <v>9</v>
      </c>
      <c r="C9" s="5" t="s">
        <v>10</v>
      </c>
    </row>
    <row r="10" customFormat="false" ht="30" hidden="false" customHeight="true" outlineLevel="0" collapsed="false">
      <c r="A10" s="2" t="s">
        <v>11</v>
      </c>
      <c r="B10" s="5" t="s">
        <v>12</v>
      </c>
      <c r="C10" s="5" t="s">
        <v>13</v>
      </c>
    </row>
    <row r="11" customFormat="false" ht="15" hidden="false" customHeight="true" outlineLevel="0" collapsed="false">
      <c r="A11" s="2" t="s">
        <v>14</v>
      </c>
      <c r="B11" s="5" t="s">
        <v>15</v>
      </c>
      <c r="C11" s="5" t="s">
        <v>16</v>
      </c>
    </row>
    <row r="12" customFormat="false" ht="15" hidden="false" customHeight="true" outlineLevel="0" collapsed="false">
      <c r="A12" s="2" t="s">
        <v>17</v>
      </c>
      <c r="B12" s="5" t="s">
        <v>18</v>
      </c>
      <c r="C12" s="5" t="s">
        <v>19</v>
      </c>
    </row>
    <row r="13" customFormat="false" ht="15" hidden="false" customHeight="true" outlineLevel="0" collapsed="false">
      <c r="A13" s="2" t="s">
        <v>20</v>
      </c>
      <c r="B13" s="5" t="s">
        <v>21</v>
      </c>
      <c r="C13" s="5" t="s">
        <v>22</v>
      </c>
    </row>
    <row r="14" customFormat="false" ht="15" hidden="false" customHeight="true" outlineLevel="0" collapsed="false">
      <c r="A14" s="2" t="s">
        <v>23</v>
      </c>
      <c r="B14" s="5" t="s">
        <v>24</v>
      </c>
      <c r="C14" s="5" t="s">
        <v>25</v>
      </c>
    </row>
    <row r="15" customFormat="false" ht="15" hidden="false" customHeight="true" outlineLevel="0" collapsed="false">
      <c r="A15" s="2" t="s">
        <v>26</v>
      </c>
      <c r="B15" s="5" t="s">
        <v>27</v>
      </c>
      <c r="C15" s="5" t="s">
        <v>28</v>
      </c>
    </row>
    <row r="16" customFormat="false" ht="15" hidden="false" customHeight="true" outlineLevel="0" collapsed="false">
      <c r="A16" s="2" t="s">
        <v>29</v>
      </c>
      <c r="B16" s="5" t="s">
        <v>30</v>
      </c>
      <c r="C16" s="5" t="s">
        <v>31</v>
      </c>
    </row>
    <row r="17" customFormat="false" ht="30" hidden="false" customHeight="true" outlineLevel="0" collapsed="false">
      <c r="A17" s="2" t="s">
        <v>32</v>
      </c>
      <c r="B17" s="5" t="s">
        <v>33</v>
      </c>
      <c r="C17" s="5" t="s">
        <v>28</v>
      </c>
    </row>
    <row r="18" customFormat="false" ht="15" hidden="false" customHeight="true" outlineLevel="0" collapsed="false">
      <c r="A18" s="2" t="s">
        <v>34</v>
      </c>
      <c r="B18" s="5" t="s">
        <v>35</v>
      </c>
      <c r="C18" s="5" t="s">
        <v>36</v>
      </c>
    </row>
    <row r="19" customFormat="false" ht="15" hidden="false" customHeight="true" outlineLevel="0" collapsed="false">
      <c r="A19" s="2" t="s">
        <v>37</v>
      </c>
      <c r="B19" s="5" t="s">
        <v>38</v>
      </c>
      <c r="C19" s="5" t="s">
        <v>28</v>
      </c>
    </row>
    <row r="20" customFormat="false" ht="15" hidden="false" customHeight="true" outlineLevel="0" collapsed="false">
      <c r="A20" s="2" t="s">
        <v>39</v>
      </c>
      <c r="B20" s="5" t="s">
        <v>40</v>
      </c>
      <c r="C20" s="5" t="s">
        <v>41</v>
      </c>
    </row>
    <row r="21" customFormat="false" ht="15" hidden="false" customHeight="true" outlineLevel="0" collapsed="false">
      <c r="A21" s="2" t="s">
        <v>42</v>
      </c>
      <c r="B21" s="5" t="s">
        <v>43</v>
      </c>
      <c r="C21" s="5" t="s">
        <v>44</v>
      </c>
    </row>
    <row r="22" customFormat="false" ht="15" hidden="false" customHeight="true" outlineLevel="0" collapsed="false">
      <c r="A22" s="2" t="s">
        <v>45</v>
      </c>
      <c r="B22" s="5" t="s">
        <v>46</v>
      </c>
      <c r="C22" s="5"/>
    </row>
    <row r="24" customFormat="false" ht="15" hidden="false" customHeight="false" outlineLevel="0" collapsed="false">
      <c r="A24" s="2" t="s">
        <v>47</v>
      </c>
    </row>
    <row r="25" customFormat="false" ht="30" hidden="false" customHeight="true" outlineLevel="0" collapsed="false">
      <c r="A25" s="3" t="s">
        <v>48</v>
      </c>
      <c r="B25" s="3"/>
      <c r="C25" s="3"/>
    </row>
    <row r="26" customFormat="false" ht="30" hidden="false" customHeight="true" outlineLevel="0" collapsed="false">
      <c r="A26" s="3" t="s">
        <v>49</v>
      </c>
      <c r="B26" s="3"/>
      <c r="C26" s="3"/>
    </row>
    <row r="27" customFormat="false" ht="30" hidden="false" customHeight="true" outlineLevel="0" collapsed="false">
      <c r="A27" s="3" t="s">
        <v>50</v>
      </c>
      <c r="B27" s="3"/>
      <c r="C27" s="3"/>
    </row>
    <row r="28" customFormat="false" ht="30" hidden="false" customHeight="true" outlineLevel="0" collapsed="false">
      <c r="A28" s="3" t="s">
        <v>51</v>
      </c>
      <c r="B28" s="3"/>
      <c r="C28" s="3"/>
    </row>
    <row r="29" customFormat="false" ht="60" hidden="false" customHeight="true" outlineLevel="0" collapsed="false">
      <c r="A29" s="3" t="s">
        <v>52</v>
      </c>
      <c r="B29" s="3"/>
      <c r="C29" s="3"/>
    </row>
    <row r="30" customFormat="false" ht="45" hidden="false" customHeight="true" outlineLevel="0" collapsed="false">
      <c r="A30" s="3" t="s">
        <v>53</v>
      </c>
      <c r="B30" s="3"/>
      <c r="C30" s="3"/>
    </row>
    <row r="31" customFormat="false" ht="30" hidden="false" customHeight="true" outlineLevel="0" collapsed="false">
      <c r="A31" s="3" t="s">
        <v>54</v>
      </c>
      <c r="B31" s="3"/>
      <c r="C31" s="3"/>
    </row>
    <row r="33" customFormat="false" ht="15" hidden="false" customHeight="false" outlineLevel="0" collapsed="false">
      <c r="A33" s="2" t="s">
        <v>55</v>
      </c>
    </row>
    <row r="34" customFormat="false" ht="15" hidden="false" customHeight="false" outlineLevel="0" collapsed="false">
      <c r="A34" s="6" t="s">
        <v>56</v>
      </c>
    </row>
    <row r="35" customFormat="false" ht="15" hidden="false" customHeight="false" outlineLevel="0" collapsed="false">
      <c r="A35" s="7" t="s">
        <v>57</v>
      </c>
    </row>
    <row r="36" customFormat="false" ht="15" hidden="false" customHeight="false" outlineLevel="0" collapsed="false">
      <c r="A36" s="8" t="s">
        <v>58</v>
      </c>
    </row>
    <row r="37" customFormat="false" ht="15" hidden="false" customHeight="false" outlineLevel="0" collapsed="false">
      <c r="A37" s="9" t="s">
        <v>59</v>
      </c>
    </row>
    <row r="38" customFormat="false" ht="15" hidden="false" customHeight="false" outlineLevel="0" collapsed="false">
      <c r="A38" s="10" t="s">
        <v>60</v>
      </c>
    </row>
  </sheetData>
  <mergeCells count="9">
    <mergeCell ref="A4:C4"/>
    <mergeCell ref="A5:C5"/>
    <mergeCell ref="A25:C25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11" t="s">
        <v>62</v>
      </c>
    </row>
    <row r="4" customFormat="false" ht="19.5" hidden="false" customHeight="true" outlineLevel="0" collapsed="false">
      <c r="A4" s="4" t="s">
        <v>63</v>
      </c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</row>
    <row r="5" customFormat="false" ht="15" hidden="false" customHeight="false" outlineLevel="0" collapsed="false">
      <c r="A5" s="12" t="s">
        <v>69</v>
      </c>
      <c r="B5" s="12" t="s">
        <v>28</v>
      </c>
      <c r="C5" s="13" t="n">
        <f aca="false">EPA_Tasas_Trim!CY7</f>
        <v>9.87</v>
      </c>
      <c r="D5" s="13" t="n">
        <f aca="false">EPA_Tasas_Trim!CY2</f>
        <v>7.58</v>
      </c>
      <c r="E5" s="14" t="n">
        <f aca="false">D5-C5</f>
        <v>-2.29</v>
      </c>
      <c r="F5" s="11" t="s">
        <v>11</v>
      </c>
    </row>
    <row r="6" customFormat="false" ht="15" hidden="false" customHeight="false" outlineLevel="0" collapsed="false">
      <c r="A6" s="12" t="s">
        <v>70</v>
      </c>
      <c r="B6" s="12" t="s">
        <v>28</v>
      </c>
      <c r="C6" s="13" t="n">
        <f aca="false">EPA_Tasas_Trim!CY8</f>
        <v>23.77</v>
      </c>
      <c r="D6" s="13" t="n">
        <f aca="false">EPA_Tasas_Trim!CY3</f>
        <v>19.81</v>
      </c>
      <c r="E6" s="14" t="n">
        <f aca="false">D6-C6</f>
        <v>-3.96</v>
      </c>
      <c r="F6" s="11" t="s">
        <v>11</v>
      </c>
    </row>
    <row r="7" customFormat="false" ht="15" hidden="false" customHeight="false" outlineLevel="0" collapsed="false">
      <c r="A7" s="12" t="s">
        <v>71</v>
      </c>
      <c r="B7" s="12" t="s">
        <v>28</v>
      </c>
      <c r="C7" s="13" t="n">
        <f aca="false">EPA_Tasas_Trim!CY17</f>
        <v>53.44</v>
      </c>
      <c r="D7" s="13" t="n">
        <f aca="false">EPA_Tasas_Trim!CY12</f>
        <v>59.08</v>
      </c>
      <c r="E7" s="14" t="n">
        <f aca="false">D7-C7</f>
        <v>5.64</v>
      </c>
      <c r="F7" s="11" t="s">
        <v>11</v>
      </c>
    </row>
    <row r="8" customFormat="false" ht="15" hidden="false" customHeight="false" outlineLevel="0" collapsed="false">
      <c r="A8" s="12" t="s">
        <v>72</v>
      </c>
      <c r="B8" s="12" t="s">
        <v>28</v>
      </c>
      <c r="C8" s="13" t="n">
        <f aca="false">EPA_Tasas_Trim!CY27</f>
        <v>59.29</v>
      </c>
      <c r="D8" s="13" t="n">
        <f aca="false">EPA_Tasas_Trim!CY22</f>
        <v>63.92</v>
      </c>
      <c r="E8" s="14" t="n">
        <f aca="false">D8-C8</f>
        <v>4.63</v>
      </c>
      <c r="F8" s="11" t="s">
        <v>11</v>
      </c>
    </row>
    <row r="9" customFormat="false" ht="15" hidden="false" customHeight="false" outlineLevel="0" collapsed="false">
      <c r="A9" s="12" t="s">
        <v>73</v>
      </c>
      <c r="B9" s="12" t="s">
        <v>28</v>
      </c>
      <c r="C9" s="15" t="n">
        <f aca="false">EPA_Absolutos_2026T2!B2</f>
        <v>22779</v>
      </c>
      <c r="D9" s="15" t="n">
        <f aca="false">EPA_Absolutos_2026T2!B15</f>
        <v>3631.3</v>
      </c>
      <c r="F9" s="11" t="s">
        <v>26</v>
      </c>
    </row>
    <row r="10" customFormat="false" ht="15" hidden="false" customHeight="false" outlineLevel="0" collapsed="false">
      <c r="A10" s="12" t="s">
        <v>74</v>
      </c>
      <c r="B10" s="12" t="s">
        <v>28</v>
      </c>
      <c r="C10" s="15" t="n">
        <f aca="false">EPA_Absolutos_2026T2!C2</f>
        <v>2495.3</v>
      </c>
      <c r="D10" s="15" t="n">
        <f aca="false">EPA_Absolutos_2026T2!C15</f>
        <v>297.9</v>
      </c>
      <c r="F10" s="11" t="s">
        <v>26</v>
      </c>
    </row>
    <row r="11" customFormat="false" ht="15" hidden="false" customHeight="false" outlineLevel="0" collapsed="false">
      <c r="A11" s="12" t="s">
        <v>75</v>
      </c>
      <c r="B11" s="12" t="s">
        <v>28</v>
      </c>
      <c r="C11" s="15" t="n">
        <f aca="false">EPA_Absolutos_2026T2!E2</f>
        <v>25274.3</v>
      </c>
      <c r="D11" s="15" t="n">
        <f aca="false">EPA_Absolutos_2026T2!E15</f>
        <v>3929.2</v>
      </c>
      <c r="F11" s="11" t="s">
        <v>76</v>
      </c>
    </row>
    <row r="12" customFormat="false" ht="15" hidden="false" customHeight="false" outlineLevel="0" collapsed="false">
      <c r="A12" s="12" t="s">
        <v>77</v>
      </c>
      <c r="B12" s="12" t="s">
        <v>28</v>
      </c>
      <c r="C12" s="13" t="n">
        <f aca="false">EPA_Absolutos_2026T2!F2</f>
        <v>9.87287481750237</v>
      </c>
      <c r="D12" s="13" t="n">
        <f aca="false">EPA_Absolutos_2026T2!F15</f>
        <v>7.58169601954596</v>
      </c>
      <c r="E12" s="14" t="n">
        <f aca="false">D12-C12</f>
        <v>-2.2911787979564</v>
      </c>
      <c r="F12" s="11" t="s">
        <v>78</v>
      </c>
    </row>
    <row r="13" customFormat="false" ht="15" hidden="false" customHeight="false" outlineLevel="0" collapsed="false">
      <c r="A13" s="12" t="s">
        <v>79</v>
      </c>
      <c r="B13" s="12" t="s">
        <v>80</v>
      </c>
      <c r="C13" s="13" t="n">
        <f aca="false">EPA_Paro_Anual_SexoEdad!X2</f>
        <v>10.5</v>
      </c>
      <c r="D13" s="13" t="n">
        <f aca="false">EPA_Paro_Anual_SexoEdad!X23</f>
        <v>7.97</v>
      </c>
      <c r="E13" s="14" t="n">
        <f aca="false">D13-C13</f>
        <v>-2.53</v>
      </c>
      <c r="F13" s="11" t="s">
        <v>81</v>
      </c>
    </row>
    <row r="14" customFormat="false" ht="15" hidden="false" customHeight="false" outlineLevel="0" collapsed="false">
      <c r="A14" s="12" t="s">
        <v>82</v>
      </c>
      <c r="B14" s="12" t="s">
        <v>22</v>
      </c>
      <c r="C14" s="13" t="n">
        <f aca="false">MAX(EPA_Paro_Anual_SexoEdad!E2:X2)</f>
        <v>26.09</v>
      </c>
      <c r="D14" s="13" t="n">
        <f aca="false">MAX(EPA_Paro_Anual_SexoEdad!E23:X23)</f>
        <v>19.76</v>
      </c>
      <c r="E14" s="14" t="n">
        <f aca="false">D14-C14</f>
        <v>-6.33</v>
      </c>
      <c r="F14" s="11" t="s">
        <v>17</v>
      </c>
    </row>
    <row r="15" customFormat="false" ht="15" hidden="false" customHeight="false" outlineLevel="0" collapsed="false">
      <c r="A15" s="12" t="s">
        <v>83</v>
      </c>
      <c r="B15" s="12"/>
      <c r="C15" s="8" t="str">
        <f aca="false">INDEX(EPA_Paro_Anual_SexoEdad!$E$1:$X$1,MATCH(MAX(EPA_Paro_Anual_SexoEdad!E2:X2),EPA_Paro_Anual_SexoEdad!E2:X2,0))</f>
        <v>2013</v>
      </c>
      <c r="D15" s="8" t="str">
        <f aca="false">INDEX(EPA_Paro_Anual_SexoEdad!$E$1:$X$1,MATCH(MAX(EPA_Paro_Anual_SexoEdad!E23:X23),EPA_Paro_Anual_SexoEdad!E23:X23,0))</f>
        <v>2013</v>
      </c>
      <c r="F15" s="11"/>
    </row>
    <row r="16" customFormat="false" ht="15" hidden="false" customHeight="false" outlineLevel="0" collapsed="false">
      <c r="A16" s="12" t="s">
        <v>84</v>
      </c>
      <c r="B16" s="12" t="s">
        <v>85</v>
      </c>
      <c r="C16" s="16" t="n">
        <f aca="false">Paro_Registrado_Afiliacion!E2</f>
        <v>2379505</v>
      </c>
      <c r="D16" s="16" t="n">
        <f aca="false">Paro_Registrado_Afiliacion!E7</f>
        <v>273631</v>
      </c>
      <c r="F16" s="11" t="s">
        <v>86</v>
      </c>
    </row>
    <row r="17" customFormat="false" ht="15" hidden="false" customHeight="false" outlineLevel="0" collapsed="false">
      <c r="A17" s="12" t="s">
        <v>87</v>
      </c>
      <c r="B17" s="12" t="s">
        <v>88</v>
      </c>
      <c r="C17" s="16" t="n">
        <f aca="false">Paro_Registrado_Afiliacion!E29</f>
        <v>22345226</v>
      </c>
      <c r="D17" s="16" t="n">
        <f aca="false">Paro_Registrado_Afiliacion!E25</f>
        <v>3871993</v>
      </c>
      <c r="F17" s="11" t="s">
        <v>42</v>
      </c>
    </row>
    <row r="18" customFormat="false" ht="15" hidden="false" customHeight="false" outlineLevel="0" collapsed="false">
      <c r="A18" s="12" t="s">
        <v>89</v>
      </c>
      <c r="B18" s="12" t="s">
        <v>80</v>
      </c>
      <c r="C18" s="17" t="n">
        <f aca="false">Eurostat_Paro_NUTS2!X34</f>
        <v>10.5</v>
      </c>
      <c r="D18" s="17" t="n">
        <f aca="false">Eurostat_Paro_NUTS2!X4</f>
        <v>8</v>
      </c>
      <c r="E18" s="18" t="n">
        <f aca="false">D18-C18</f>
        <v>-2.5</v>
      </c>
      <c r="F18" s="11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Y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  <c r="M1" s="4" t="s">
        <v>103</v>
      </c>
      <c r="N1" s="4" t="s">
        <v>104</v>
      </c>
      <c r="O1" s="4" t="s">
        <v>105</v>
      </c>
      <c r="P1" s="4" t="s">
        <v>106</v>
      </c>
      <c r="Q1" s="4" t="s">
        <v>107</v>
      </c>
      <c r="R1" s="4" t="s">
        <v>108</v>
      </c>
      <c r="S1" s="4" t="s">
        <v>109</v>
      </c>
      <c r="T1" s="4" t="s">
        <v>110</v>
      </c>
      <c r="U1" s="4" t="s">
        <v>111</v>
      </c>
      <c r="V1" s="4" t="s">
        <v>112</v>
      </c>
      <c r="W1" s="4" t="s">
        <v>113</v>
      </c>
      <c r="X1" s="4" t="s">
        <v>114</v>
      </c>
      <c r="Y1" s="4" t="s">
        <v>115</v>
      </c>
      <c r="Z1" s="4" t="s">
        <v>116</v>
      </c>
      <c r="AA1" s="4" t="s">
        <v>117</v>
      </c>
      <c r="AB1" s="4" t="s">
        <v>118</v>
      </c>
      <c r="AC1" s="4" t="s">
        <v>119</v>
      </c>
      <c r="AD1" s="4" t="s">
        <v>120</v>
      </c>
      <c r="AE1" s="4" t="s">
        <v>121</v>
      </c>
      <c r="AF1" s="4" t="s">
        <v>122</v>
      </c>
      <c r="AG1" s="4" t="s">
        <v>123</v>
      </c>
      <c r="AH1" s="4" t="s">
        <v>124</v>
      </c>
      <c r="AI1" s="4" t="s">
        <v>125</v>
      </c>
      <c r="AJ1" s="4" t="s">
        <v>126</v>
      </c>
      <c r="AK1" s="4" t="s">
        <v>127</v>
      </c>
      <c r="AL1" s="4" t="s">
        <v>128</v>
      </c>
      <c r="AM1" s="4" t="s">
        <v>129</v>
      </c>
      <c r="AN1" s="4" t="s">
        <v>130</v>
      </c>
      <c r="AO1" s="4" t="s">
        <v>131</v>
      </c>
      <c r="AP1" s="4" t="s">
        <v>132</v>
      </c>
      <c r="AQ1" s="4" t="s">
        <v>133</v>
      </c>
      <c r="AR1" s="4" t="s">
        <v>134</v>
      </c>
      <c r="AS1" s="4" t="s">
        <v>135</v>
      </c>
      <c r="AT1" s="4" t="s">
        <v>136</v>
      </c>
      <c r="AU1" s="4" t="s">
        <v>137</v>
      </c>
      <c r="AV1" s="4" t="s">
        <v>138</v>
      </c>
      <c r="AW1" s="4" t="s">
        <v>139</v>
      </c>
      <c r="AX1" s="4" t="s">
        <v>140</v>
      </c>
      <c r="AY1" s="4" t="s">
        <v>141</v>
      </c>
      <c r="AZ1" s="4" t="s">
        <v>142</v>
      </c>
      <c r="BA1" s="4" t="s">
        <v>143</v>
      </c>
      <c r="BB1" s="4" t="s">
        <v>144</v>
      </c>
      <c r="BC1" s="4" t="s">
        <v>145</v>
      </c>
      <c r="BD1" s="4" t="s">
        <v>146</v>
      </c>
      <c r="BE1" s="4" t="s">
        <v>147</v>
      </c>
      <c r="BF1" s="4" t="s">
        <v>148</v>
      </c>
      <c r="BG1" s="4" t="s">
        <v>149</v>
      </c>
      <c r="BH1" s="4" t="s">
        <v>150</v>
      </c>
      <c r="BI1" s="4" t="s">
        <v>151</v>
      </c>
      <c r="BJ1" s="4" t="s">
        <v>152</v>
      </c>
      <c r="BK1" s="4" t="s">
        <v>153</v>
      </c>
      <c r="BL1" s="4" t="s">
        <v>154</v>
      </c>
      <c r="BM1" s="4" t="s">
        <v>155</v>
      </c>
      <c r="BN1" s="4" t="s">
        <v>156</v>
      </c>
      <c r="BO1" s="4" t="s">
        <v>157</v>
      </c>
      <c r="BP1" s="4" t="s">
        <v>158</v>
      </c>
      <c r="BQ1" s="4" t="s">
        <v>159</v>
      </c>
      <c r="BR1" s="4" t="s">
        <v>160</v>
      </c>
      <c r="BS1" s="4" t="s">
        <v>161</v>
      </c>
      <c r="BT1" s="4" t="s">
        <v>162</v>
      </c>
      <c r="BU1" s="4" t="s">
        <v>163</v>
      </c>
      <c r="BV1" s="4" t="s">
        <v>164</v>
      </c>
      <c r="BW1" s="4" t="s">
        <v>165</v>
      </c>
      <c r="BX1" s="4" t="s">
        <v>166</v>
      </c>
      <c r="BY1" s="4" t="s">
        <v>167</v>
      </c>
      <c r="BZ1" s="4" t="s">
        <v>168</v>
      </c>
      <c r="CA1" s="4" t="s">
        <v>169</v>
      </c>
      <c r="CB1" s="4" t="s">
        <v>170</v>
      </c>
      <c r="CC1" s="4" t="s">
        <v>171</v>
      </c>
      <c r="CD1" s="4" t="s">
        <v>172</v>
      </c>
      <c r="CE1" s="4" t="s">
        <v>173</v>
      </c>
      <c r="CF1" s="4" t="s">
        <v>174</v>
      </c>
      <c r="CG1" s="4" t="s">
        <v>175</v>
      </c>
      <c r="CH1" s="4" t="s">
        <v>176</v>
      </c>
      <c r="CI1" s="4" t="s">
        <v>177</v>
      </c>
      <c r="CJ1" s="4" t="s">
        <v>178</v>
      </c>
      <c r="CK1" s="4" t="s">
        <v>179</v>
      </c>
      <c r="CL1" s="4" t="s">
        <v>180</v>
      </c>
      <c r="CM1" s="4" t="s">
        <v>181</v>
      </c>
      <c r="CN1" s="4" t="s">
        <v>182</v>
      </c>
      <c r="CO1" s="4" t="s">
        <v>183</v>
      </c>
      <c r="CP1" s="4" t="s">
        <v>184</v>
      </c>
      <c r="CQ1" s="4" t="s">
        <v>185</v>
      </c>
      <c r="CR1" s="4" t="s">
        <v>186</v>
      </c>
      <c r="CS1" s="4" t="s">
        <v>187</v>
      </c>
      <c r="CT1" s="4" t="s">
        <v>188</v>
      </c>
      <c r="CU1" s="4" t="s">
        <v>189</v>
      </c>
      <c r="CV1" s="4" t="s">
        <v>190</v>
      </c>
      <c r="CW1" s="4" t="s">
        <v>191</v>
      </c>
      <c r="CX1" s="4" t="s">
        <v>192</v>
      </c>
      <c r="CY1" s="4" t="s">
        <v>28</v>
      </c>
    </row>
    <row r="2" customFormat="false" ht="15" hidden="false" customHeight="false" outlineLevel="0" collapsed="false">
      <c r="A2" s="12" t="s">
        <v>193</v>
      </c>
      <c r="B2" s="12" t="s">
        <v>194</v>
      </c>
      <c r="C2" s="12" t="s">
        <v>195</v>
      </c>
      <c r="D2" s="12" t="s">
        <v>196</v>
      </c>
      <c r="E2" s="12" t="s">
        <v>197</v>
      </c>
      <c r="F2" s="19" t="n">
        <v>7.49</v>
      </c>
      <c r="G2" s="19" t="n">
        <v>6.96</v>
      </c>
      <c r="H2" s="19" t="n">
        <v>7.75</v>
      </c>
      <c r="I2" s="19" t="n">
        <v>6.99</v>
      </c>
      <c r="J2" s="19" t="n">
        <v>7.77</v>
      </c>
      <c r="K2" s="19" t="n">
        <v>7.06</v>
      </c>
      <c r="L2" s="19" t="n">
        <v>7.48</v>
      </c>
      <c r="M2" s="19" t="n">
        <v>7.16</v>
      </c>
      <c r="N2" s="19" t="n">
        <v>6.65</v>
      </c>
      <c r="O2" s="19" t="n">
        <v>6.86</v>
      </c>
      <c r="P2" s="19" t="n">
        <v>6.49</v>
      </c>
      <c r="Q2" s="19" t="n">
        <v>6.95</v>
      </c>
      <c r="R2" s="19" t="n">
        <v>8.26</v>
      </c>
      <c r="S2" s="19" t="n">
        <v>6.96</v>
      </c>
      <c r="T2" s="19" t="n">
        <v>6.22</v>
      </c>
      <c r="U2" s="19" t="n">
        <v>5.9</v>
      </c>
      <c r="V2" s="19" t="n">
        <v>5.87</v>
      </c>
      <c r="W2" s="19" t="n">
        <v>6.91</v>
      </c>
      <c r="X2" s="19" t="n">
        <v>5.97</v>
      </c>
      <c r="Y2" s="19" t="n">
        <v>6.46</v>
      </c>
      <c r="Z2" s="19" t="n">
        <v>6.43</v>
      </c>
      <c r="AA2" s="19" t="n">
        <v>6.17</v>
      </c>
      <c r="AB2" s="19" t="n">
        <v>5.97</v>
      </c>
      <c r="AC2" s="19" t="n">
        <v>6.4</v>
      </c>
      <c r="AD2" s="19" t="n">
        <v>7.39</v>
      </c>
      <c r="AE2" s="19" t="n">
        <v>8.67</v>
      </c>
      <c r="AF2" s="19" t="n">
        <v>8.32</v>
      </c>
      <c r="AG2" s="19" t="n">
        <v>10.02</v>
      </c>
      <c r="AH2" s="19" t="n">
        <v>13.36</v>
      </c>
      <c r="AI2" s="19" t="n">
        <v>13.4</v>
      </c>
      <c r="AJ2" s="19" t="n">
        <v>14.18</v>
      </c>
      <c r="AK2" s="19" t="n">
        <v>14.48</v>
      </c>
      <c r="AL2" s="19" t="n">
        <v>15.89</v>
      </c>
      <c r="AM2" s="19" t="n">
        <v>16.18</v>
      </c>
      <c r="AN2" s="19" t="n">
        <v>15.76</v>
      </c>
      <c r="AO2" s="19" t="n">
        <v>15.54</v>
      </c>
      <c r="AP2" s="19" t="n">
        <v>15.18</v>
      </c>
      <c r="AQ2" s="19" t="n">
        <v>15.62</v>
      </c>
      <c r="AR2" s="19" t="n">
        <v>16.59</v>
      </c>
      <c r="AS2" s="19" t="n">
        <v>17.96</v>
      </c>
      <c r="AT2" s="19" t="n">
        <v>18.15</v>
      </c>
      <c r="AU2" s="19" t="n">
        <v>18.42</v>
      </c>
      <c r="AV2" s="19" t="n">
        <v>18.23</v>
      </c>
      <c r="AW2" s="19" t="n">
        <v>19.32</v>
      </c>
      <c r="AX2" s="19" t="n">
        <v>19.99</v>
      </c>
      <c r="AY2" s="19" t="n">
        <v>19.2</v>
      </c>
      <c r="AZ2" s="19" t="n">
        <v>19.41</v>
      </c>
      <c r="BA2" s="19" t="n">
        <v>20.45</v>
      </c>
      <c r="BB2" s="19" t="n">
        <v>20.43</v>
      </c>
      <c r="BC2" s="19" t="n">
        <v>19.03</v>
      </c>
      <c r="BD2" s="19" t="n">
        <v>17.53</v>
      </c>
      <c r="BE2" s="19" t="n">
        <v>18</v>
      </c>
      <c r="BF2" s="19" t="n">
        <v>17.79</v>
      </c>
      <c r="BG2" s="19" t="n">
        <v>17.66</v>
      </c>
      <c r="BH2" s="19" t="n">
        <v>16.27</v>
      </c>
      <c r="BI2" s="19" t="n">
        <v>16.51</v>
      </c>
      <c r="BJ2" s="19" t="n">
        <v>16.81</v>
      </c>
      <c r="BK2" s="19" t="n">
        <v>16.25</v>
      </c>
      <c r="BL2" s="19" t="n">
        <v>15.19</v>
      </c>
      <c r="BM2" s="19" t="n">
        <v>14.6</v>
      </c>
      <c r="BN2" s="19" t="n">
        <v>14.23</v>
      </c>
      <c r="BO2" s="19" t="n">
        <v>13.04</v>
      </c>
      <c r="BP2" s="19" t="n">
        <v>12.35</v>
      </c>
      <c r="BQ2" s="19" t="n">
        <v>13.75</v>
      </c>
      <c r="BR2" s="19" t="n">
        <v>13.4</v>
      </c>
      <c r="BS2" s="19" t="n">
        <v>12.08</v>
      </c>
      <c r="BT2" s="19" t="n">
        <v>11.86</v>
      </c>
      <c r="BU2" s="19" t="n">
        <v>11.54</v>
      </c>
      <c r="BV2" s="19" t="n">
        <v>11.7</v>
      </c>
      <c r="BW2" s="19" t="n">
        <v>10.54</v>
      </c>
      <c r="BX2" s="19" t="n">
        <v>10.26</v>
      </c>
      <c r="BY2" s="19" t="n">
        <v>9.99</v>
      </c>
      <c r="BZ2" s="19" t="n">
        <v>10.6</v>
      </c>
      <c r="CA2" s="19" t="n">
        <v>12.61</v>
      </c>
      <c r="CB2" s="19" t="n">
        <v>13.25</v>
      </c>
      <c r="CC2" s="19" t="n">
        <v>13.53</v>
      </c>
      <c r="CD2" s="19" t="n">
        <v>12.24</v>
      </c>
      <c r="CE2" s="19" t="n">
        <v>12.2</v>
      </c>
      <c r="CF2" s="19" t="n">
        <v>12.13</v>
      </c>
      <c r="CG2" s="19" t="n">
        <v>10.18</v>
      </c>
      <c r="CH2" s="19" t="n">
        <v>11.72</v>
      </c>
      <c r="CI2" s="19" t="n">
        <v>10.7</v>
      </c>
      <c r="CJ2" s="19" t="n">
        <v>11.11</v>
      </c>
      <c r="CK2" s="19" t="n">
        <v>11.33</v>
      </c>
      <c r="CL2" s="19" t="n">
        <v>10.83</v>
      </c>
      <c r="CM2" s="19" t="n">
        <v>9.11</v>
      </c>
      <c r="CN2" s="19" t="n">
        <v>10.24</v>
      </c>
      <c r="CO2" s="19" t="n">
        <v>9.64</v>
      </c>
      <c r="CP2" s="19" t="n">
        <v>9.19</v>
      </c>
      <c r="CQ2" s="19" t="n">
        <v>8.48</v>
      </c>
      <c r="CR2" s="19" t="n">
        <v>9.65</v>
      </c>
      <c r="CS2" s="19" t="n">
        <v>8.58</v>
      </c>
      <c r="CT2" s="19" t="n">
        <v>9.11</v>
      </c>
      <c r="CU2" s="19" t="n">
        <v>7.74</v>
      </c>
      <c r="CV2" s="19" t="n">
        <v>7.98</v>
      </c>
      <c r="CW2" s="19" t="n">
        <v>7.04</v>
      </c>
      <c r="CX2" s="19" t="n">
        <v>7.91</v>
      </c>
      <c r="CY2" s="19" t="n">
        <v>7.58</v>
      </c>
    </row>
    <row r="3" customFormat="false" ht="15" hidden="false" customHeight="false" outlineLevel="0" collapsed="false">
      <c r="A3" s="12" t="s">
        <v>193</v>
      </c>
      <c r="B3" s="12" t="s">
        <v>194</v>
      </c>
      <c r="C3" s="12" t="s">
        <v>195</v>
      </c>
      <c r="D3" s="12" t="s">
        <v>198</v>
      </c>
      <c r="E3" s="12" t="s">
        <v>199</v>
      </c>
      <c r="F3" s="19" t="n">
        <v>14.49</v>
      </c>
      <c r="G3" s="19" t="n">
        <v>14.33</v>
      </c>
      <c r="H3" s="19" t="n">
        <v>15.54</v>
      </c>
      <c r="I3" s="19" t="n">
        <v>15.44</v>
      </c>
      <c r="J3" s="19" t="n">
        <v>14.18</v>
      </c>
      <c r="K3" s="19" t="n">
        <v>14.28</v>
      </c>
      <c r="L3" s="19" t="n">
        <v>18.85</v>
      </c>
      <c r="M3" s="19" t="n">
        <v>19.76</v>
      </c>
      <c r="N3" s="19" t="n">
        <v>15.61</v>
      </c>
      <c r="O3" s="19" t="n">
        <v>13.78</v>
      </c>
      <c r="P3" s="19" t="n">
        <v>17.32</v>
      </c>
      <c r="Q3" s="19" t="n">
        <v>16.12</v>
      </c>
      <c r="R3" s="19" t="n">
        <v>20.89</v>
      </c>
      <c r="S3" s="19" t="n">
        <v>17.02</v>
      </c>
      <c r="T3" s="19" t="n">
        <v>16.15</v>
      </c>
      <c r="U3" s="19" t="n">
        <v>12.73</v>
      </c>
      <c r="V3" s="19" t="n">
        <v>12.55</v>
      </c>
      <c r="W3" s="19" t="n">
        <v>15.53</v>
      </c>
      <c r="X3" s="19" t="n">
        <v>13.16</v>
      </c>
      <c r="Y3" s="19" t="n">
        <v>17.33</v>
      </c>
      <c r="Z3" s="19" t="n">
        <v>15.7</v>
      </c>
      <c r="AA3" s="19" t="n">
        <v>17.9</v>
      </c>
      <c r="AB3" s="19" t="n">
        <v>17.01</v>
      </c>
      <c r="AC3" s="19" t="n">
        <v>16.38</v>
      </c>
      <c r="AD3" s="19" t="n">
        <v>20.53</v>
      </c>
      <c r="AE3" s="19" t="n">
        <v>20.88</v>
      </c>
      <c r="AF3" s="19" t="n">
        <v>19.32</v>
      </c>
      <c r="AG3" s="19" t="n">
        <v>22.35</v>
      </c>
      <c r="AH3" s="19" t="n">
        <v>28.31</v>
      </c>
      <c r="AI3" s="19" t="n">
        <v>36.26</v>
      </c>
      <c r="AJ3" s="19" t="n">
        <v>39.02</v>
      </c>
      <c r="AK3" s="19" t="n">
        <v>33.21</v>
      </c>
      <c r="AL3" s="19" t="n">
        <v>33.93</v>
      </c>
      <c r="AM3" s="19" t="n">
        <v>37.05</v>
      </c>
      <c r="AN3" s="19" t="n">
        <v>37.81</v>
      </c>
      <c r="AO3" s="19" t="n">
        <v>39.67</v>
      </c>
      <c r="AP3" s="19" t="n">
        <v>36.58</v>
      </c>
      <c r="AQ3" s="19" t="n">
        <v>40.65</v>
      </c>
      <c r="AR3" s="19" t="n">
        <v>43.04</v>
      </c>
      <c r="AS3" s="19" t="n">
        <v>43.15</v>
      </c>
      <c r="AT3" s="19" t="n">
        <v>49.87</v>
      </c>
      <c r="AU3" s="19" t="n">
        <v>44.11</v>
      </c>
      <c r="AV3" s="19" t="n">
        <v>49.15</v>
      </c>
      <c r="AW3" s="19" t="n">
        <v>49.09</v>
      </c>
      <c r="AX3" s="19" t="n">
        <v>48.16</v>
      </c>
      <c r="AY3" s="19" t="n">
        <v>45.52</v>
      </c>
      <c r="AZ3" s="19" t="n">
        <v>50.38</v>
      </c>
      <c r="BA3" s="19" t="n">
        <v>51.18</v>
      </c>
      <c r="BB3" s="19" t="n">
        <v>54.09</v>
      </c>
      <c r="BC3" s="19" t="n">
        <v>47.93</v>
      </c>
      <c r="BD3" s="19" t="n">
        <v>47.57</v>
      </c>
      <c r="BE3" s="19" t="n">
        <v>46.37</v>
      </c>
      <c r="BF3" s="19" t="n">
        <v>47.98</v>
      </c>
      <c r="BG3" s="19" t="n">
        <v>42.67</v>
      </c>
      <c r="BH3" s="19" t="n">
        <v>44.32</v>
      </c>
      <c r="BI3" s="19" t="n">
        <v>41.68</v>
      </c>
      <c r="BJ3" s="19" t="n">
        <v>42.4</v>
      </c>
      <c r="BK3" s="19" t="n">
        <v>44.02</v>
      </c>
      <c r="BL3" s="19" t="n">
        <v>37.75</v>
      </c>
      <c r="BM3" s="19" t="n">
        <v>37.9</v>
      </c>
      <c r="BN3" s="19" t="n">
        <v>35.81</v>
      </c>
      <c r="BO3" s="19" t="n">
        <v>35.37</v>
      </c>
      <c r="BP3" s="19" t="n">
        <v>31.69</v>
      </c>
      <c r="BQ3" s="19" t="n">
        <v>35.89</v>
      </c>
      <c r="BR3" s="19" t="n">
        <v>25.11</v>
      </c>
      <c r="BS3" s="19" t="n">
        <v>26.6</v>
      </c>
      <c r="BT3" s="19" t="n">
        <v>27.7</v>
      </c>
      <c r="BU3" s="19" t="n">
        <v>30.42</v>
      </c>
      <c r="BV3" s="19" t="n">
        <v>33.16</v>
      </c>
      <c r="BW3" s="19" t="n">
        <v>29.24</v>
      </c>
      <c r="BX3" s="19" t="n">
        <v>29.69</v>
      </c>
      <c r="BY3" s="19" t="n">
        <v>24.27</v>
      </c>
      <c r="BZ3" s="19" t="n">
        <v>24.91</v>
      </c>
      <c r="CA3" s="19" t="n">
        <v>32.53</v>
      </c>
      <c r="CB3" s="19" t="n">
        <v>35.49</v>
      </c>
      <c r="CC3" s="19" t="n">
        <v>34.2</v>
      </c>
      <c r="CD3" s="19" t="n">
        <v>31.15</v>
      </c>
      <c r="CE3" s="19" t="n">
        <v>33.45</v>
      </c>
      <c r="CF3" s="19" t="n">
        <v>29.58</v>
      </c>
      <c r="CG3" s="19" t="n">
        <v>23.73</v>
      </c>
      <c r="CH3" s="19" t="n">
        <v>26.2</v>
      </c>
      <c r="CI3" s="19" t="n">
        <v>24.18</v>
      </c>
      <c r="CJ3" s="19" t="n">
        <v>32.77</v>
      </c>
      <c r="CK3" s="19" t="n">
        <v>27.92</v>
      </c>
      <c r="CL3" s="19" t="n">
        <v>28.46</v>
      </c>
      <c r="CM3" s="19" t="n">
        <v>24.83</v>
      </c>
      <c r="CN3" s="19" t="n">
        <v>30.76</v>
      </c>
      <c r="CO3" s="19" t="n">
        <v>25.34</v>
      </c>
      <c r="CP3" s="19" t="n">
        <v>18.68</v>
      </c>
      <c r="CQ3" s="19" t="n">
        <v>18.05</v>
      </c>
      <c r="CR3" s="19" t="n">
        <v>26.77</v>
      </c>
      <c r="CS3" s="19" t="n">
        <v>17.77</v>
      </c>
      <c r="CT3" s="19" t="n">
        <v>19.57</v>
      </c>
      <c r="CU3" s="19" t="n">
        <v>16.85</v>
      </c>
      <c r="CV3" s="19" t="n">
        <v>22.78</v>
      </c>
      <c r="CW3" s="19" t="n">
        <v>18.14</v>
      </c>
      <c r="CX3" s="19" t="n">
        <v>21.91</v>
      </c>
      <c r="CY3" s="19" t="n">
        <v>19.81</v>
      </c>
    </row>
    <row r="4" customFormat="false" ht="15" hidden="false" customHeight="false" outlineLevel="0" collapsed="false">
      <c r="A4" s="12" t="s">
        <v>193</v>
      </c>
      <c r="B4" s="12" t="s">
        <v>194</v>
      </c>
      <c r="C4" s="12" t="s">
        <v>195</v>
      </c>
      <c r="D4" s="12" t="s">
        <v>200</v>
      </c>
      <c r="E4" s="12" t="s">
        <v>201</v>
      </c>
      <c r="F4" s="19" t="n">
        <v>6.6</v>
      </c>
      <c r="G4" s="19" t="n">
        <v>6.02</v>
      </c>
      <c r="H4" s="19" t="n">
        <v>6.74</v>
      </c>
      <c r="I4" s="19" t="n">
        <v>5.96</v>
      </c>
      <c r="J4" s="19" t="n">
        <v>7</v>
      </c>
      <c r="K4" s="19" t="n">
        <v>6.17</v>
      </c>
      <c r="L4" s="19" t="n">
        <v>6.07</v>
      </c>
      <c r="M4" s="19" t="n">
        <v>5.65</v>
      </c>
      <c r="N4" s="19" t="n">
        <v>5.63</v>
      </c>
      <c r="O4" s="19" t="n">
        <v>6.06</v>
      </c>
      <c r="P4" s="19" t="n">
        <v>5.28</v>
      </c>
      <c r="Q4" s="19" t="n">
        <v>5.94</v>
      </c>
      <c r="R4" s="19" t="n">
        <v>6.78</v>
      </c>
      <c r="S4" s="19" t="n">
        <v>5.68</v>
      </c>
      <c r="T4" s="19" t="n">
        <v>4.97</v>
      </c>
      <c r="U4" s="19" t="n">
        <v>5.08</v>
      </c>
      <c r="V4" s="19" t="n">
        <v>5.11</v>
      </c>
      <c r="W4" s="19" t="n">
        <v>5.9</v>
      </c>
      <c r="X4" s="19" t="n">
        <v>5.09</v>
      </c>
      <c r="Y4" s="19" t="n">
        <v>5.13</v>
      </c>
      <c r="Z4" s="19" t="n">
        <v>5.34</v>
      </c>
      <c r="AA4" s="19" t="n">
        <v>4.82</v>
      </c>
      <c r="AB4" s="19" t="n">
        <v>4.67</v>
      </c>
      <c r="AC4" s="19" t="n">
        <v>5.34</v>
      </c>
      <c r="AD4" s="19" t="n">
        <v>5.97</v>
      </c>
      <c r="AE4" s="19" t="n">
        <v>7.35</v>
      </c>
      <c r="AF4" s="19" t="n">
        <v>7.12</v>
      </c>
      <c r="AG4" s="19" t="n">
        <v>8.76</v>
      </c>
      <c r="AH4" s="19" t="n">
        <v>11.9</v>
      </c>
      <c r="AI4" s="19" t="n">
        <v>11.22</v>
      </c>
      <c r="AJ4" s="19" t="n">
        <v>11.75</v>
      </c>
      <c r="AK4" s="19" t="n">
        <v>12.78</v>
      </c>
      <c r="AL4" s="19" t="n">
        <v>14.31</v>
      </c>
      <c r="AM4" s="19" t="n">
        <v>14.35</v>
      </c>
      <c r="AN4" s="19" t="n">
        <v>13.8</v>
      </c>
      <c r="AO4" s="19" t="n">
        <v>13.54</v>
      </c>
      <c r="AP4" s="19" t="n">
        <v>13.5</v>
      </c>
      <c r="AQ4" s="19" t="n">
        <v>13.64</v>
      </c>
      <c r="AR4" s="19" t="n">
        <v>14.47</v>
      </c>
      <c r="AS4" s="19" t="n">
        <v>16.06</v>
      </c>
      <c r="AT4" s="19" t="n">
        <v>15.78</v>
      </c>
      <c r="AU4" s="19" t="n">
        <v>16.56</v>
      </c>
      <c r="AV4" s="19" t="n">
        <v>15.98</v>
      </c>
      <c r="AW4" s="19" t="n">
        <v>17.28</v>
      </c>
      <c r="AX4" s="19" t="n">
        <v>17.94</v>
      </c>
      <c r="AY4" s="19" t="n">
        <v>17.36</v>
      </c>
      <c r="AZ4" s="19" t="n">
        <v>17.28</v>
      </c>
      <c r="BA4" s="19" t="n">
        <v>18.25</v>
      </c>
      <c r="BB4" s="19" t="n">
        <v>18.08</v>
      </c>
      <c r="BC4" s="19" t="n">
        <v>17.07</v>
      </c>
      <c r="BD4" s="19" t="n">
        <v>15.49</v>
      </c>
      <c r="BE4" s="19" t="n">
        <v>16.03</v>
      </c>
      <c r="BF4" s="19" t="n">
        <v>15.72</v>
      </c>
      <c r="BG4" s="19" t="n">
        <v>15.9</v>
      </c>
      <c r="BH4" s="19" t="n">
        <v>14.24</v>
      </c>
      <c r="BI4" s="19" t="n">
        <v>14.84</v>
      </c>
      <c r="BJ4" s="19" t="n">
        <v>15.13</v>
      </c>
      <c r="BK4" s="19" t="n">
        <v>14.38</v>
      </c>
      <c r="BL4" s="19" t="n">
        <v>13.79</v>
      </c>
      <c r="BM4" s="19" t="n">
        <v>13.22</v>
      </c>
      <c r="BN4" s="19" t="n">
        <v>12.96</v>
      </c>
      <c r="BO4" s="19" t="n">
        <v>11.64</v>
      </c>
      <c r="BP4" s="19" t="n">
        <v>11.1</v>
      </c>
      <c r="BQ4" s="19" t="n">
        <v>12.31</v>
      </c>
      <c r="BR4" s="19" t="n">
        <v>12.64</v>
      </c>
      <c r="BS4" s="19" t="n">
        <v>11.11</v>
      </c>
      <c r="BT4" s="19" t="n">
        <v>10.79</v>
      </c>
      <c r="BU4" s="19" t="n">
        <v>10.28</v>
      </c>
      <c r="BV4" s="19" t="n">
        <v>10.37</v>
      </c>
      <c r="BW4" s="19" t="n">
        <v>9.35</v>
      </c>
      <c r="BX4" s="19" t="n">
        <v>8.97</v>
      </c>
      <c r="BY4" s="19" t="n">
        <v>9.07</v>
      </c>
      <c r="BZ4" s="19" t="n">
        <v>9.7</v>
      </c>
      <c r="CA4" s="19" t="n">
        <v>11.52</v>
      </c>
      <c r="CB4" s="19" t="n">
        <v>11.89</v>
      </c>
      <c r="CC4" s="19" t="n">
        <v>12.18</v>
      </c>
      <c r="CD4" s="19" t="n">
        <v>10.96</v>
      </c>
      <c r="CE4" s="19" t="n">
        <v>10.71</v>
      </c>
      <c r="CF4" s="19" t="n">
        <v>10.87</v>
      </c>
      <c r="CG4" s="19" t="n">
        <v>9.27</v>
      </c>
      <c r="CH4" s="19" t="n">
        <v>10.7</v>
      </c>
      <c r="CI4" s="19" t="n">
        <v>9.72</v>
      </c>
      <c r="CJ4" s="19" t="n">
        <v>9.46</v>
      </c>
      <c r="CK4" s="19" t="n">
        <v>10.18</v>
      </c>
      <c r="CL4" s="19" t="n">
        <v>9.51</v>
      </c>
      <c r="CM4" s="19" t="n">
        <v>8.04</v>
      </c>
      <c r="CN4" s="19" t="n">
        <v>8.73</v>
      </c>
      <c r="CO4" s="19" t="n">
        <v>8.56</v>
      </c>
      <c r="CP4" s="19" t="n">
        <v>8.48</v>
      </c>
      <c r="CQ4" s="19" t="n">
        <v>7.81</v>
      </c>
      <c r="CR4" s="19" t="n">
        <v>8.31</v>
      </c>
      <c r="CS4" s="19" t="n">
        <v>7.87</v>
      </c>
      <c r="CT4" s="19" t="n">
        <v>8.3</v>
      </c>
      <c r="CU4" s="19" t="n">
        <v>7.03</v>
      </c>
      <c r="CV4" s="19" t="n">
        <v>6.88</v>
      </c>
      <c r="CW4" s="19" t="n">
        <v>6.21</v>
      </c>
      <c r="CX4" s="19" t="n">
        <v>6.89</v>
      </c>
      <c r="CY4" s="19" t="n">
        <v>6.57</v>
      </c>
    </row>
    <row r="5" customFormat="false" ht="15" hidden="false" customHeight="false" outlineLevel="0" collapsed="false">
      <c r="A5" s="12" t="s">
        <v>193</v>
      </c>
      <c r="B5" s="12" t="s">
        <v>194</v>
      </c>
      <c r="C5" s="12" t="s">
        <v>195</v>
      </c>
      <c r="D5" s="12" t="s">
        <v>202</v>
      </c>
      <c r="E5" s="12" t="s">
        <v>203</v>
      </c>
      <c r="F5" s="19" t="n">
        <v>19.28</v>
      </c>
      <c r="G5" s="19" t="n">
        <v>18.55</v>
      </c>
      <c r="H5" s="19" t="n">
        <v>24.96</v>
      </c>
      <c r="I5" s="19" t="n">
        <v>27.17</v>
      </c>
      <c r="J5" s="19" t="n">
        <v>23.25</v>
      </c>
      <c r="K5" s="19" t="n">
        <v>21.33</v>
      </c>
      <c r="L5" s="19" t="n">
        <v>26.64</v>
      </c>
      <c r="M5" s="19" t="n">
        <v>23.65</v>
      </c>
      <c r="N5" s="19" t="n">
        <v>26.45</v>
      </c>
      <c r="O5" s="19" t="n">
        <v>24.53</v>
      </c>
      <c r="P5" s="19" t="n">
        <v>25.66</v>
      </c>
      <c r="Q5" s="19" t="n">
        <v>27.15</v>
      </c>
      <c r="R5" s="19" t="n">
        <v>29.57</v>
      </c>
      <c r="S5" s="19" t="n">
        <v>24.19</v>
      </c>
      <c r="T5" s="19" t="n">
        <v>27.74</v>
      </c>
      <c r="U5" s="19" t="n">
        <v>20.76</v>
      </c>
      <c r="V5" s="19" t="n">
        <v>21.42</v>
      </c>
      <c r="W5" s="19" t="n">
        <v>30.84</v>
      </c>
      <c r="X5" s="19" t="n">
        <v>24.88</v>
      </c>
      <c r="Y5" s="19" t="n">
        <v>41.03</v>
      </c>
      <c r="Z5" s="19" t="n">
        <v>30.89</v>
      </c>
      <c r="AA5" s="19" t="n">
        <v>25.64</v>
      </c>
      <c r="AB5" s="19" t="n">
        <v>29.23</v>
      </c>
      <c r="AC5" s="19" t="n">
        <v>27.85</v>
      </c>
      <c r="AD5" s="19" t="n">
        <v>35.35</v>
      </c>
      <c r="AE5" s="19" t="n">
        <v>45.91</v>
      </c>
      <c r="AF5" s="19" t="n">
        <v>29.48</v>
      </c>
      <c r="AG5" s="19" t="n">
        <v>31.27</v>
      </c>
      <c r="AH5" s="19" t="n">
        <v>44.15</v>
      </c>
      <c r="AI5" s="19" t="n">
        <v>56.13</v>
      </c>
      <c r="AJ5" s="19" t="n">
        <v>60.51</v>
      </c>
      <c r="AK5" s="19" t="n">
        <v>48.93</v>
      </c>
      <c r="AL5" s="19" t="n">
        <v>48.3</v>
      </c>
      <c r="AM5" s="19" t="n">
        <v>66.83</v>
      </c>
      <c r="AN5" s="19" t="n">
        <v>58.71</v>
      </c>
      <c r="AO5" s="19" t="n">
        <v>60.86</v>
      </c>
      <c r="AP5" s="19" t="n">
        <v>61.12</v>
      </c>
      <c r="AQ5" s="19" t="n">
        <v>64.65</v>
      </c>
      <c r="AR5" s="19" t="n">
        <v>55.17</v>
      </c>
      <c r="AS5" s="19" t="n">
        <v>71.77</v>
      </c>
      <c r="AT5" s="19" t="n">
        <v>74.86</v>
      </c>
      <c r="AU5" s="19" t="n">
        <v>75.74</v>
      </c>
      <c r="AV5" s="19" t="n">
        <v>86.44</v>
      </c>
      <c r="AW5" s="19" t="n">
        <v>71.85</v>
      </c>
      <c r="AX5" s="19" t="n">
        <v>67.33</v>
      </c>
      <c r="AY5" s="19" t="n">
        <v>68.04</v>
      </c>
      <c r="AZ5" s="19" t="n">
        <v>79.87</v>
      </c>
      <c r="BA5" s="19" t="n">
        <v>78.58</v>
      </c>
      <c r="BB5" s="19" t="n">
        <v>74.25</v>
      </c>
      <c r="BC5" s="19" t="n">
        <v>67.47</v>
      </c>
      <c r="BD5" s="19" t="n">
        <v>64.17</v>
      </c>
      <c r="BE5" s="19" t="n">
        <v>68.93</v>
      </c>
      <c r="BF5" s="19" t="n">
        <v>60.93</v>
      </c>
      <c r="BG5" s="19" t="n">
        <v>72.56</v>
      </c>
      <c r="BH5" s="19" t="n">
        <v>69.25</v>
      </c>
      <c r="BI5" s="19" t="n">
        <v>70.27</v>
      </c>
      <c r="BJ5" s="19" t="n">
        <v>66.58</v>
      </c>
      <c r="BK5" s="19" t="n">
        <v>66.13</v>
      </c>
      <c r="BL5" s="19" t="n">
        <v>53.83</v>
      </c>
      <c r="BM5" s="19" t="n">
        <v>48.28</v>
      </c>
      <c r="BN5" s="19" t="n">
        <v>62.6</v>
      </c>
      <c r="BO5" s="19" t="n">
        <v>61.36</v>
      </c>
      <c r="BP5" s="19" t="n">
        <v>52.95</v>
      </c>
      <c r="BQ5" s="19" t="n">
        <v>64.87</v>
      </c>
      <c r="BR5" s="19" t="n">
        <v>56.71</v>
      </c>
      <c r="BS5" s="19" t="n">
        <v>50.88</v>
      </c>
      <c r="BT5" s="19" t="n">
        <v>52.22</v>
      </c>
      <c r="BU5" s="19" t="n">
        <v>47.85</v>
      </c>
      <c r="BV5" s="19" t="n">
        <v>45.24</v>
      </c>
      <c r="BW5" s="19" t="n">
        <v>45.29</v>
      </c>
      <c r="BX5" s="19" t="n">
        <v>48.02</v>
      </c>
      <c r="BY5" s="19" t="n">
        <v>46.66</v>
      </c>
      <c r="BZ5" s="19" t="n">
        <v>47.77</v>
      </c>
      <c r="CA5" s="19" t="n">
        <v>35.72</v>
      </c>
      <c r="CB5" s="19" t="n">
        <v>50.39</v>
      </c>
      <c r="CC5" s="19" t="n">
        <v>55.37</v>
      </c>
      <c r="CD5" s="19" t="n">
        <v>54.03</v>
      </c>
      <c r="CE5" s="19" t="n">
        <v>62.65</v>
      </c>
      <c r="CF5" s="19" t="n">
        <v>42.47</v>
      </c>
      <c r="CG5" s="19" t="n">
        <v>52.54</v>
      </c>
      <c r="CH5" s="19" t="n">
        <v>53.59</v>
      </c>
      <c r="CI5" s="19" t="n">
        <v>42.06</v>
      </c>
      <c r="CJ5" s="19" t="n">
        <v>46.21</v>
      </c>
      <c r="CK5" s="19" t="n">
        <v>52.24</v>
      </c>
      <c r="CL5" s="19" t="n">
        <v>45.86</v>
      </c>
      <c r="CM5" s="19" t="n">
        <v>39.13</v>
      </c>
      <c r="CN5" s="19" t="n">
        <v>53.53</v>
      </c>
      <c r="CO5" s="19" t="n">
        <v>32.77</v>
      </c>
      <c r="CP5" s="19" t="n">
        <v>27.94</v>
      </c>
      <c r="CQ5" s="19" t="n">
        <v>28.33</v>
      </c>
      <c r="CR5" s="19" t="n">
        <v>40.53</v>
      </c>
      <c r="CS5" s="19" t="n">
        <v>34.08</v>
      </c>
      <c r="CT5" s="19" t="n">
        <v>32.04</v>
      </c>
      <c r="CU5" s="19" t="n">
        <v>25.95</v>
      </c>
      <c r="CV5" s="19" t="n">
        <v>38.01</v>
      </c>
      <c r="CW5" s="19" t="n">
        <v>26.48</v>
      </c>
      <c r="CX5" s="19" t="n">
        <v>55.39</v>
      </c>
      <c r="CY5" s="19" t="n">
        <v>39.83</v>
      </c>
    </row>
    <row r="6" customFormat="false" ht="15" hidden="false" customHeight="false" outlineLevel="0" collapsed="false">
      <c r="A6" s="12" t="s">
        <v>193</v>
      </c>
      <c r="B6" s="12" t="s">
        <v>194</v>
      </c>
      <c r="C6" s="12" t="s">
        <v>195</v>
      </c>
      <c r="D6" s="12" t="s">
        <v>204</v>
      </c>
      <c r="E6" s="12" t="s">
        <v>205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9" t="n">
        <v>24.52</v>
      </c>
      <c r="AI6" s="19" t="n">
        <v>31.97</v>
      </c>
      <c r="AJ6" s="19" t="n">
        <v>33.96</v>
      </c>
      <c r="AK6" s="19" t="n">
        <v>29.91</v>
      </c>
      <c r="AL6" s="19" t="n">
        <v>31.06</v>
      </c>
      <c r="AM6" s="19" t="n">
        <v>31.17</v>
      </c>
      <c r="AN6" s="19" t="n">
        <v>33.77</v>
      </c>
      <c r="AO6" s="19" t="n">
        <v>35.44</v>
      </c>
      <c r="AP6" s="19" t="n">
        <v>31.85</v>
      </c>
      <c r="AQ6" s="19" t="n">
        <v>35.91</v>
      </c>
      <c r="AR6" s="19" t="n">
        <v>40.39</v>
      </c>
      <c r="AS6" s="19" t="n">
        <v>37.82</v>
      </c>
      <c r="AT6" s="19" t="n">
        <v>45.52</v>
      </c>
      <c r="AU6" s="19" t="n">
        <v>38.11</v>
      </c>
      <c r="AV6" s="19" t="n">
        <v>41.41</v>
      </c>
      <c r="AW6" s="19" t="n">
        <v>45.53</v>
      </c>
      <c r="AX6" s="19" t="n">
        <v>44.99</v>
      </c>
      <c r="AY6" s="19" t="n">
        <v>42.16</v>
      </c>
      <c r="AZ6" s="19" t="n">
        <v>44.96</v>
      </c>
      <c r="BA6" s="19" t="n">
        <v>46.47</v>
      </c>
      <c r="BB6" s="19" t="n">
        <v>50.5</v>
      </c>
      <c r="BC6" s="19" t="n">
        <v>44.4</v>
      </c>
      <c r="BD6" s="19" t="n">
        <v>44.74</v>
      </c>
      <c r="BE6" s="19" t="n">
        <v>42.18</v>
      </c>
      <c r="BF6" s="19" t="n">
        <v>46.19</v>
      </c>
      <c r="BG6" s="19" t="n">
        <v>37.89</v>
      </c>
      <c r="BH6" s="19" t="n">
        <v>39.77</v>
      </c>
      <c r="BI6" s="19" t="n">
        <v>36.21</v>
      </c>
      <c r="BJ6" s="19" t="n">
        <v>37.17</v>
      </c>
      <c r="BK6" s="19" t="n">
        <v>40.22</v>
      </c>
      <c r="BL6" s="19" t="n">
        <v>34.97</v>
      </c>
      <c r="BM6" s="19" t="n">
        <v>36.17</v>
      </c>
      <c r="BN6" s="19" t="n">
        <v>31.89</v>
      </c>
      <c r="BO6" s="19" t="n">
        <v>31.09</v>
      </c>
      <c r="BP6" s="19" t="n">
        <v>28.22</v>
      </c>
      <c r="BQ6" s="19" t="n">
        <v>31.23</v>
      </c>
      <c r="BR6" s="19" t="n">
        <v>21.08</v>
      </c>
      <c r="BS6" s="19" t="n">
        <v>23.92</v>
      </c>
      <c r="BT6" s="19" t="n">
        <v>22.92</v>
      </c>
      <c r="BU6" s="19" t="n">
        <v>26.6</v>
      </c>
      <c r="BV6" s="19" t="n">
        <v>30.89</v>
      </c>
      <c r="BW6" s="19" t="n">
        <v>26.2</v>
      </c>
      <c r="BX6" s="19" t="n">
        <v>26.66</v>
      </c>
      <c r="BY6" s="19" t="n">
        <v>20.1</v>
      </c>
      <c r="BZ6" s="19" t="n">
        <v>21.02</v>
      </c>
      <c r="CA6" s="19" t="n">
        <v>31.98</v>
      </c>
      <c r="CB6" s="19" t="n">
        <v>32.78</v>
      </c>
      <c r="CC6" s="19" t="n">
        <v>30.8</v>
      </c>
      <c r="CD6" s="19" t="n">
        <v>26.89</v>
      </c>
      <c r="CE6" s="19" t="n">
        <v>27.35</v>
      </c>
      <c r="CF6" s="19" t="n">
        <v>26.67</v>
      </c>
      <c r="CG6" s="19" t="n">
        <v>19.25</v>
      </c>
      <c r="CH6" s="19" t="n">
        <v>20.77</v>
      </c>
      <c r="CI6" s="19" t="n">
        <v>21.14</v>
      </c>
      <c r="CJ6" s="19" t="n">
        <v>30.25</v>
      </c>
      <c r="CK6" s="19" t="n">
        <v>23.93</v>
      </c>
      <c r="CL6" s="19" t="n">
        <v>25.34</v>
      </c>
      <c r="CM6" s="19" t="n">
        <v>23.07</v>
      </c>
      <c r="CN6" s="19" t="n">
        <v>26.76</v>
      </c>
      <c r="CO6" s="19" t="n">
        <v>24.47</v>
      </c>
      <c r="CP6" s="19" t="n">
        <v>17.41</v>
      </c>
      <c r="CQ6" s="19" t="n">
        <v>16.62</v>
      </c>
      <c r="CR6" s="19" t="n">
        <v>24.43</v>
      </c>
      <c r="CS6" s="19" t="n">
        <v>15.05</v>
      </c>
      <c r="CT6" s="19" t="n">
        <v>17.6</v>
      </c>
      <c r="CU6" s="19" t="n">
        <v>15.51</v>
      </c>
      <c r="CV6" s="19" t="n">
        <v>20.06</v>
      </c>
      <c r="CW6" s="19" t="n">
        <v>17.05</v>
      </c>
      <c r="CX6" s="19" t="n">
        <v>16.56</v>
      </c>
      <c r="CY6" s="19" t="n">
        <v>16.25</v>
      </c>
    </row>
    <row r="7" customFormat="false" ht="15" hidden="false" customHeight="false" outlineLevel="0" collapsed="false">
      <c r="A7" s="12" t="s">
        <v>193</v>
      </c>
      <c r="B7" s="12" t="s">
        <v>65</v>
      </c>
      <c r="C7" s="12" t="s">
        <v>195</v>
      </c>
      <c r="D7" s="12" t="s">
        <v>196</v>
      </c>
      <c r="E7" s="12" t="s">
        <v>206</v>
      </c>
      <c r="F7" s="19" t="n">
        <v>11.55</v>
      </c>
      <c r="G7" s="19" t="n">
        <v>11.15</v>
      </c>
      <c r="H7" s="19" t="n">
        <v>11.49</v>
      </c>
      <c r="I7" s="19" t="n">
        <v>11.61</v>
      </c>
      <c r="J7" s="19" t="n">
        <v>11.99</v>
      </c>
      <c r="K7" s="19" t="n">
        <v>11.28</v>
      </c>
      <c r="L7" s="19" t="n">
        <v>11.3</v>
      </c>
      <c r="M7" s="19" t="n">
        <v>11.37</v>
      </c>
      <c r="N7" s="19" t="n">
        <v>11.5</v>
      </c>
      <c r="O7" s="19" t="n">
        <v>11.09</v>
      </c>
      <c r="P7" s="19" t="n">
        <v>10.74</v>
      </c>
      <c r="Q7" s="19" t="n">
        <v>10.53</v>
      </c>
      <c r="R7" s="19" t="n">
        <v>10.17</v>
      </c>
      <c r="S7" s="19" t="n">
        <v>9.32</v>
      </c>
      <c r="T7" s="19" t="n">
        <v>8.41</v>
      </c>
      <c r="U7" s="19" t="n">
        <v>8.71</v>
      </c>
      <c r="V7" s="19" t="n">
        <v>9.03</v>
      </c>
      <c r="W7" s="19" t="n">
        <v>8.44</v>
      </c>
      <c r="X7" s="19" t="n">
        <v>8.08</v>
      </c>
      <c r="Y7" s="19" t="n">
        <v>8.26</v>
      </c>
      <c r="Z7" s="19" t="n">
        <v>8.42</v>
      </c>
      <c r="AA7" s="19" t="n">
        <v>7.93</v>
      </c>
      <c r="AB7" s="19" t="n">
        <v>8.01</v>
      </c>
      <c r="AC7" s="19" t="n">
        <v>8.57</v>
      </c>
      <c r="AD7" s="19" t="n">
        <v>9.6</v>
      </c>
      <c r="AE7" s="19" t="n">
        <v>10.36</v>
      </c>
      <c r="AF7" s="19" t="n">
        <v>11.23</v>
      </c>
      <c r="AG7" s="19" t="n">
        <v>13.79</v>
      </c>
      <c r="AH7" s="19" t="n">
        <v>17.24</v>
      </c>
      <c r="AI7" s="19" t="n">
        <v>17.77</v>
      </c>
      <c r="AJ7" s="19" t="n">
        <v>17.75</v>
      </c>
      <c r="AK7" s="19" t="n">
        <v>18.66</v>
      </c>
      <c r="AL7" s="19" t="n">
        <v>19.84</v>
      </c>
      <c r="AM7" s="19" t="n">
        <v>19.89</v>
      </c>
      <c r="AN7" s="19" t="n">
        <v>19.59</v>
      </c>
      <c r="AO7" s="19" t="n">
        <v>20.11</v>
      </c>
      <c r="AP7" s="19" t="n">
        <v>21.08</v>
      </c>
      <c r="AQ7" s="19" t="n">
        <v>20.64</v>
      </c>
      <c r="AR7" s="19" t="n">
        <v>21.28</v>
      </c>
      <c r="AS7" s="19" t="n">
        <v>22.56</v>
      </c>
      <c r="AT7" s="19" t="n">
        <v>24.19</v>
      </c>
      <c r="AU7" s="19" t="n">
        <v>24.4</v>
      </c>
      <c r="AV7" s="19" t="n">
        <v>24.79</v>
      </c>
      <c r="AW7" s="19" t="n">
        <v>25.77</v>
      </c>
      <c r="AX7" s="19" t="n">
        <v>26.94</v>
      </c>
      <c r="AY7" s="19" t="n">
        <v>26.06</v>
      </c>
      <c r="AZ7" s="19" t="n">
        <v>25.65</v>
      </c>
      <c r="BA7" s="19" t="n">
        <v>25.73</v>
      </c>
      <c r="BB7" s="19" t="n">
        <v>25.93</v>
      </c>
      <c r="BC7" s="19" t="n">
        <v>24.47</v>
      </c>
      <c r="BD7" s="19" t="n">
        <v>23.67</v>
      </c>
      <c r="BE7" s="19" t="n">
        <v>23.7</v>
      </c>
      <c r="BF7" s="19" t="n">
        <v>23.78</v>
      </c>
      <c r="BG7" s="19" t="n">
        <v>22.37</v>
      </c>
      <c r="BH7" s="19" t="n">
        <v>21.18</v>
      </c>
      <c r="BI7" s="19" t="n">
        <v>20.9</v>
      </c>
      <c r="BJ7" s="19" t="n">
        <v>21</v>
      </c>
      <c r="BK7" s="19" t="n">
        <v>20</v>
      </c>
      <c r="BL7" s="19" t="n">
        <v>18.91</v>
      </c>
      <c r="BM7" s="19" t="n">
        <v>18.63</v>
      </c>
      <c r="BN7" s="19" t="n">
        <v>18.75</v>
      </c>
      <c r="BO7" s="19" t="n">
        <v>17.22</v>
      </c>
      <c r="BP7" s="19" t="n">
        <v>16.38</v>
      </c>
      <c r="BQ7" s="19" t="n">
        <v>16.55</v>
      </c>
      <c r="BR7" s="19" t="n">
        <v>16.74</v>
      </c>
      <c r="BS7" s="19" t="n">
        <v>15.28</v>
      </c>
      <c r="BT7" s="19" t="n">
        <v>14.55</v>
      </c>
      <c r="BU7" s="19" t="n">
        <v>14.45</v>
      </c>
      <c r="BV7" s="19" t="n">
        <v>14.7</v>
      </c>
      <c r="BW7" s="19" t="n">
        <v>14.02</v>
      </c>
      <c r="BX7" s="19" t="n">
        <v>13.92</v>
      </c>
      <c r="BY7" s="19" t="n">
        <v>13.78</v>
      </c>
      <c r="BZ7" s="19" t="n">
        <v>14.41</v>
      </c>
      <c r="CA7" s="19" t="n">
        <v>15.33</v>
      </c>
      <c r="CB7" s="19" t="n">
        <v>16.26</v>
      </c>
      <c r="CC7" s="19" t="n">
        <v>16.13</v>
      </c>
      <c r="CD7" s="19" t="n">
        <v>16.14</v>
      </c>
      <c r="CE7" s="19" t="n">
        <v>15.39</v>
      </c>
      <c r="CF7" s="19" t="n">
        <v>14.71</v>
      </c>
      <c r="CG7" s="19" t="n">
        <v>13.44</v>
      </c>
      <c r="CH7" s="19" t="n">
        <v>13.73</v>
      </c>
      <c r="CI7" s="19" t="n">
        <v>12.69</v>
      </c>
      <c r="CJ7" s="19" t="n">
        <v>12.73</v>
      </c>
      <c r="CK7" s="19" t="n">
        <v>12.99</v>
      </c>
      <c r="CL7" s="19" t="n">
        <v>13.38</v>
      </c>
      <c r="CM7" s="19" t="n">
        <v>11.67</v>
      </c>
      <c r="CN7" s="19" t="n">
        <v>11.89</v>
      </c>
      <c r="CO7" s="19" t="n">
        <v>11.8</v>
      </c>
      <c r="CP7" s="19" t="n">
        <v>12.29</v>
      </c>
      <c r="CQ7" s="19" t="n">
        <v>11.27</v>
      </c>
      <c r="CR7" s="19" t="n">
        <v>11.21</v>
      </c>
      <c r="CS7" s="19" t="n">
        <v>10.61</v>
      </c>
      <c r="CT7" s="19" t="n">
        <v>11.36</v>
      </c>
      <c r="CU7" s="19" t="n">
        <v>10.29</v>
      </c>
      <c r="CV7" s="19" t="n">
        <v>10.45</v>
      </c>
      <c r="CW7" s="19" t="n">
        <v>9.93</v>
      </c>
      <c r="CX7" s="19" t="n">
        <v>10.83</v>
      </c>
      <c r="CY7" s="19" t="n">
        <v>9.87</v>
      </c>
    </row>
    <row r="8" customFormat="false" ht="15" hidden="false" customHeight="false" outlineLevel="0" collapsed="false">
      <c r="A8" s="12" t="s">
        <v>193</v>
      </c>
      <c r="B8" s="12" t="s">
        <v>65</v>
      </c>
      <c r="C8" s="12" t="s">
        <v>195</v>
      </c>
      <c r="D8" s="12" t="s">
        <v>198</v>
      </c>
      <c r="E8" s="12" t="s">
        <v>207</v>
      </c>
      <c r="F8" s="19" t="n">
        <v>22.08</v>
      </c>
      <c r="G8" s="19" t="n">
        <v>21.5</v>
      </c>
      <c r="H8" s="19" t="n">
        <v>22.05</v>
      </c>
      <c r="I8" s="19" t="n">
        <v>23.16</v>
      </c>
      <c r="J8" s="19" t="n">
        <v>23.39</v>
      </c>
      <c r="K8" s="19" t="n">
        <v>22.28</v>
      </c>
      <c r="L8" s="19" t="n">
        <v>22.19</v>
      </c>
      <c r="M8" s="19" t="n">
        <v>22.94</v>
      </c>
      <c r="N8" s="19" t="n">
        <v>22.65</v>
      </c>
      <c r="O8" s="19" t="n">
        <v>22.46</v>
      </c>
      <c r="P8" s="19" t="n">
        <v>21.63</v>
      </c>
      <c r="Q8" s="19" t="n">
        <v>21.27</v>
      </c>
      <c r="R8" s="19" t="n">
        <v>21.69</v>
      </c>
      <c r="S8" s="19" t="n">
        <v>20.29</v>
      </c>
      <c r="T8" s="19" t="n">
        <v>18.01</v>
      </c>
      <c r="U8" s="19" t="n">
        <v>18.62</v>
      </c>
      <c r="V8" s="19" t="n">
        <v>18.71</v>
      </c>
      <c r="W8" s="19" t="n">
        <v>18.2</v>
      </c>
      <c r="X8" s="19" t="n">
        <v>16.9</v>
      </c>
      <c r="Y8" s="19" t="n">
        <v>17.81</v>
      </c>
      <c r="Z8" s="19" t="n">
        <v>17.72</v>
      </c>
      <c r="AA8" s="19" t="n">
        <v>18.12</v>
      </c>
      <c r="AB8" s="19" t="n">
        <v>17.87</v>
      </c>
      <c r="AC8" s="19" t="n">
        <v>18.66</v>
      </c>
      <c r="AD8" s="19" t="n">
        <v>21.08</v>
      </c>
      <c r="AE8" s="19" t="n">
        <v>23.62</v>
      </c>
      <c r="AF8" s="19" t="n">
        <v>24.18</v>
      </c>
      <c r="AG8" s="19" t="n">
        <v>28.97</v>
      </c>
      <c r="AH8" s="19" t="n">
        <v>35.54</v>
      </c>
      <c r="AI8" s="19" t="n">
        <v>38.06</v>
      </c>
      <c r="AJ8" s="19" t="n">
        <v>38.57</v>
      </c>
      <c r="AK8" s="19" t="n">
        <v>38.81</v>
      </c>
      <c r="AL8" s="19" t="n">
        <v>40.73</v>
      </c>
      <c r="AM8" s="19" t="n">
        <v>41.97</v>
      </c>
      <c r="AN8" s="19" t="n">
        <v>40.56</v>
      </c>
      <c r="AO8" s="19" t="n">
        <v>42.73</v>
      </c>
      <c r="AP8" s="19" t="n">
        <v>45.3</v>
      </c>
      <c r="AQ8" s="19" t="n">
        <v>45.87</v>
      </c>
      <c r="AR8" s="19" t="n">
        <v>45.58</v>
      </c>
      <c r="AS8" s="19" t="n">
        <v>48.14</v>
      </c>
      <c r="AT8" s="19" t="n">
        <v>51.67</v>
      </c>
      <c r="AU8" s="19" t="n">
        <v>53.04</v>
      </c>
      <c r="AV8" s="19" t="n">
        <v>52.01</v>
      </c>
      <c r="AW8" s="19" t="n">
        <v>54.83</v>
      </c>
      <c r="AX8" s="19" t="n">
        <v>56.92</v>
      </c>
      <c r="AY8" s="19" t="n">
        <v>55.98</v>
      </c>
      <c r="AZ8" s="19" t="n">
        <v>54.14</v>
      </c>
      <c r="BA8" s="19" t="n">
        <v>54.89</v>
      </c>
      <c r="BB8" s="19" t="n">
        <v>55.49</v>
      </c>
      <c r="BC8" s="19" t="n">
        <v>53.12</v>
      </c>
      <c r="BD8" s="19" t="n">
        <v>52.39</v>
      </c>
      <c r="BE8" s="19" t="n">
        <v>51.8</v>
      </c>
      <c r="BF8" s="19" t="n">
        <v>51.36</v>
      </c>
      <c r="BG8" s="19" t="n">
        <v>49.22</v>
      </c>
      <c r="BH8" s="19" t="n">
        <v>46.58</v>
      </c>
      <c r="BI8" s="19" t="n">
        <v>46.24</v>
      </c>
      <c r="BJ8" s="19" t="n">
        <v>46.5</v>
      </c>
      <c r="BK8" s="19" t="n">
        <v>46.48</v>
      </c>
      <c r="BL8" s="19" t="n">
        <v>41.94</v>
      </c>
      <c r="BM8" s="19" t="n">
        <v>42.92</v>
      </c>
      <c r="BN8" s="19" t="n">
        <v>41.66</v>
      </c>
      <c r="BO8" s="19" t="n">
        <v>39.53</v>
      </c>
      <c r="BP8" s="19" t="n">
        <v>35.97</v>
      </c>
      <c r="BQ8" s="19" t="n">
        <v>37.46</v>
      </c>
      <c r="BR8" s="19" t="n">
        <v>36.34</v>
      </c>
      <c r="BS8" s="19" t="n">
        <v>34.68</v>
      </c>
      <c r="BT8" s="19" t="n">
        <v>33</v>
      </c>
      <c r="BU8" s="19" t="n">
        <v>33.54</v>
      </c>
      <c r="BV8" s="19" t="n">
        <v>34.97</v>
      </c>
      <c r="BW8" s="19" t="n">
        <v>33.14</v>
      </c>
      <c r="BX8" s="19" t="n">
        <v>31.68</v>
      </c>
      <c r="BY8" s="19" t="n">
        <v>30.51</v>
      </c>
      <c r="BZ8" s="19" t="n">
        <v>32.99</v>
      </c>
      <c r="CA8" s="19" t="n">
        <v>39.61</v>
      </c>
      <c r="CB8" s="19" t="n">
        <v>40.45</v>
      </c>
      <c r="CC8" s="19" t="n">
        <v>40.13</v>
      </c>
      <c r="CD8" s="19" t="n">
        <v>39.44</v>
      </c>
      <c r="CE8" s="19" t="n">
        <v>38.47</v>
      </c>
      <c r="CF8" s="19" t="n">
        <v>31.66</v>
      </c>
      <c r="CG8" s="19" t="n">
        <v>30.98</v>
      </c>
      <c r="CH8" s="19" t="n">
        <v>30.04</v>
      </c>
      <c r="CI8" s="19" t="n">
        <v>29.23</v>
      </c>
      <c r="CJ8" s="19" t="n">
        <v>30.39</v>
      </c>
      <c r="CK8" s="19" t="n">
        <v>28.97</v>
      </c>
      <c r="CL8" s="19" t="n">
        <v>29.85</v>
      </c>
      <c r="CM8" s="19" t="n">
        <v>28.12</v>
      </c>
      <c r="CN8" s="19" t="n">
        <v>28.28</v>
      </c>
      <c r="CO8" s="19" t="n">
        <v>28.52</v>
      </c>
      <c r="CP8" s="19" t="n">
        <v>27.7</v>
      </c>
      <c r="CQ8" s="19" t="n">
        <v>26.58</v>
      </c>
      <c r="CR8" s="19" t="n">
        <v>26.89</v>
      </c>
      <c r="CS8" s="19" t="n">
        <v>24.9</v>
      </c>
      <c r="CT8" s="19" t="n">
        <v>26.53</v>
      </c>
      <c r="CU8" s="19" t="n">
        <v>24.54</v>
      </c>
      <c r="CV8" s="19" t="n">
        <v>25.42</v>
      </c>
      <c r="CW8" s="19" t="n">
        <v>23.01</v>
      </c>
      <c r="CX8" s="19" t="n">
        <v>24.54</v>
      </c>
      <c r="CY8" s="19" t="n">
        <v>23.77</v>
      </c>
    </row>
    <row r="9" customFormat="false" ht="15" hidden="false" customHeight="false" outlineLevel="0" collapsed="false">
      <c r="A9" s="12" t="s">
        <v>193</v>
      </c>
      <c r="B9" s="12" t="s">
        <v>65</v>
      </c>
      <c r="C9" s="12" t="s">
        <v>195</v>
      </c>
      <c r="D9" s="12" t="s">
        <v>200</v>
      </c>
      <c r="E9" s="12" t="s">
        <v>208</v>
      </c>
      <c r="F9" s="19" t="n">
        <v>9.96</v>
      </c>
      <c r="G9" s="19" t="n">
        <v>9.6</v>
      </c>
      <c r="H9" s="19" t="n">
        <v>9.87</v>
      </c>
      <c r="I9" s="19" t="n">
        <v>9.92</v>
      </c>
      <c r="J9" s="19" t="n">
        <v>10.37</v>
      </c>
      <c r="K9" s="19" t="n">
        <v>9.72</v>
      </c>
      <c r="L9" s="19" t="n">
        <v>9.71</v>
      </c>
      <c r="M9" s="19" t="n">
        <v>9.78</v>
      </c>
      <c r="N9" s="19" t="n">
        <v>10</v>
      </c>
      <c r="O9" s="19" t="n">
        <v>9.56</v>
      </c>
      <c r="P9" s="19" t="n">
        <v>9.22</v>
      </c>
      <c r="Q9" s="19" t="n">
        <v>9.13</v>
      </c>
      <c r="R9" s="19" t="n">
        <v>8.62</v>
      </c>
      <c r="S9" s="19" t="n">
        <v>7.83</v>
      </c>
      <c r="T9" s="19" t="n">
        <v>7.06</v>
      </c>
      <c r="U9" s="19" t="n">
        <v>7.41</v>
      </c>
      <c r="V9" s="19" t="n">
        <v>7.79</v>
      </c>
      <c r="W9" s="19" t="n">
        <v>7.18</v>
      </c>
      <c r="X9" s="19" t="n">
        <v>6.91</v>
      </c>
      <c r="Y9" s="19" t="n">
        <v>7.07</v>
      </c>
      <c r="Z9" s="19" t="n">
        <v>7.29</v>
      </c>
      <c r="AA9" s="19" t="n">
        <v>6.68</v>
      </c>
      <c r="AB9" s="19" t="n">
        <v>6.73</v>
      </c>
      <c r="AC9" s="19" t="n">
        <v>7.37</v>
      </c>
      <c r="AD9" s="19" t="n">
        <v>8.27</v>
      </c>
      <c r="AE9" s="19" t="n">
        <v>8.8</v>
      </c>
      <c r="AF9" s="19" t="n">
        <v>9.63</v>
      </c>
      <c r="AG9" s="19" t="n">
        <v>12.06</v>
      </c>
      <c r="AH9" s="19" t="n">
        <v>15.25</v>
      </c>
      <c r="AI9" s="19" t="n">
        <v>15.59</v>
      </c>
      <c r="AJ9" s="19" t="n">
        <v>15.45</v>
      </c>
      <c r="AK9" s="19" t="n">
        <v>16.65</v>
      </c>
      <c r="AL9" s="19" t="n">
        <v>17.81</v>
      </c>
      <c r="AM9" s="19" t="n">
        <v>17.72</v>
      </c>
      <c r="AN9" s="19" t="n">
        <v>17.49</v>
      </c>
      <c r="AO9" s="19" t="n">
        <v>18.02</v>
      </c>
      <c r="AP9" s="19" t="n">
        <v>18.9</v>
      </c>
      <c r="AQ9" s="19" t="n">
        <v>18.36</v>
      </c>
      <c r="AR9" s="19" t="n">
        <v>18.99</v>
      </c>
      <c r="AS9" s="19" t="n">
        <v>20.37</v>
      </c>
      <c r="AT9" s="19" t="n">
        <v>21.9</v>
      </c>
      <c r="AU9" s="19" t="n">
        <v>21.99</v>
      </c>
      <c r="AV9" s="19" t="n">
        <v>22.42</v>
      </c>
      <c r="AW9" s="19" t="n">
        <v>23.46</v>
      </c>
      <c r="AX9" s="19" t="n">
        <v>24.54</v>
      </c>
      <c r="AY9" s="19" t="n">
        <v>23.68</v>
      </c>
      <c r="AZ9" s="19" t="n">
        <v>23.28</v>
      </c>
      <c r="BA9" s="19" t="n">
        <v>23.48</v>
      </c>
      <c r="BB9" s="19" t="n">
        <v>23.72</v>
      </c>
      <c r="BC9" s="19" t="n">
        <v>22.35</v>
      </c>
      <c r="BD9" s="19" t="n">
        <v>21.43</v>
      </c>
      <c r="BE9" s="19" t="n">
        <v>21.64</v>
      </c>
      <c r="BF9" s="19" t="n">
        <v>21.81</v>
      </c>
      <c r="BG9" s="19" t="n">
        <v>20.42</v>
      </c>
      <c r="BH9" s="19" t="n">
        <v>19.22</v>
      </c>
      <c r="BI9" s="19" t="n">
        <v>19.13</v>
      </c>
      <c r="BJ9" s="19" t="n">
        <v>19.28</v>
      </c>
      <c r="BK9" s="19" t="n">
        <v>18.15</v>
      </c>
      <c r="BL9" s="19" t="n">
        <v>17.24</v>
      </c>
      <c r="BM9" s="19" t="n">
        <v>17</v>
      </c>
      <c r="BN9" s="19" t="n">
        <v>17.22</v>
      </c>
      <c r="BO9" s="19" t="n">
        <v>15.67</v>
      </c>
      <c r="BP9" s="19" t="n">
        <v>14.89</v>
      </c>
      <c r="BQ9" s="19" t="n">
        <v>15.08</v>
      </c>
      <c r="BR9" s="19" t="n">
        <v>15.44</v>
      </c>
      <c r="BS9" s="19" t="n">
        <v>13.91</v>
      </c>
      <c r="BT9" s="19" t="n">
        <v>13.16</v>
      </c>
      <c r="BU9" s="19" t="n">
        <v>13.11</v>
      </c>
      <c r="BV9" s="19" t="n">
        <v>13.31</v>
      </c>
      <c r="BW9" s="19" t="n">
        <v>12.67</v>
      </c>
      <c r="BX9" s="19" t="n">
        <v>12.55</v>
      </c>
      <c r="BY9" s="19" t="n">
        <v>12.61</v>
      </c>
      <c r="BZ9" s="19" t="n">
        <v>13.14</v>
      </c>
      <c r="CA9" s="19" t="n">
        <v>13.81</v>
      </c>
      <c r="CB9" s="19" t="n">
        <v>14.51</v>
      </c>
      <c r="CC9" s="19" t="n">
        <v>14.55</v>
      </c>
      <c r="CD9" s="19" t="n">
        <v>14.64</v>
      </c>
      <c r="CE9" s="19" t="n">
        <v>13.77</v>
      </c>
      <c r="CF9" s="19" t="n">
        <v>13.42</v>
      </c>
      <c r="CG9" s="19" t="n">
        <v>12.27</v>
      </c>
      <c r="CH9" s="19" t="n">
        <v>12.61</v>
      </c>
      <c r="CI9" s="19" t="n">
        <v>11.46</v>
      </c>
      <c r="CJ9" s="19" t="n">
        <v>11.34</v>
      </c>
      <c r="CK9" s="19" t="n">
        <v>11.85</v>
      </c>
      <c r="CL9" s="19" t="n">
        <v>12.21</v>
      </c>
      <c r="CM9" s="19" t="n">
        <v>10.44</v>
      </c>
      <c r="CN9" s="19" t="n">
        <v>10.54</v>
      </c>
      <c r="CO9" s="19" t="n">
        <v>10.55</v>
      </c>
      <c r="CP9" s="19" t="n">
        <v>11.14</v>
      </c>
      <c r="CQ9" s="19" t="n">
        <v>10.08</v>
      </c>
      <c r="CR9" s="19" t="n">
        <v>9.86</v>
      </c>
      <c r="CS9" s="19" t="n">
        <v>9.52</v>
      </c>
      <c r="CT9" s="19" t="n">
        <v>10.23</v>
      </c>
      <c r="CU9" s="19" t="n">
        <v>9.15</v>
      </c>
      <c r="CV9" s="19" t="n">
        <v>9.16</v>
      </c>
      <c r="CW9" s="19" t="n">
        <v>8.93</v>
      </c>
      <c r="CX9" s="19" t="n">
        <v>9.77</v>
      </c>
      <c r="CY9" s="19" t="n">
        <v>8.72</v>
      </c>
    </row>
    <row r="10" customFormat="false" ht="15" hidden="false" customHeight="false" outlineLevel="0" collapsed="false">
      <c r="A10" s="12" t="s">
        <v>193</v>
      </c>
      <c r="B10" s="12" t="s">
        <v>65</v>
      </c>
      <c r="C10" s="12" t="s">
        <v>195</v>
      </c>
      <c r="D10" s="12" t="s">
        <v>202</v>
      </c>
      <c r="E10" s="12" t="s">
        <v>209</v>
      </c>
      <c r="F10" s="19" t="n">
        <v>28.42</v>
      </c>
      <c r="G10" s="19" t="n">
        <v>29.48</v>
      </c>
      <c r="H10" s="19" t="n">
        <v>30.06</v>
      </c>
      <c r="I10" s="19" t="n">
        <v>31.55</v>
      </c>
      <c r="J10" s="19" t="n">
        <v>33.85</v>
      </c>
      <c r="K10" s="19" t="n">
        <v>34.13</v>
      </c>
      <c r="L10" s="19" t="n">
        <v>31.49</v>
      </c>
      <c r="M10" s="19" t="n">
        <v>32.07</v>
      </c>
      <c r="N10" s="19" t="n">
        <v>32.45</v>
      </c>
      <c r="O10" s="19" t="n">
        <v>32.16</v>
      </c>
      <c r="P10" s="19" t="n">
        <v>29.28</v>
      </c>
      <c r="Q10" s="19" t="n">
        <v>29.04</v>
      </c>
      <c r="R10" s="19" t="n">
        <v>31.21</v>
      </c>
      <c r="S10" s="19" t="n">
        <v>31.07</v>
      </c>
      <c r="T10" s="19" t="n">
        <v>26.88</v>
      </c>
      <c r="U10" s="19" t="n">
        <v>27.83</v>
      </c>
      <c r="V10" s="19" t="n">
        <v>29.68</v>
      </c>
      <c r="W10" s="19" t="n">
        <v>31.22</v>
      </c>
      <c r="X10" s="19" t="n">
        <v>24.87</v>
      </c>
      <c r="Y10" s="19" t="n">
        <v>31.23</v>
      </c>
      <c r="Z10" s="19" t="n">
        <v>27.59</v>
      </c>
      <c r="AA10" s="19" t="n">
        <v>29.19</v>
      </c>
      <c r="AB10" s="19" t="n">
        <v>27.21</v>
      </c>
      <c r="AC10" s="19" t="n">
        <v>31.08</v>
      </c>
      <c r="AD10" s="19" t="n">
        <v>32.82</v>
      </c>
      <c r="AE10" s="19" t="n">
        <v>40.96</v>
      </c>
      <c r="AF10" s="19" t="n">
        <v>38.34</v>
      </c>
      <c r="AG10" s="19" t="n">
        <v>45.83</v>
      </c>
      <c r="AH10" s="19" t="n">
        <v>54.25</v>
      </c>
      <c r="AI10" s="19" t="n">
        <v>56.18</v>
      </c>
      <c r="AJ10" s="19" t="n">
        <v>53.52</v>
      </c>
      <c r="AK10" s="19" t="n">
        <v>57.47</v>
      </c>
      <c r="AL10" s="19" t="n">
        <v>59.54</v>
      </c>
      <c r="AM10" s="19" t="n">
        <v>62.15</v>
      </c>
      <c r="AN10" s="19" t="n">
        <v>59.99</v>
      </c>
      <c r="AO10" s="19" t="n">
        <v>63.67</v>
      </c>
      <c r="AP10" s="19" t="n">
        <v>65.3</v>
      </c>
      <c r="AQ10" s="19" t="n">
        <v>62.53</v>
      </c>
      <c r="AR10" s="19" t="n">
        <v>60.38</v>
      </c>
      <c r="AS10" s="19" t="n">
        <v>69.15</v>
      </c>
      <c r="AT10" s="19" t="n">
        <v>71.44</v>
      </c>
      <c r="AU10" s="19" t="n">
        <v>73.19</v>
      </c>
      <c r="AV10" s="19" t="n">
        <v>71.89</v>
      </c>
      <c r="AW10" s="19" t="n">
        <v>73.88</v>
      </c>
      <c r="AX10" s="19" t="n">
        <v>75.63</v>
      </c>
      <c r="AY10" s="19" t="n">
        <v>73</v>
      </c>
      <c r="AZ10" s="19" t="n">
        <v>72.15</v>
      </c>
      <c r="BA10" s="19" t="n">
        <v>75.53</v>
      </c>
      <c r="BB10" s="19" t="n">
        <v>70.16</v>
      </c>
      <c r="BC10" s="19" t="n">
        <v>70.39</v>
      </c>
      <c r="BD10" s="19" t="n">
        <v>66.71</v>
      </c>
      <c r="BE10" s="19" t="n">
        <v>67.28</v>
      </c>
      <c r="BF10" s="19" t="n">
        <v>70.45</v>
      </c>
      <c r="BG10" s="19" t="n">
        <v>69.36</v>
      </c>
      <c r="BH10" s="19" t="n">
        <v>63.73</v>
      </c>
      <c r="BI10" s="19" t="n">
        <v>66.09</v>
      </c>
      <c r="BJ10" s="19" t="n">
        <v>64.12</v>
      </c>
      <c r="BK10" s="19" t="n">
        <v>63.52</v>
      </c>
      <c r="BL10" s="19" t="n">
        <v>54.69</v>
      </c>
      <c r="BM10" s="19" t="n">
        <v>58.67</v>
      </c>
      <c r="BN10" s="19" t="n">
        <v>58.74</v>
      </c>
      <c r="BO10" s="19" t="n">
        <v>55.98</v>
      </c>
      <c r="BP10" s="19" t="n">
        <v>50.41</v>
      </c>
      <c r="BQ10" s="19" t="n">
        <v>54.2</v>
      </c>
      <c r="BR10" s="19" t="n">
        <v>56.15</v>
      </c>
      <c r="BS10" s="19" t="n">
        <v>51.64</v>
      </c>
      <c r="BT10" s="19" t="n">
        <v>45.43</v>
      </c>
      <c r="BU10" s="19" t="n">
        <v>46.89</v>
      </c>
      <c r="BV10" s="19" t="n">
        <v>49.26</v>
      </c>
      <c r="BW10" s="19" t="n">
        <v>46.26</v>
      </c>
      <c r="BX10" s="19" t="n">
        <v>42.15</v>
      </c>
      <c r="BY10" s="19" t="n">
        <v>43.9</v>
      </c>
      <c r="BZ10" s="19" t="n">
        <v>47.29</v>
      </c>
      <c r="CA10" s="19" t="n">
        <v>54.5</v>
      </c>
      <c r="CB10" s="19" t="n">
        <v>55.93</v>
      </c>
      <c r="CC10" s="19" t="n">
        <v>60.14</v>
      </c>
      <c r="CD10" s="19" t="n">
        <v>58.42</v>
      </c>
      <c r="CE10" s="19" t="n">
        <v>55.15</v>
      </c>
      <c r="CF10" s="19" t="n">
        <v>43.25</v>
      </c>
      <c r="CG10" s="19" t="n">
        <v>50.23</v>
      </c>
      <c r="CH10" s="19" t="n">
        <v>45.73</v>
      </c>
      <c r="CI10" s="19" t="n">
        <v>48.78</v>
      </c>
      <c r="CJ10" s="19" t="n">
        <v>43.83</v>
      </c>
      <c r="CK10" s="19" t="n">
        <v>41.29</v>
      </c>
      <c r="CL10" s="19" t="n">
        <v>45.3</v>
      </c>
      <c r="CM10" s="19" t="n">
        <v>43.5</v>
      </c>
      <c r="CN10" s="19" t="n">
        <v>41.41</v>
      </c>
      <c r="CO10" s="19" t="n">
        <v>42.86</v>
      </c>
      <c r="CP10" s="19" t="n">
        <v>41.06</v>
      </c>
      <c r="CQ10" s="19" t="n">
        <v>44.52</v>
      </c>
      <c r="CR10" s="19" t="n">
        <v>38.43</v>
      </c>
      <c r="CS10" s="19" t="n">
        <v>38.79</v>
      </c>
      <c r="CT10" s="19" t="n">
        <v>40.22</v>
      </c>
      <c r="CU10" s="19" t="n">
        <v>39.88</v>
      </c>
      <c r="CV10" s="19" t="n">
        <v>37.36</v>
      </c>
      <c r="CW10" s="19" t="n">
        <v>30.43</v>
      </c>
      <c r="CX10" s="19" t="n">
        <v>39.13</v>
      </c>
      <c r="CY10" s="19" t="n">
        <v>41.12</v>
      </c>
    </row>
    <row r="11" customFormat="false" ht="15" hidden="false" customHeight="false" outlineLevel="0" collapsed="false">
      <c r="A11" s="12" t="s">
        <v>193</v>
      </c>
      <c r="B11" s="12" t="s">
        <v>65</v>
      </c>
      <c r="C11" s="12" t="s">
        <v>195</v>
      </c>
      <c r="D11" s="12" t="s">
        <v>204</v>
      </c>
      <c r="E11" s="12" t="s">
        <v>210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9" t="n">
        <v>30.63</v>
      </c>
      <c r="AI11" s="19" t="n">
        <v>33.26</v>
      </c>
      <c r="AJ11" s="19" t="n">
        <v>34.54</v>
      </c>
      <c r="AK11" s="19" t="n">
        <v>34.67</v>
      </c>
      <c r="AL11" s="19" t="n">
        <v>36.31</v>
      </c>
      <c r="AM11" s="19" t="n">
        <v>36.96</v>
      </c>
      <c r="AN11" s="19" t="n">
        <v>35.95</v>
      </c>
      <c r="AO11" s="19" t="n">
        <v>38.33</v>
      </c>
      <c r="AP11" s="19" t="n">
        <v>41.14</v>
      </c>
      <c r="AQ11" s="19" t="n">
        <v>42.17</v>
      </c>
      <c r="AR11" s="19" t="n">
        <v>42</v>
      </c>
      <c r="AS11" s="19" t="n">
        <v>44.05</v>
      </c>
      <c r="AT11" s="19" t="n">
        <v>47.71</v>
      </c>
      <c r="AU11" s="19" t="n">
        <v>48.7</v>
      </c>
      <c r="AV11" s="19" t="n">
        <v>47.68</v>
      </c>
      <c r="AW11" s="19" t="n">
        <v>51.41</v>
      </c>
      <c r="AX11" s="19" t="n">
        <v>53.39</v>
      </c>
      <c r="AY11" s="19" t="n">
        <v>52.62</v>
      </c>
      <c r="AZ11" s="19" t="n">
        <v>50.14</v>
      </c>
      <c r="BA11" s="19" t="n">
        <v>50.93</v>
      </c>
      <c r="BB11" s="19" t="n">
        <v>52.86</v>
      </c>
      <c r="BC11" s="19" t="n">
        <v>49.99</v>
      </c>
      <c r="BD11" s="19" t="n">
        <v>49.54</v>
      </c>
      <c r="BE11" s="19" t="n">
        <v>48.88</v>
      </c>
      <c r="BF11" s="19" t="n">
        <v>47.74</v>
      </c>
      <c r="BG11" s="19" t="n">
        <v>45.26</v>
      </c>
      <c r="BH11" s="19" t="n">
        <v>42.89</v>
      </c>
      <c r="BI11" s="19" t="n">
        <v>42.52</v>
      </c>
      <c r="BJ11" s="19" t="n">
        <v>43.26</v>
      </c>
      <c r="BK11" s="19" t="n">
        <v>43.33</v>
      </c>
      <c r="BL11" s="19" t="n">
        <v>39.27</v>
      </c>
      <c r="BM11" s="19" t="n">
        <v>39.83</v>
      </c>
      <c r="BN11" s="19" t="n">
        <v>38.37</v>
      </c>
      <c r="BO11" s="19" t="n">
        <v>36.15</v>
      </c>
      <c r="BP11" s="19" t="n">
        <v>32.69</v>
      </c>
      <c r="BQ11" s="19" t="n">
        <v>33.95</v>
      </c>
      <c r="BR11" s="19" t="n">
        <v>32.37</v>
      </c>
      <c r="BS11" s="19" t="n">
        <v>30.97</v>
      </c>
      <c r="BT11" s="19" t="n">
        <v>30.1</v>
      </c>
      <c r="BU11" s="19" t="n">
        <v>30.78</v>
      </c>
      <c r="BV11" s="19" t="n">
        <v>32</v>
      </c>
      <c r="BW11" s="19" t="n">
        <v>30.22</v>
      </c>
      <c r="BX11" s="19" t="n">
        <v>29.28</v>
      </c>
      <c r="BY11" s="19" t="n">
        <v>27.72</v>
      </c>
      <c r="BZ11" s="19" t="n">
        <v>30.12</v>
      </c>
      <c r="CA11" s="19" t="n">
        <v>36.89</v>
      </c>
      <c r="CB11" s="19" t="n">
        <v>37.18</v>
      </c>
      <c r="CC11" s="19" t="n">
        <v>36.52</v>
      </c>
      <c r="CD11" s="19" t="n">
        <v>36.28</v>
      </c>
      <c r="CE11" s="19" t="n">
        <v>35.02</v>
      </c>
      <c r="CF11" s="19" t="n">
        <v>28.83</v>
      </c>
      <c r="CG11" s="19" t="n">
        <v>27.2</v>
      </c>
      <c r="CH11" s="19" t="n">
        <v>26.82</v>
      </c>
      <c r="CI11" s="19" t="n">
        <v>24.81</v>
      </c>
      <c r="CJ11" s="19" t="n">
        <v>27.25</v>
      </c>
      <c r="CK11" s="19" t="n">
        <v>26.47</v>
      </c>
      <c r="CL11" s="19" t="n">
        <v>26.86</v>
      </c>
      <c r="CM11" s="19" t="n">
        <v>24.94</v>
      </c>
      <c r="CN11" s="19" t="n">
        <v>25.14</v>
      </c>
      <c r="CO11" s="19" t="n">
        <v>25.72</v>
      </c>
      <c r="CP11" s="19" t="n">
        <v>24.98</v>
      </c>
      <c r="CQ11" s="19" t="n">
        <v>22.42</v>
      </c>
      <c r="CR11" s="19" t="n">
        <v>24.02</v>
      </c>
      <c r="CS11" s="19" t="n">
        <v>22.02</v>
      </c>
      <c r="CT11" s="19" t="n">
        <v>24.06</v>
      </c>
      <c r="CU11" s="19" t="n">
        <v>21.3</v>
      </c>
      <c r="CV11" s="19" t="n">
        <v>22.65</v>
      </c>
      <c r="CW11" s="19" t="n">
        <v>21.78</v>
      </c>
      <c r="CX11" s="19" t="n">
        <v>21.77</v>
      </c>
      <c r="CY11" s="19" t="n">
        <v>19.88</v>
      </c>
    </row>
    <row r="12" customFormat="false" ht="15" hidden="false" customHeight="false" outlineLevel="0" collapsed="false">
      <c r="A12" s="12" t="s">
        <v>211</v>
      </c>
      <c r="B12" s="12" t="s">
        <v>194</v>
      </c>
      <c r="C12" s="12" t="s">
        <v>195</v>
      </c>
      <c r="D12" s="12" t="s">
        <v>196</v>
      </c>
      <c r="E12" s="12" t="s">
        <v>212</v>
      </c>
      <c r="F12" s="19" t="n">
        <v>54.03</v>
      </c>
      <c r="G12" s="19" t="n">
        <v>54.52</v>
      </c>
      <c r="H12" s="19" t="n">
        <v>54.58</v>
      </c>
      <c r="I12" s="19" t="n">
        <v>54.69</v>
      </c>
      <c r="J12" s="19" t="n">
        <v>54.56</v>
      </c>
      <c r="K12" s="19" t="n">
        <v>55.13</v>
      </c>
      <c r="L12" s="19" t="n">
        <v>55.11</v>
      </c>
      <c r="M12" s="19" t="n">
        <v>55.5</v>
      </c>
      <c r="N12" s="19" t="n">
        <v>56.25</v>
      </c>
      <c r="O12" s="19" t="n">
        <v>56.74</v>
      </c>
      <c r="P12" s="19" t="n">
        <v>56.75</v>
      </c>
      <c r="Q12" s="19" t="n">
        <v>57.36</v>
      </c>
      <c r="R12" s="19" t="n">
        <v>57.84</v>
      </c>
      <c r="S12" s="19" t="n">
        <v>59.53</v>
      </c>
      <c r="T12" s="19" t="n">
        <v>59.21</v>
      </c>
      <c r="U12" s="19" t="n">
        <v>59.37</v>
      </c>
      <c r="V12" s="19" t="n">
        <v>60.03</v>
      </c>
      <c r="W12" s="19" t="n">
        <v>59.88</v>
      </c>
      <c r="X12" s="19" t="n">
        <v>60</v>
      </c>
      <c r="Y12" s="19" t="n">
        <v>61</v>
      </c>
      <c r="Z12" s="19" t="n">
        <v>60.79</v>
      </c>
      <c r="AA12" s="19" t="n">
        <v>60.75</v>
      </c>
      <c r="AB12" s="19" t="n">
        <v>61.23</v>
      </c>
      <c r="AC12" s="19" t="n">
        <v>60.83</v>
      </c>
      <c r="AD12" s="19" t="n">
        <v>60.09</v>
      </c>
      <c r="AE12" s="19" t="n">
        <v>59.91</v>
      </c>
      <c r="AF12" s="19" t="n">
        <v>60.15</v>
      </c>
      <c r="AG12" s="19" t="n">
        <v>59.39</v>
      </c>
      <c r="AH12" s="19" t="n">
        <v>57.29</v>
      </c>
      <c r="AI12" s="19" t="n">
        <v>57.17</v>
      </c>
      <c r="AJ12" s="19" t="n">
        <v>56.09</v>
      </c>
      <c r="AK12" s="19" t="n">
        <v>56.1</v>
      </c>
      <c r="AL12" s="19" t="n">
        <v>55.43</v>
      </c>
      <c r="AM12" s="19" t="n">
        <v>55.51</v>
      </c>
      <c r="AN12" s="19" t="n">
        <v>55.48</v>
      </c>
      <c r="AO12" s="19" t="n">
        <v>56.02</v>
      </c>
      <c r="AP12" s="19" t="n">
        <v>55.38</v>
      </c>
      <c r="AQ12" s="19" t="n">
        <v>55.52</v>
      </c>
      <c r="AR12" s="19" t="n">
        <v>54.1</v>
      </c>
      <c r="AS12" s="19" t="n">
        <v>53.32</v>
      </c>
      <c r="AT12" s="19" t="n">
        <v>53.5</v>
      </c>
      <c r="AU12" s="19" t="n">
        <v>53.59</v>
      </c>
      <c r="AV12" s="19" t="n">
        <v>53.32</v>
      </c>
      <c r="AW12" s="19" t="n">
        <v>52.47</v>
      </c>
      <c r="AX12" s="19" t="n">
        <v>52.31</v>
      </c>
      <c r="AY12" s="19" t="n">
        <v>52.01</v>
      </c>
      <c r="AZ12" s="19" t="n">
        <v>51.61</v>
      </c>
      <c r="BA12" s="19" t="n">
        <v>50.95</v>
      </c>
      <c r="BB12" s="19" t="n">
        <v>50.5</v>
      </c>
      <c r="BC12" s="19" t="n">
        <v>51.42</v>
      </c>
      <c r="BD12" s="19" t="n">
        <v>52.5</v>
      </c>
      <c r="BE12" s="19" t="n">
        <v>53.15</v>
      </c>
      <c r="BF12" s="19" t="n">
        <v>53.08</v>
      </c>
      <c r="BG12" s="19" t="n">
        <v>53.56</v>
      </c>
      <c r="BH12" s="19" t="n">
        <v>53.53</v>
      </c>
      <c r="BI12" s="19" t="n">
        <v>54.06</v>
      </c>
      <c r="BJ12" s="19" t="n">
        <v>53.44</v>
      </c>
      <c r="BK12" s="19" t="n">
        <v>53.63</v>
      </c>
      <c r="BL12" s="19" t="n">
        <v>53.55</v>
      </c>
      <c r="BM12" s="19" t="n">
        <v>53.96</v>
      </c>
      <c r="BN12" s="19" t="n">
        <v>53.75</v>
      </c>
      <c r="BO12" s="19" t="n">
        <v>54.47</v>
      </c>
      <c r="BP12" s="19" t="n">
        <v>55.09</v>
      </c>
      <c r="BQ12" s="19" t="n">
        <v>54.62</v>
      </c>
      <c r="BR12" s="19" t="n">
        <v>54.79</v>
      </c>
      <c r="BS12" s="19" t="n">
        <v>55.25</v>
      </c>
      <c r="BT12" s="19" t="n">
        <v>55.11</v>
      </c>
      <c r="BU12" s="19" t="n">
        <v>55.68</v>
      </c>
      <c r="BV12" s="19" t="n">
        <v>55.37</v>
      </c>
      <c r="BW12" s="19" t="n">
        <v>56.23</v>
      </c>
      <c r="BX12" s="19" t="n">
        <v>55.97</v>
      </c>
      <c r="BY12" s="19" t="n">
        <v>57.06</v>
      </c>
      <c r="BZ12" s="19" t="n">
        <v>56.28</v>
      </c>
      <c r="CA12" s="19" t="n">
        <v>52.85</v>
      </c>
      <c r="CB12" s="19" t="n">
        <v>53.6</v>
      </c>
      <c r="CC12" s="19" t="n">
        <v>54.76</v>
      </c>
      <c r="CD12" s="19" t="n">
        <v>55.5</v>
      </c>
      <c r="CE12" s="19" t="n">
        <v>55.78</v>
      </c>
      <c r="CF12" s="19" t="n">
        <v>55.81</v>
      </c>
      <c r="CG12" s="19" t="n">
        <v>56.61</v>
      </c>
      <c r="CH12" s="19" t="n">
        <v>56.19</v>
      </c>
      <c r="CI12" s="19" t="n">
        <v>56.71</v>
      </c>
      <c r="CJ12" s="19" t="n">
        <v>55.91</v>
      </c>
      <c r="CK12" s="19" t="n">
        <v>55.99</v>
      </c>
      <c r="CL12" s="19" t="n">
        <v>56.41</v>
      </c>
      <c r="CM12" s="19" t="n">
        <v>57.65</v>
      </c>
      <c r="CN12" s="19" t="n">
        <v>56.65</v>
      </c>
      <c r="CO12" s="19" t="n">
        <v>57.1</v>
      </c>
      <c r="CP12" s="19" t="n">
        <v>57.46</v>
      </c>
      <c r="CQ12" s="19" t="n">
        <v>57.39</v>
      </c>
      <c r="CR12" s="19" t="n">
        <v>57.04</v>
      </c>
      <c r="CS12" s="19" t="n">
        <v>58.03</v>
      </c>
      <c r="CT12" s="19" t="n">
        <v>57.9</v>
      </c>
      <c r="CU12" s="19" t="n">
        <v>58.66</v>
      </c>
      <c r="CV12" s="19" t="n">
        <v>57.84</v>
      </c>
      <c r="CW12" s="19" t="n">
        <v>58.52</v>
      </c>
      <c r="CX12" s="19" t="n">
        <v>58.28</v>
      </c>
      <c r="CY12" s="19" t="n">
        <v>59.08</v>
      </c>
    </row>
    <row r="13" customFormat="false" ht="15" hidden="false" customHeight="false" outlineLevel="0" collapsed="false">
      <c r="A13" s="12" t="s">
        <v>211</v>
      </c>
      <c r="B13" s="12" t="s">
        <v>194</v>
      </c>
      <c r="C13" s="12" t="s">
        <v>195</v>
      </c>
      <c r="D13" s="12" t="s">
        <v>198</v>
      </c>
      <c r="E13" s="12" t="s">
        <v>213</v>
      </c>
      <c r="F13" s="19" t="n">
        <v>37.56</v>
      </c>
      <c r="G13" s="19" t="n">
        <v>38.03</v>
      </c>
      <c r="H13" s="19" t="n">
        <v>38.95</v>
      </c>
      <c r="I13" s="19" t="n">
        <v>37.09</v>
      </c>
      <c r="J13" s="19" t="n">
        <v>37.41</v>
      </c>
      <c r="K13" s="19" t="n">
        <v>38.99</v>
      </c>
      <c r="L13" s="19" t="n">
        <v>37.6</v>
      </c>
      <c r="M13" s="19" t="n">
        <v>36.65</v>
      </c>
      <c r="N13" s="19" t="n">
        <v>37.68</v>
      </c>
      <c r="O13" s="19" t="n">
        <v>39.65</v>
      </c>
      <c r="P13" s="19" t="n">
        <v>37.15</v>
      </c>
      <c r="Q13" s="19" t="n">
        <v>38.32</v>
      </c>
      <c r="R13" s="19" t="n">
        <v>39.5</v>
      </c>
      <c r="S13" s="19" t="n">
        <v>45.62</v>
      </c>
      <c r="T13" s="19" t="n">
        <v>45.31</v>
      </c>
      <c r="U13" s="19" t="n">
        <v>45.72</v>
      </c>
      <c r="V13" s="19" t="n">
        <v>45.08</v>
      </c>
      <c r="W13" s="19" t="n">
        <v>45.05</v>
      </c>
      <c r="X13" s="19" t="n">
        <v>48.11</v>
      </c>
      <c r="Y13" s="19" t="n">
        <v>47.01</v>
      </c>
      <c r="Z13" s="19" t="n">
        <v>46.81</v>
      </c>
      <c r="AA13" s="19" t="n">
        <v>44.51</v>
      </c>
      <c r="AB13" s="19" t="n">
        <v>46.61</v>
      </c>
      <c r="AC13" s="19" t="n">
        <v>43</v>
      </c>
      <c r="AD13" s="19" t="n">
        <v>41.71</v>
      </c>
      <c r="AE13" s="19" t="n">
        <v>42.22</v>
      </c>
      <c r="AF13" s="19" t="n">
        <v>43.87</v>
      </c>
      <c r="AG13" s="19" t="n">
        <v>40.37</v>
      </c>
      <c r="AH13" s="19" t="n">
        <v>36.26</v>
      </c>
      <c r="AI13" s="19" t="n">
        <v>31.69</v>
      </c>
      <c r="AJ13" s="19" t="n">
        <v>30.93</v>
      </c>
      <c r="AK13" s="19" t="n">
        <v>32.14</v>
      </c>
      <c r="AL13" s="19" t="n">
        <v>31.2</v>
      </c>
      <c r="AM13" s="19" t="n">
        <v>30.07</v>
      </c>
      <c r="AN13" s="19" t="n">
        <v>30.39</v>
      </c>
      <c r="AO13" s="19" t="n">
        <v>27.94</v>
      </c>
      <c r="AP13" s="19" t="n">
        <v>27.67</v>
      </c>
      <c r="AQ13" s="19" t="n">
        <v>26.49</v>
      </c>
      <c r="AR13" s="19" t="n">
        <v>25.53</v>
      </c>
      <c r="AS13" s="19" t="n">
        <v>24.33</v>
      </c>
      <c r="AT13" s="19" t="n">
        <v>21.47</v>
      </c>
      <c r="AU13" s="19" t="n">
        <v>23.53</v>
      </c>
      <c r="AV13" s="19" t="n">
        <v>21.52</v>
      </c>
      <c r="AW13" s="19" t="n">
        <v>20.28</v>
      </c>
      <c r="AX13" s="19" t="n">
        <v>22.16</v>
      </c>
      <c r="AY13" s="19" t="n">
        <v>22.27</v>
      </c>
      <c r="AZ13" s="19" t="n">
        <v>19.94</v>
      </c>
      <c r="BA13" s="19" t="n">
        <v>20.39</v>
      </c>
      <c r="BB13" s="19" t="n">
        <v>18.62</v>
      </c>
      <c r="BC13" s="19" t="n">
        <v>20.56</v>
      </c>
      <c r="BD13" s="19" t="n">
        <v>20.76</v>
      </c>
      <c r="BE13" s="19" t="n">
        <v>22.16</v>
      </c>
      <c r="BF13" s="19" t="n">
        <v>21.07</v>
      </c>
      <c r="BG13" s="19" t="n">
        <v>24.13</v>
      </c>
      <c r="BH13" s="19" t="n">
        <v>23.61</v>
      </c>
      <c r="BI13" s="19" t="n">
        <v>23.02</v>
      </c>
      <c r="BJ13" s="19" t="n">
        <v>22.4</v>
      </c>
      <c r="BK13" s="19" t="n">
        <v>22.09</v>
      </c>
      <c r="BL13" s="19" t="n">
        <v>22.51</v>
      </c>
      <c r="BM13" s="19" t="n">
        <v>21.37</v>
      </c>
      <c r="BN13" s="19" t="n">
        <v>21.92</v>
      </c>
      <c r="BO13" s="19" t="n">
        <v>23.11</v>
      </c>
      <c r="BP13" s="19" t="n">
        <v>25.22</v>
      </c>
      <c r="BQ13" s="19" t="n">
        <v>23.8</v>
      </c>
      <c r="BR13" s="19" t="n">
        <v>27.52</v>
      </c>
      <c r="BS13" s="19" t="n">
        <v>27.3</v>
      </c>
      <c r="BT13" s="19" t="n">
        <v>27.06</v>
      </c>
      <c r="BU13" s="19" t="n">
        <v>25.92</v>
      </c>
      <c r="BV13" s="19" t="n">
        <v>22.98</v>
      </c>
      <c r="BW13" s="19" t="n">
        <v>24.78</v>
      </c>
      <c r="BX13" s="19" t="n">
        <v>25.29</v>
      </c>
      <c r="BY13" s="19" t="n">
        <v>26.65</v>
      </c>
      <c r="BZ13" s="19" t="n">
        <v>25.31</v>
      </c>
      <c r="CA13" s="19" t="n">
        <v>19.29</v>
      </c>
      <c r="CB13" s="19" t="n">
        <v>20.8</v>
      </c>
      <c r="CC13" s="19" t="n">
        <v>23.05</v>
      </c>
      <c r="CD13" s="19" t="n">
        <v>25.29</v>
      </c>
      <c r="CE13" s="19" t="n">
        <v>25.29</v>
      </c>
      <c r="CF13" s="19" t="n">
        <v>27.69</v>
      </c>
      <c r="CG13" s="19" t="n">
        <v>27.76</v>
      </c>
      <c r="CH13" s="19" t="n">
        <v>28.13</v>
      </c>
      <c r="CI13" s="19" t="n">
        <v>29.34</v>
      </c>
      <c r="CJ13" s="19" t="n">
        <v>26.48</v>
      </c>
      <c r="CK13" s="19" t="n">
        <v>25.86</v>
      </c>
      <c r="CL13" s="19" t="n">
        <v>27.77</v>
      </c>
      <c r="CM13" s="19" t="n">
        <v>26.52</v>
      </c>
      <c r="CN13" s="19" t="n">
        <v>26.23</v>
      </c>
      <c r="CO13" s="19" t="n">
        <v>26.57</v>
      </c>
      <c r="CP13" s="19" t="n">
        <v>30.75</v>
      </c>
      <c r="CQ13" s="19" t="n">
        <v>28.43</v>
      </c>
      <c r="CR13" s="19" t="n">
        <v>28.46</v>
      </c>
      <c r="CS13" s="19" t="n">
        <v>31.26</v>
      </c>
      <c r="CT13" s="19" t="n">
        <v>30.69</v>
      </c>
      <c r="CU13" s="19" t="n">
        <v>31.97</v>
      </c>
      <c r="CV13" s="19" t="n">
        <v>28.45</v>
      </c>
      <c r="CW13" s="19" t="n">
        <v>30.04</v>
      </c>
      <c r="CX13" s="19" t="n">
        <v>28.11</v>
      </c>
      <c r="CY13" s="19" t="n">
        <v>32.59</v>
      </c>
    </row>
    <row r="14" customFormat="false" ht="15" hidden="false" customHeight="false" outlineLevel="0" collapsed="false">
      <c r="A14" s="12" t="s">
        <v>211</v>
      </c>
      <c r="B14" s="12" t="s">
        <v>194</v>
      </c>
      <c r="C14" s="12" t="s">
        <v>195</v>
      </c>
      <c r="D14" s="12" t="s">
        <v>200</v>
      </c>
      <c r="E14" s="12" t="s">
        <v>214</v>
      </c>
      <c r="F14" s="19" t="n">
        <v>56.95</v>
      </c>
      <c r="G14" s="19" t="n">
        <v>57.41</v>
      </c>
      <c r="H14" s="19" t="n">
        <v>57.29</v>
      </c>
      <c r="I14" s="19" t="n">
        <v>57.7</v>
      </c>
      <c r="J14" s="19" t="n">
        <v>57.47</v>
      </c>
      <c r="K14" s="19" t="n">
        <v>57.83</v>
      </c>
      <c r="L14" s="19" t="n">
        <v>58</v>
      </c>
      <c r="M14" s="19" t="n">
        <v>58.57</v>
      </c>
      <c r="N14" s="19" t="n">
        <v>59.23</v>
      </c>
      <c r="O14" s="19" t="n">
        <v>59.44</v>
      </c>
      <c r="P14" s="19" t="n">
        <v>59.81</v>
      </c>
      <c r="Q14" s="19" t="n">
        <v>60.3</v>
      </c>
      <c r="R14" s="19" t="n">
        <v>60.64</v>
      </c>
      <c r="S14" s="19" t="n">
        <v>61.63</v>
      </c>
      <c r="T14" s="19" t="n">
        <v>61.28</v>
      </c>
      <c r="U14" s="19" t="n">
        <v>61.39</v>
      </c>
      <c r="V14" s="19" t="n">
        <v>62.21</v>
      </c>
      <c r="W14" s="19" t="n">
        <v>62.02</v>
      </c>
      <c r="X14" s="19" t="n">
        <v>61.7</v>
      </c>
      <c r="Y14" s="19" t="n">
        <v>62.98</v>
      </c>
      <c r="Z14" s="19" t="n">
        <v>62.77</v>
      </c>
      <c r="AA14" s="19" t="n">
        <v>63.03</v>
      </c>
      <c r="AB14" s="19" t="n">
        <v>63.27</v>
      </c>
      <c r="AC14" s="19" t="n">
        <v>63.3</v>
      </c>
      <c r="AD14" s="19" t="n">
        <v>62.62</v>
      </c>
      <c r="AE14" s="19" t="n">
        <v>62.32</v>
      </c>
      <c r="AF14" s="19" t="n">
        <v>62.35</v>
      </c>
      <c r="AG14" s="19" t="n">
        <v>61.94</v>
      </c>
      <c r="AH14" s="19" t="n">
        <v>60.08</v>
      </c>
      <c r="AI14" s="19" t="n">
        <v>60.51</v>
      </c>
      <c r="AJ14" s="19" t="n">
        <v>59.35</v>
      </c>
      <c r="AK14" s="19" t="n">
        <v>59.17</v>
      </c>
      <c r="AL14" s="19" t="n">
        <v>58.5</v>
      </c>
      <c r="AM14" s="19" t="n">
        <v>58.7</v>
      </c>
      <c r="AN14" s="19" t="n">
        <v>58.6</v>
      </c>
      <c r="AO14" s="19" t="n">
        <v>59.48</v>
      </c>
      <c r="AP14" s="19" t="n">
        <v>58.77</v>
      </c>
      <c r="AQ14" s="19" t="n">
        <v>59.03</v>
      </c>
      <c r="AR14" s="19" t="n">
        <v>57.53</v>
      </c>
      <c r="AS14" s="19" t="n">
        <v>56.78</v>
      </c>
      <c r="AT14" s="19" t="n">
        <v>57.3</v>
      </c>
      <c r="AU14" s="19" t="n">
        <v>57.13</v>
      </c>
      <c r="AV14" s="19" t="n">
        <v>57.04</v>
      </c>
      <c r="AW14" s="19" t="n">
        <v>56.22</v>
      </c>
      <c r="AX14" s="19" t="n">
        <v>55.8</v>
      </c>
      <c r="AY14" s="19" t="n">
        <v>55.44</v>
      </c>
      <c r="AZ14" s="19" t="n">
        <v>55.24</v>
      </c>
      <c r="BA14" s="19" t="n">
        <v>54.45</v>
      </c>
      <c r="BB14" s="19" t="n">
        <v>54.13</v>
      </c>
      <c r="BC14" s="19" t="n">
        <v>54.92</v>
      </c>
      <c r="BD14" s="19" t="n">
        <v>56.1</v>
      </c>
      <c r="BE14" s="19" t="n">
        <v>56.67</v>
      </c>
      <c r="BF14" s="19" t="n">
        <v>56.71</v>
      </c>
      <c r="BG14" s="19" t="n">
        <v>56.9</v>
      </c>
      <c r="BH14" s="19" t="n">
        <v>56.92</v>
      </c>
      <c r="BI14" s="19" t="n">
        <v>57.58</v>
      </c>
      <c r="BJ14" s="19" t="n">
        <v>56.97</v>
      </c>
      <c r="BK14" s="19" t="n">
        <v>57.22</v>
      </c>
      <c r="BL14" s="19" t="n">
        <v>57.09</v>
      </c>
      <c r="BM14" s="19" t="n">
        <v>57.68</v>
      </c>
      <c r="BN14" s="19" t="n">
        <v>57.4</v>
      </c>
      <c r="BO14" s="19" t="n">
        <v>58.07</v>
      </c>
      <c r="BP14" s="19" t="n">
        <v>58.53</v>
      </c>
      <c r="BQ14" s="19" t="n">
        <v>58.19</v>
      </c>
      <c r="BR14" s="19" t="n">
        <v>57.97</v>
      </c>
      <c r="BS14" s="19" t="n">
        <v>58.54</v>
      </c>
      <c r="BT14" s="19" t="n">
        <v>58.42</v>
      </c>
      <c r="BU14" s="19" t="n">
        <v>59.21</v>
      </c>
      <c r="BV14" s="19" t="n">
        <v>59.24</v>
      </c>
      <c r="BW14" s="19" t="n">
        <v>60.01</v>
      </c>
      <c r="BX14" s="19" t="n">
        <v>59.68</v>
      </c>
      <c r="BY14" s="19" t="n">
        <v>60.77</v>
      </c>
      <c r="BZ14" s="19" t="n">
        <v>60.09</v>
      </c>
      <c r="CA14" s="19" t="n">
        <v>57</v>
      </c>
      <c r="CB14" s="19" t="n">
        <v>57.67</v>
      </c>
      <c r="CC14" s="19" t="n">
        <v>58.71</v>
      </c>
      <c r="CD14" s="19" t="n">
        <v>59.21</v>
      </c>
      <c r="CE14" s="19" t="n">
        <v>59.53</v>
      </c>
      <c r="CF14" s="19" t="n">
        <v>59.24</v>
      </c>
      <c r="CG14" s="19" t="n">
        <v>60.14</v>
      </c>
      <c r="CH14" s="19" t="n">
        <v>59.68</v>
      </c>
      <c r="CI14" s="19" t="n">
        <v>60.13</v>
      </c>
      <c r="CJ14" s="19" t="n">
        <v>59.68</v>
      </c>
      <c r="CK14" s="19" t="n">
        <v>59.9</v>
      </c>
      <c r="CL14" s="19" t="n">
        <v>60.08</v>
      </c>
      <c r="CM14" s="19" t="n">
        <v>61.64</v>
      </c>
      <c r="CN14" s="19" t="n">
        <v>60.57</v>
      </c>
      <c r="CO14" s="19" t="n">
        <v>61.04</v>
      </c>
      <c r="CP14" s="19" t="n">
        <v>60.97</v>
      </c>
      <c r="CQ14" s="19" t="n">
        <v>61.31</v>
      </c>
      <c r="CR14" s="19" t="n">
        <v>60.86</v>
      </c>
      <c r="CS14" s="19" t="n">
        <v>61.64</v>
      </c>
      <c r="CT14" s="19" t="n">
        <v>61.6</v>
      </c>
      <c r="CU14" s="19" t="n">
        <v>62.32</v>
      </c>
      <c r="CV14" s="19" t="n">
        <v>61.77</v>
      </c>
      <c r="CW14" s="19" t="n">
        <v>62.37</v>
      </c>
      <c r="CX14" s="19" t="n">
        <v>62.38</v>
      </c>
      <c r="CY14" s="19" t="n">
        <v>62.7</v>
      </c>
    </row>
    <row r="15" customFormat="false" ht="15" hidden="false" customHeight="false" outlineLevel="0" collapsed="false">
      <c r="A15" s="12" t="s">
        <v>211</v>
      </c>
      <c r="B15" s="12" t="s">
        <v>194</v>
      </c>
      <c r="C15" s="12" t="s">
        <v>195</v>
      </c>
      <c r="D15" s="12" t="s">
        <v>202</v>
      </c>
      <c r="E15" s="12" t="s">
        <v>215</v>
      </c>
      <c r="F15" s="19" t="n">
        <v>16.42</v>
      </c>
      <c r="G15" s="19" t="n">
        <v>16.06</v>
      </c>
      <c r="H15" s="19" t="n">
        <v>17.68</v>
      </c>
      <c r="I15" s="19" t="n">
        <v>15.28</v>
      </c>
      <c r="J15" s="19" t="n">
        <v>12.17</v>
      </c>
      <c r="K15" s="19" t="n">
        <v>13.03</v>
      </c>
      <c r="L15" s="19" t="n">
        <v>11.95</v>
      </c>
      <c r="M15" s="19" t="n">
        <v>13.67</v>
      </c>
      <c r="N15" s="19" t="n">
        <v>12.36</v>
      </c>
      <c r="O15" s="19" t="n">
        <v>13.04</v>
      </c>
      <c r="P15" s="19" t="n">
        <v>14.67</v>
      </c>
      <c r="Q15" s="19" t="n">
        <v>16.13</v>
      </c>
      <c r="R15" s="19" t="n">
        <v>16.49</v>
      </c>
      <c r="S15" s="19" t="n">
        <v>24.29</v>
      </c>
      <c r="T15" s="19" t="n">
        <v>22.87</v>
      </c>
      <c r="U15" s="19" t="n">
        <v>24.1</v>
      </c>
      <c r="V15" s="19" t="n">
        <v>22.59</v>
      </c>
      <c r="W15" s="19" t="n">
        <v>21.16</v>
      </c>
      <c r="X15" s="19" t="n">
        <v>23.48</v>
      </c>
      <c r="Y15" s="19" t="n">
        <v>17.76</v>
      </c>
      <c r="Z15" s="19" t="n">
        <v>20.43</v>
      </c>
      <c r="AA15" s="19" t="n">
        <v>20.92</v>
      </c>
      <c r="AB15" s="19" t="n">
        <v>20.91</v>
      </c>
      <c r="AC15" s="19" t="n">
        <v>20.35</v>
      </c>
      <c r="AD15" s="19" t="n">
        <v>17.95</v>
      </c>
      <c r="AE15" s="19" t="n">
        <v>16.35</v>
      </c>
      <c r="AF15" s="19" t="n">
        <v>21.7</v>
      </c>
      <c r="AG15" s="19" t="n">
        <v>18.23</v>
      </c>
      <c r="AH15" s="19" t="n">
        <v>13.99</v>
      </c>
      <c r="AI15" s="19" t="n">
        <v>9.88</v>
      </c>
      <c r="AJ15" s="19" t="n">
        <v>9.67</v>
      </c>
      <c r="AK15" s="19" t="n">
        <v>10.75</v>
      </c>
      <c r="AL15" s="19" t="n">
        <v>10.2</v>
      </c>
      <c r="AM15" s="19" t="n">
        <v>6.51</v>
      </c>
      <c r="AN15" s="19" t="n">
        <v>8.1</v>
      </c>
      <c r="AO15" s="19" t="n">
        <v>7.44</v>
      </c>
      <c r="AP15" s="19" t="n">
        <v>6.75</v>
      </c>
      <c r="AQ15" s="19" t="n">
        <v>6.38</v>
      </c>
      <c r="AR15" s="19" t="n">
        <v>8.8</v>
      </c>
      <c r="AS15" s="19" t="n">
        <v>4.62</v>
      </c>
      <c r="AT15" s="19" t="n">
        <v>3.89</v>
      </c>
      <c r="AU15" s="19" t="n">
        <v>3.96</v>
      </c>
      <c r="AV15" s="19" t="n">
        <v>2.39</v>
      </c>
      <c r="AW15" s="19" t="n">
        <v>3.67</v>
      </c>
      <c r="AX15" s="19" t="n">
        <v>4.79</v>
      </c>
      <c r="AY15" s="19" t="n">
        <v>4.08</v>
      </c>
      <c r="AZ15" s="19" t="n">
        <v>3</v>
      </c>
      <c r="BA15" s="19" t="n">
        <v>3.13</v>
      </c>
      <c r="BB15" s="19" t="n">
        <v>3.75</v>
      </c>
      <c r="BC15" s="19" t="n">
        <v>4.65</v>
      </c>
      <c r="BD15" s="19" t="n">
        <v>4.88</v>
      </c>
      <c r="BE15" s="19" t="n">
        <v>4.74</v>
      </c>
      <c r="BF15" s="19" t="n">
        <v>4.5</v>
      </c>
      <c r="BG15" s="19" t="n">
        <v>3.73</v>
      </c>
      <c r="BH15" s="19" t="n">
        <v>4.69</v>
      </c>
      <c r="BI15" s="19" t="n">
        <v>4.37</v>
      </c>
      <c r="BJ15" s="19" t="n">
        <v>5.34</v>
      </c>
      <c r="BK15" s="19" t="n">
        <v>4.5</v>
      </c>
      <c r="BL15" s="19" t="n">
        <v>5.64</v>
      </c>
      <c r="BM15" s="19" t="n">
        <v>5.79</v>
      </c>
      <c r="BN15" s="19" t="n">
        <v>3.71</v>
      </c>
      <c r="BO15" s="19" t="n">
        <v>4.44</v>
      </c>
      <c r="BP15" s="19" t="n">
        <v>5.51</v>
      </c>
      <c r="BQ15" s="19" t="n">
        <v>4.08</v>
      </c>
      <c r="BR15" s="19" t="n">
        <v>4.06</v>
      </c>
      <c r="BS15" s="19" t="n">
        <v>4.08</v>
      </c>
      <c r="BT15" s="19" t="n">
        <v>6.55</v>
      </c>
      <c r="BU15" s="19" t="n">
        <v>7.83</v>
      </c>
      <c r="BV15" s="19" t="n">
        <v>6.67</v>
      </c>
      <c r="BW15" s="19" t="n">
        <v>6.82</v>
      </c>
      <c r="BX15" s="19" t="n">
        <v>5.94</v>
      </c>
      <c r="BY15" s="19" t="n">
        <v>6.6</v>
      </c>
      <c r="BZ15" s="19" t="n">
        <v>5.74</v>
      </c>
      <c r="CA15" s="19" t="n">
        <v>6.05</v>
      </c>
      <c r="CB15" s="19" t="n">
        <v>5.52</v>
      </c>
      <c r="CC15" s="19" t="n">
        <v>4.83</v>
      </c>
      <c r="CD15" s="19" t="n">
        <v>5.97</v>
      </c>
      <c r="CE15" s="19" t="n">
        <v>5.52</v>
      </c>
      <c r="CF15" s="19" t="n">
        <v>9.48</v>
      </c>
      <c r="CG15" s="19" t="n">
        <v>5.32</v>
      </c>
      <c r="CH15" s="19" t="n">
        <v>6.65</v>
      </c>
      <c r="CI15" s="19" t="n">
        <v>7.46</v>
      </c>
      <c r="CJ15" s="19" t="n">
        <v>7.52</v>
      </c>
      <c r="CK15" s="19" t="n">
        <v>5.42</v>
      </c>
      <c r="CL15" s="19" t="n">
        <v>7.4</v>
      </c>
      <c r="CM15" s="19" t="n">
        <v>5.51</v>
      </c>
      <c r="CN15" s="19" t="n">
        <v>6.15</v>
      </c>
      <c r="CO15" s="19" t="n">
        <v>5.98</v>
      </c>
      <c r="CP15" s="19" t="n">
        <v>7.72</v>
      </c>
      <c r="CQ15" s="19" t="n">
        <v>6.88</v>
      </c>
      <c r="CR15" s="19" t="n">
        <v>7.76</v>
      </c>
      <c r="CS15" s="19" t="n">
        <v>8.33</v>
      </c>
      <c r="CT15" s="19" t="n">
        <v>8.13</v>
      </c>
      <c r="CU15" s="19" t="n">
        <v>8.39</v>
      </c>
      <c r="CV15" s="19" t="n">
        <v>8.16</v>
      </c>
      <c r="CW15" s="19" t="n">
        <v>7.29</v>
      </c>
      <c r="CX15" s="19" t="n">
        <v>5.2</v>
      </c>
      <c r="CY15" s="19" t="n">
        <v>8.61</v>
      </c>
    </row>
    <row r="16" customFormat="false" ht="15" hidden="false" customHeight="false" outlineLevel="0" collapsed="false">
      <c r="A16" s="12" t="s">
        <v>211</v>
      </c>
      <c r="B16" s="12" t="s">
        <v>194</v>
      </c>
      <c r="C16" s="12" t="s">
        <v>195</v>
      </c>
      <c r="D16" s="12" t="s">
        <v>204</v>
      </c>
      <c r="E16" s="12" t="s">
        <v>216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9" t="n">
        <v>54.41</v>
      </c>
      <c r="AH16" s="19" t="n">
        <v>50.51</v>
      </c>
      <c r="AI16" s="19" t="n">
        <v>45.75</v>
      </c>
      <c r="AJ16" s="19" t="n">
        <v>44.8</v>
      </c>
      <c r="AK16" s="19" t="n">
        <v>46.23</v>
      </c>
      <c r="AL16" s="19" t="n">
        <v>45.15</v>
      </c>
      <c r="AM16" s="19" t="n">
        <v>45.85</v>
      </c>
      <c r="AN16" s="19" t="n">
        <v>45.46</v>
      </c>
      <c r="AO16" s="19" t="n">
        <v>41.9</v>
      </c>
      <c r="AP16" s="19" t="n">
        <v>42.01</v>
      </c>
      <c r="AQ16" s="19" t="n">
        <v>40.33</v>
      </c>
      <c r="AR16" s="19" t="n">
        <v>37.12</v>
      </c>
      <c r="AS16" s="19" t="n">
        <v>38.04</v>
      </c>
      <c r="AT16" s="19" t="n">
        <v>33.73</v>
      </c>
      <c r="AU16" s="19" t="n">
        <v>37.22</v>
      </c>
      <c r="AV16" s="19" t="n">
        <v>34.99</v>
      </c>
      <c r="AW16" s="19" t="n">
        <v>31.96</v>
      </c>
      <c r="AX16" s="19" t="n">
        <v>34.47</v>
      </c>
      <c r="AY16" s="19" t="n">
        <v>35.26</v>
      </c>
      <c r="AZ16" s="19" t="n">
        <v>32.14</v>
      </c>
      <c r="BA16" s="19" t="n">
        <v>32.85</v>
      </c>
      <c r="BB16" s="19" t="n">
        <v>29.44</v>
      </c>
      <c r="BC16" s="19" t="n">
        <v>32.18</v>
      </c>
      <c r="BD16" s="19" t="n">
        <v>32.44</v>
      </c>
      <c r="BE16" s="19" t="n">
        <v>34.98</v>
      </c>
      <c r="BF16" s="19" t="n">
        <v>33.32</v>
      </c>
      <c r="BG16" s="19" t="n">
        <v>39.37</v>
      </c>
      <c r="BH16" s="19" t="n">
        <v>37.86</v>
      </c>
      <c r="BI16" s="19" t="n">
        <v>37.17</v>
      </c>
      <c r="BJ16" s="19" t="n">
        <v>35.43</v>
      </c>
      <c r="BK16" s="19" t="n">
        <v>35.63</v>
      </c>
      <c r="BL16" s="19" t="n">
        <v>35.59</v>
      </c>
      <c r="BM16" s="19" t="n">
        <v>33.53</v>
      </c>
      <c r="BN16" s="19" t="n">
        <v>36.22</v>
      </c>
      <c r="BO16" s="19" t="n">
        <v>37.84</v>
      </c>
      <c r="BP16" s="19" t="n">
        <v>40.84</v>
      </c>
      <c r="BQ16" s="19" t="n">
        <v>39.5</v>
      </c>
      <c r="BR16" s="19" t="n">
        <v>46.23</v>
      </c>
      <c r="BS16" s="19" t="n">
        <v>45.85</v>
      </c>
      <c r="BT16" s="19" t="n">
        <v>43.5</v>
      </c>
      <c r="BU16" s="19" t="n">
        <v>40.49</v>
      </c>
      <c r="BV16" s="19" t="n">
        <v>36.15</v>
      </c>
      <c r="BW16" s="19" t="n">
        <v>39.31</v>
      </c>
      <c r="BX16" s="19" t="n">
        <v>40.94</v>
      </c>
      <c r="BY16" s="19" t="n">
        <v>42.83</v>
      </c>
      <c r="BZ16" s="19" t="n">
        <v>41.05</v>
      </c>
      <c r="CA16" s="19" t="n">
        <v>29.94</v>
      </c>
      <c r="CB16" s="19" t="n">
        <v>33.13</v>
      </c>
      <c r="CC16" s="19" t="n">
        <v>37.78</v>
      </c>
      <c r="CD16" s="19" t="n">
        <v>40.72</v>
      </c>
      <c r="CE16" s="19" t="n">
        <v>41.11</v>
      </c>
      <c r="CF16" s="19" t="n">
        <v>41.93</v>
      </c>
      <c r="CG16" s="19" t="n">
        <v>45.14</v>
      </c>
      <c r="CH16" s="19" t="n">
        <v>45.02</v>
      </c>
      <c r="CI16" s="19" t="n">
        <v>46.33</v>
      </c>
      <c r="CJ16" s="19" t="n">
        <v>41.68</v>
      </c>
      <c r="CK16" s="19" t="n">
        <v>42.23</v>
      </c>
      <c r="CL16" s="19" t="n">
        <v>43.21</v>
      </c>
      <c r="CM16" s="19" t="n">
        <v>42.19</v>
      </c>
      <c r="CN16" s="19" t="n">
        <v>41.2</v>
      </c>
      <c r="CO16" s="19" t="n">
        <v>41.64</v>
      </c>
      <c r="CP16" s="19" t="n">
        <v>47.9</v>
      </c>
      <c r="CQ16" s="19" t="n">
        <v>45.4</v>
      </c>
      <c r="CR16" s="19" t="n">
        <v>44.26</v>
      </c>
      <c r="CS16" s="19" t="n">
        <v>48.61</v>
      </c>
      <c r="CT16" s="19" t="n">
        <v>47.98</v>
      </c>
      <c r="CU16" s="19" t="n">
        <v>50.17</v>
      </c>
      <c r="CV16" s="19" t="n">
        <v>43.4</v>
      </c>
      <c r="CW16" s="19" t="n">
        <v>46.99</v>
      </c>
      <c r="CX16" s="19" t="n">
        <v>45.12</v>
      </c>
      <c r="CY16" s="19" t="n">
        <v>50.58</v>
      </c>
    </row>
    <row r="17" customFormat="false" ht="15" hidden="false" customHeight="false" outlineLevel="0" collapsed="false">
      <c r="A17" s="12" t="s">
        <v>211</v>
      </c>
      <c r="B17" s="12" t="s">
        <v>65</v>
      </c>
      <c r="C17" s="12" t="s">
        <v>195</v>
      </c>
      <c r="D17" s="12" t="s">
        <v>196</v>
      </c>
      <c r="E17" s="12" t="s">
        <v>217</v>
      </c>
      <c r="F17" s="19" t="n">
        <v>47.82</v>
      </c>
      <c r="G17" s="19" t="n">
        <v>48.4</v>
      </c>
      <c r="H17" s="19" t="n">
        <v>48.61</v>
      </c>
      <c r="I17" s="19" t="n">
        <v>48.57</v>
      </c>
      <c r="J17" s="19" t="n">
        <v>48.65</v>
      </c>
      <c r="K17" s="19" t="n">
        <v>49.37</v>
      </c>
      <c r="L17" s="19" t="n">
        <v>49.8</v>
      </c>
      <c r="M17" s="19" t="n">
        <v>49.86</v>
      </c>
      <c r="N17" s="19" t="n">
        <v>49.77</v>
      </c>
      <c r="O17" s="19" t="n">
        <v>50.28</v>
      </c>
      <c r="P17" s="19" t="n">
        <v>50.82</v>
      </c>
      <c r="Q17" s="19" t="n">
        <v>51.1</v>
      </c>
      <c r="R17" s="19" t="n">
        <v>51.54</v>
      </c>
      <c r="S17" s="19" t="n">
        <v>52.47</v>
      </c>
      <c r="T17" s="19" t="n">
        <v>52.99</v>
      </c>
      <c r="U17" s="19" t="n">
        <v>53.02</v>
      </c>
      <c r="V17" s="19" t="n">
        <v>53.03</v>
      </c>
      <c r="W17" s="19" t="n">
        <v>53.68</v>
      </c>
      <c r="X17" s="19" t="n">
        <v>53.99</v>
      </c>
      <c r="Y17" s="19" t="n">
        <v>54.01</v>
      </c>
      <c r="Z17" s="19" t="n">
        <v>53.94</v>
      </c>
      <c r="AA17" s="19" t="n">
        <v>54.53</v>
      </c>
      <c r="AB17" s="19" t="n">
        <v>54.73</v>
      </c>
      <c r="AC17" s="19" t="n">
        <v>54.38</v>
      </c>
      <c r="AD17" s="19" t="n">
        <v>53.94</v>
      </c>
      <c r="AE17" s="19" t="n">
        <v>53.85</v>
      </c>
      <c r="AF17" s="19" t="n">
        <v>53.47</v>
      </c>
      <c r="AG17" s="19" t="n">
        <v>52.03</v>
      </c>
      <c r="AH17" s="19" t="n">
        <v>49.97</v>
      </c>
      <c r="AI17" s="19" t="n">
        <v>49.58</v>
      </c>
      <c r="AJ17" s="19" t="n">
        <v>49.39</v>
      </c>
      <c r="AK17" s="19" t="n">
        <v>48.8</v>
      </c>
      <c r="AL17" s="19" t="n">
        <v>48.17</v>
      </c>
      <c r="AM17" s="19" t="n">
        <v>48.4</v>
      </c>
      <c r="AN17" s="19" t="n">
        <v>48.54</v>
      </c>
      <c r="AO17" s="19" t="n">
        <v>48.13</v>
      </c>
      <c r="AP17" s="19" t="n">
        <v>47.48</v>
      </c>
      <c r="AQ17" s="19" t="n">
        <v>47.96</v>
      </c>
      <c r="AR17" s="19" t="n">
        <v>47.58</v>
      </c>
      <c r="AS17" s="19" t="n">
        <v>46.69</v>
      </c>
      <c r="AT17" s="19" t="n">
        <v>45.72</v>
      </c>
      <c r="AU17" s="19" t="n">
        <v>45.74</v>
      </c>
      <c r="AV17" s="19" t="n">
        <v>45.54</v>
      </c>
      <c r="AW17" s="19" t="n">
        <v>44.71</v>
      </c>
      <c r="AX17" s="19" t="n">
        <v>43.97</v>
      </c>
      <c r="AY17" s="19" t="n">
        <v>44.36</v>
      </c>
      <c r="AZ17" s="19" t="n">
        <v>44.64</v>
      </c>
      <c r="BA17" s="19" t="n">
        <v>44.46</v>
      </c>
      <c r="BB17" s="19" t="n">
        <v>44.05</v>
      </c>
      <c r="BC17" s="19" t="n">
        <v>45.04</v>
      </c>
      <c r="BD17" s="19" t="n">
        <v>45.44</v>
      </c>
      <c r="BE17" s="19" t="n">
        <v>45.61</v>
      </c>
      <c r="BF17" s="19" t="n">
        <v>45.32</v>
      </c>
      <c r="BG17" s="19" t="n">
        <v>46.41</v>
      </c>
      <c r="BH17" s="19" t="n">
        <v>46.9</v>
      </c>
      <c r="BI17" s="19" t="n">
        <v>47.01</v>
      </c>
      <c r="BJ17" s="19" t="n">
        <v>46.84</v>
      </c>
      <c r="BK17" s="19" t="n">
        <v>47.53</v>
      </c>
      <c r="BL17" s="19" t="n">
        <v>48.07</v>
      </c>
      <c r="BM17" s="19" t="n">
        <v>47.97</v>
      </c>
      <c r="BN17" s="19" t="n">
        <v>47.76</v>
      </c>
      <c r="BO17" s="19" t="n">
        <v>48.7</v>
      </c>
      <c r="BP17" s="19" t="n">
        <v>49.27</v>
      </c>
      <c r="BQ17" s="19" t="n">
        <v>49.07</v>
      </c>
      <c r="BR17" s="19" t="n">
        <v>48.67</v>
      </c>
      <c r="BS17" s="19" t="n">
        <v>49.81</v>
      </c>
      <c r="BT17" s="19" t="n">
        <v>50.18</v>
      </c>
      <c r="BU17" s="19" t="n">
        <v>50.14</v>
      </c>
      <c r="BV17" s="19" t="n">
        <v>49.78</v>
      </c>
      <c r="BW17" s="19" t="n">
        <v>50.51</v>
      </c>
      <c r="BX17" s="19" t="n">
        <v>50.54</v>
      </c>
      <c r="BY17" s="19" t="n">
        <v>50.64</v>
      </c>
      <c r="BZ17" s="19" t="n">
        <v>49.8</v>
      </c>
      <c r="CA17" s="19" t="n">
        <v>47.03</v>
      </c>
      <c r="CB17" s="19" t="n">
        <v>48.43</v>
      </c>
      <c r="CC17" s="19" t="n">
        <v>48.81</v>
      </c>
      <c r="CD17" s="19" t="n">
        <v>48.27</v>
      </c>
      <c r="CE17" s="19" t="n">
        <v>49.43</v>
      </c>
      <c r="CF17" s="19" t="n">
        <v>50.33</v>
      </c>
      <c r="CG17" s="19" t="n">
        <v>50.67</v>
      </c>
      <c r="CH17" s="19" t="n">
        <v>50.34</v>
      </c>
      <c r="CI17" s="19" t="n">
        <v>51.16</v>
      </c>
      <c r="CJ17" s="19" t="n">
        <v>51.28</v>
      </c>
      <c r="CK17" s="19" t="n">
        <v>50.82</v>
      </c>
      <c r="CL17" s="19" t="n">
        <v>50.62</v>
      </c>
      <c r="CM17" s="19" t="n">
        <v>51.99</v>
      </c>
      <c r="CN17" s="19" t="n">
        <v>52.24</v>
      </c>
      <c r="CO17" s="19" t="n">
        <v>51.89</v>
      </c>
      <c r="CP17" s="19" t="n">
        <v>51.42</v>
      </c>
      <c r="CQ17" s="19" t="n">
        <v>52.26</v>
      </c>
      <c r="CR17" s="19" t="n">
        <v>52.42</v>
      </c>
      <c r="CS17" s="19" t="n">
        <v>52.28</v>
      </c>
      <c r="CT17" s="19" t="n">
        <v>51.92</v>
      </c>
      <c r="CU17" s="19" t="n">
        <v>52.96</v>
      </c>
      <c r="CV17" s="19" t="n">
        <v>53.1</v>
      </c>
      <c r="CW17" s="19" t="n">
        <v>53.09</v>
      </c>
      <c r="CX17" s="19" t="n">
        <v>52.48</v>
      </c>
      <c r="CY17" s="19" t="n">
        <v>53.44</v>
      </c>
    </row>
    <row r="18" customFormat="false" ht="15" hidden="false" customHeight="false" outlineLevel="0" collapsed="false">
      <c r="A18" s="12" t="s">
        <v>211</v>
      </c>
      <c r="B18" s="12" t="s">
        <v>65</v>
      </c>
      <c r="C18" s="12" t="s">
        <v>195</v>
      </c>
      <c r="D18" s="12" t="s">
        <v>198</v>
      </c>
      <c r="E18" s="12" t="s">
        <v>218</v>
      </c>
      <c r="F18" s="19" t="n">
        <v>36.85</v>
      </c>
      <c r="G18" s="19" t="n">
        <v>37.26</v>
      </c>
      <c r="H18" s="19" t="n">
        <v>38.57</v>
      </c>
      <c r="I18" s="19" t="n">
        <v>36.9</v>
      </c>
      <c r="J18" s="19" t="n">
        <v>36.5</v>
      </c>
      <c r="K18" s="19" t="n">
        <v>37.64</v>
      </c>
      <c r="L18" s="19" t="n">
        <v>39.37</v>
      </c>
      <c r="M18" s="19" t="n">
        <v>37.59</v>
      </c>
      <c r="N18" s="19" t="n">
        <v>37.43</v>
      </c>
      <c r="O18" s="19" t="n">
        <v>37.98</v>
      </c>
      <c r="P18" s="19" t="n">
        <v>40.15</v>
      </c>
      <c r="Q18" s="19" t="n">
        <v>38.64</v>
      </c>
      <c r="R18" s="19" t="n">
        <v>39.86</v>
      </c>
      <c r="S18" s="19" t="n">
        <v>41.69</v>
      </c>
      <c r="T18" s="19" t="n">
        <v>44.7</v>
      </c>
      <c r="U18" s="19" t="n">
        <v>42.2</v>
      </c>
      <c r="V18" s="19" t="n">
        <v>41.77</v>
      </c>
      <c r="W18" s="19" t="n">
        <v>43.08</v>
      </c>
      <c r="X18" s="19" t="n">
        <v>45.44</v>
      </c>
      <c r="Y18" s="19" t="n">
        <v>42.82</v>
      </c>
      <c r="Z18" s="19" t="n">
        <v>41.86</v>
      </c>
      <c r="AA18" s="19" t="n">
        <v>42.88</v>
      </c>
      <c r="AB18" s="19" t="n">
        <v>45.38</v>
      </c>
      <c r="AC18" s="19" t="n">
        <v>41.9</v>
      </c>
      <c r="AD18" s="19" t="n">
        <v>40.16</v>
      </c>
      <c r="AE18" s="19" t="n">
        <v>39.87</v>
      </c>
      <c r="AF18" s="19" t="n">
        <v>41.83</v>
      </c>
      <c r="AG18" s="19" t="n">
        <v>36.59</v>
      </c>
      <c r="AH18" s="19" t="n">
        <v>32.2</v>
      </c>
      <c r="AI18" s="19" t="n">
        <v>30.76</v>
      </c>
      <c r="AJ18" s="19" t="n">
        <v>31.42</v>
      </c>
      <c r="AK18" s="19" t="n">
        <v>28.79</v>
      </c>
      <c r="AL18" s="19" t="n">
        <v>27.44</v>
      </c>
      <c r="AM18" s="19" t="n">
        <v>27.45</v>
      </c>
      <c r="AN18" s="19" t="n">
        <v>28.85</v>
      </c>
      <c r="AO18" s="19" t="n">
        <v>25.96</v>
      </c>
      <c r="AP18" s="19" t="n">
        <v>24.27</v>
      </c>
      <c r="AQ18" s="19" t="n">
        <v>24.39</v>
      </c>
      <c r="AR18" s="19" t="n">
        <v>25.7</v>
      </c>
      <c r="AS18" s="19" t="n">
        <v>22.37</v>
      </c>
      <c r="AT18" s="19" t="n">
        <v>20.47</v>
      </c>
      <c r="AU18" s="19" t="n">
        <v>20.29</v>
      </c>
      <c r="AV18" s="19" t="n">
        <v>21.58</v>
      </c>
      <c r="AW18" s="19" t="n">
        <v>18.65</v>
      </c>
      <c r="AX18" s="19" t="n">
        <v>17.89</v>
      </c>
      <c r="AY18" s="19" t="n">
        <v>18.2</v>
      </c>
      <c r="AZ18" s="19" t="n">
        <v>19.89</v>
      </c>
      <c r="BA18" s="19" t="n">
        <v>18.29</v>
      </c>
      <c r="BB18" s="19" t="n">
        <v>17.44</v>
      </c>
      <c r="BC18" s="19" t="n">
        <v>18.33</v>
      </c>
      <c r="BD18" s="19" t="n">
        <v>19.55</v>
      </c>
      <c r="BE18" s="19" t="n">
        <v>18.81</v>
      </c>
      <c r="BF18" s="19" t="n">
        <v>18.44</v>
      </c>
      <c r="BG18" s="19" t="n">
        <v>19.74</v>
      </c>
      <c r="BH18" s="19" t="n">
        <v>21.96</v>
      </c>
      <c r="BI18" s="19" t="n">
        <v>19.99</v>
      </c>
      <c r="BJ18" s="19" t="n">
        <v>19.3</v>
      </c>
      <c r="BK18" s="19" t="n">
        <v>19.96</v>
      </c>
      <c r="BL18" s="19" t="n">
        <v>22.43</v>
      </c>
      <c r="BM18" s="19" t="n">
        <v>20.42</v>
      </c>
      <c r="BN18" s="19" t="n">
        <v>20.69</v>
      </c>
      <c r="BO18" s="19" t="n">
        <v>22.25</v>
      </c>
      <c r="BP18" s="19" t="n">
        <v>25.64</v>
      </c>
      <c r="BQ18" s="19" t="n">
        <v>23.11</v>
      </c>
      <c r="BR18" s="19" t="n">
        <v>22.29</v>
      </c>
      <c r="BS18" s="19" t="n">
        <v>24.19</v>
      </c>
      <c r="BT18" s="19" t="n">
        <v>26.27</v>
      </c>
      <c r="BU18" s="19" t="n">
        <v>24.26</v>
      </c>
      <c r="BV18" s="19" t="n">
        <v>22.88</v>
      </c>
      <c r="BW18" s="19" t="n">
        <v>24.55</v>
      </c>
      <c r="BX18" s="19" t="n">
        <v>27.03</v>
      </c>
      <c r="BY18" s="19" t="n">
        <v>24.97</v>
      </c>
      <c r="BZ18" s="19" t="n">
        <v>23.22</v>
      </c>
      <c r="CA18" s="19" t="n">
        <v>18.2</v>
      </c>
      <c r="CB18" s="19" t="n">
        <v>21.37</v>
      </c>
      <c r="CC18" s="19" t="n">
        <v>19.84</v>
      </c>
      <c r="CD18" s="19" t="n">
        <v>19.74</v>
      </c>
      <c r="CE18" s="19" t="n">
        <v>22</v>
      </c>
      <c r="CF18" s="19" t="n">
        <v>26.47</v>
      </c>
      <c r="CG18" s="19" t="n">
        <v>23.41</v>
      </c>
      <c r="CH18" s="19" t="n">
        <v>24.12</v>
      </c>
      <c r="CI18" s="19" t="n">
        <v>26.35</v>
      </c>
      <c r="CJ18" s="19" t="n">
        <v>27.11</v>
      </c>
      <c r="CK18" s="19" t="n">
        <v>24.87</v>
      </c>
      <c r="CL18" s="19" t="n">
        <v>24.35</v>
      </c>
      <c r="CM18" s="19" t="n">
        <v>26.53</v>
      </c>
      <c r="CN18" s="19" t="n">
        <v>29.09</v>
      </c>
      <c r="CO18" s="19" t="n">
        <v>25.94</v>
      </c>
      <c r="CP18" s="19" t="n">
        <v>25.99</v>
      </c>
      <c r="CQ18" s="19" t="n">
        <v>27.41</v>
      </c>
      <c r="CR18" s="19" t="n">
        <v>29.86</v>
      </c>
      <c r="CS18" s="19" t="n">
        <v>27.24</v>
      </c>
      <c r="CT18" s="19" t="n">
        <v>25.88</v>
      </c>
      <c r="CU18" s="19" t="n">
        <v>28.56</v>
      </c>
      <c r="CV18" s="19" t="n">
        <v>30.57</v>
      </c>
      <c r="CW18" s="19" t="n">
        <v>28.04</v>
      </c>
      <c r="CX18" s="19" t="n">
        <v>27.57</v>
      </c>
      <c r="CY18" s="19" t="n">
        <v>29.78</v>
      </c>
    </row>
    <row r="19" customFormat="false" ht="15" hidden="false" customHeight="false" outlineLevel="0" collapsed="false">
      <c r="A19" s="12" t="s">
        <v>211</v>
      </c>
      <c r="B19" s="12" t="s">
        <v>65</v>
      </c>
      <c r="C19" s="12" t="s">
        <v>195</v>
      </c>
      <c r="D19" s="12" t="s">
        <v>200</v>
      </c>
      <c r="E19" s="12" t="s">
        <v>219</v>
      </c>
      <c r="F19" s="19" t="n">
        <v>49.76</v>
      </c>
      <c r="G19" s="19" t="n">
        <v>50.35</v>
      </c>
      <c r="H19" s="19" t="n">
        <v>50.35</v>
      </c>
      <c r="I19" s="19" t="n">
        <v>50.57</v>
      </c>
      <c r="J19" s="19" t="n">
        <v>50.7</v>
      </c>
      <c r="K19" s="19" t="n">
        <v>51.33</v>
      </c>
      <c r="L19" s="19" t="n">
        <v>51.52</v>
      </c>
      <c r="M19" s="19" t="n">
        <v>51.85</v>
      </c>
      <c r="N19" s="19" t="n">
        <v>51.75</v>
      </c>
      <c r="O19" s="19" t="n">
        <v>52.23</v>
      </c>
      <c r="P19" s="19" t="n">
        <v>52.49</v>
      </c>
      <c r="Q19" s="19" t="n">
        <v>53.04</v>
      </c>
      <c r="R19" s="19" t="n">
        <v>53.34</v>
      </c>
      <c r="S19" s="19" t="n">
        <v>54.11</v>
      </c>
      <c r="T19" s="19" t="n">
        <v>54.24</v>
      </c>
      <c r="U19" s="19" t="n">
        <v>54.63</v>
      </c>
      <c r="V19" s="19" t="n">
        <v>54.69</v>
      </c>
      <c r="W19" s="19" t="n">
        <v>55.23</v>
      </c>
      <c r="X19" s="19" t="n">
        <v>55.23</v>
      </c>
      <c r="Y19" s="19" t="n">
        <v>55.62</v>
      </c>
      <c r="Z19" s="19" t="n">
        <v>55.67</v>
      </c>
      <c r="AA19" s="19" t="n">
        <v>56.18</v>
      </c>
      <c r="AB19" s="19" t="n">
        <v>56.05</v>
      </c>
      <c r="AC19" s="19" t="n">
        <v>56.12</v>
      </c>
      <c r="AD19" s="19" t="n">
        <v>55.86</v>
      </c>
      <c r="AE19" s="19" t="n">
        <v>55.78</v>
      </c>
      <c r="AF19" s="19" t="n">
        <v>55.06</v>
      </c>
      <c r="AG19" s="19" t="n">
        <v>54.13</v>
      </c>
      <c r="AH19" s="19" t="n">
        <v>52.37</v>
      </c>
      <c r="AI19" s="19" t="n">
        <v>52.1</v>
      </c>
      <c r="AJ19" s="19" t="n">
        <v>51.77</v>
      </c>
      <c r="AK19" s="19" t="n">
        <v>51.42</v>
      </c>
      <c r="AL19" s="19" t="n">
        <v>50.86</v>
      </c>
      <c r="AM19" s="19" t="n">
        <v>51.1</v>
      </c>
      <c r="AN19" s="19" t="n">
        <v>51.06</v>
      </c>
      <c r="AO19" s="19" t="n">
        <v>50.94</v>
      </c>
      <c r="AP19" s="19" t="n">
        <v>50.4</v>
      </c>
      <c r="AQ19" s="19" t="n">
        <v>50.91</v>
      </c>
      <c r="AR19" s="19" t="n">
        <v>50.29</v>
      </c>
      <c r="AS19" s="19" t="n">
        <v>49.69</v>
      </c>
      <c r="AT19" s="19" t="n">
        <v>48.82</v>
      </c>
      <c r="AU19" s="19" t="n">
        <v>48.85</v>
      </c>
      <c r="AV19" s="19" t="n">
        <v>48.44</v>
      </c>
      <c r="AW19" s="19" t="n">
        <v>47.85</v>
      </c>
      <c r="AX19" s="19" t="n">
        <v>47.1</v>
      </c>
      <c r="AY19" s="19" t="n">
        <v>47.49</v>
      </c>
      <c r="AZ19" s="19" t="n">
        <v>47.58</v>
      </c>
      <c r="BA19" s="19" t="n">
        <v>47.55</v>
      </c>
      <c r="BB19" s="19" t="n">
        <v>47.18</v>
      </c>
      <c r="BC19" s="19" t="n">
        <v>48.17</v>
      </c>
      <c r="BD19" s="19" t="n">
        <v>48.47</v>
      </c>
      <c r="BE19" s="19" t="n">
        <v>48.73</v>
      </c>
      <c r="BF19" s="19" t="n">
        <v>48.45</v>
      </c>
      <c r="BG19" s="19" t="n">
        <v>49.51</v>
      </c>
      <c r="BH19" s="19" t="n">
        <v>49.79</v>
      </c>
      <c r="BI19" s="19" t="n">
        <v>50.14</v>
      </c>
      <c r="BJ19" s="19" t="n">
        <v>50.03</v>
      </c>
      <c r="BK19" s="19" t="n">
        <v>50.72</v>
      </c>
      <c r="BL19" s="19" t="n">
        <v>51.03</v>
      </c>
      <c r="BM19" s="19" t="n">
        <v>51.15</v>
      </c>
      <c r="BN19" s="19" t="n">
        <v>50.89</v>
      </c>
      <c r="BO19" s="19" t="n">
        <v>51.77</v>
      </c>
      <c r="BP19" s="19" t="n">
        <v>52.01</v>
      </c>
      <c r="BQ19" s="19" t="n">
        <v>52.09</v>
      </c>
      <c r="BR19" s="19" t="n">
        <v>51.75</v>
      </c>
      <c r="BS19" s="19" t="n">
        <v>52.81</v>
      </c>
      <c r="BT19" s="19" t="n">
        <v>52.99</v>
      </c>
      <c r="BU19" s="19" t="n">
        <v>53.19</v>
      </c>
      <c r="BV19" s="19" t="n">
        <v>52.96</v>
      </c>
      <c r="BW19" s="19" t="n">
        <v>53.59</v>
      </c>
      <c r="BX19" s="19" t="n">
        <v>53.35</v>
      </c>
      <c r="BY19" s="19" t="n">
        <v>53.72</v>
      </c>
      <c r="BZ19" s="19" t="n">
        <v>53</v>
      </c>
      <c r="CA19" s="19" t="n">
        <v>50.52</v>
      </c>
      <c r="CB19" s="19" t="n">
        <v>51.72</v>
      </c>
      <c r="CC19" s="19" t="n">
        <v>52.33</v>
      </c>
      <c r="CD19" s="19" t="n">
        <v>51.69</v>
      </c>
      <c r="CE19" s="19" t="n">
        <v>52.73</v>
      </c>
      <c r="CF19" s="19" t="n">
        <v>53.21</v>
      </c>
      <c r="CG19" s="19" t="n">
        <v>53.97</v>
      </c>
      <c r="CH19" s="19" t="n">
        <v>53.54</v>
      </c>
      <c r="CI19" s="19" t="n">
        <v>54.21</v>
      </c>
      <c r="CJ19" s="19" t="n">
        <v>54.26</v>
      </c>
      <c r="CK19" s="19" t="n">
        <v>54.04</v>
      </c>
      <c r="CL19" s="19" t="n">
        <v>53.9</v>
      </c>
      <c r="CM19" s="19" t="n">
        <v>55.16</v>
      </c>
      <c r="CN19" s="19" t="n">
        <v>55.14</v>
      </c>
      <c r="CO19" s="19" t="n">
        <v>55.19</v>
      </c>
      <c r="CP19" s="19" t="n">
        <v>54.66</v>
      </c>
      <c r="CQ19" s="19" t="n">
        <v>55.46</v>
      </c>
      <c r="CR19" s="19" t="n">
        <v>55.34</v>
      </c>
      <c r="CS19" s="19" t="n">
        <v>55.53</v>
      </c>
      <c r="CT19" s="19" t="n">
        <v>55.31</v>
      </c>
      <c r="CU19" s="19" t="n">
        <v>56.14</v>
      </c>
      <c r="CV19" s="19" t="n">
        <v>56.02</v>
      </c>
      <c r="CW19" s="19" t="n">
        <v>56.34</v>
      </c>
      <c r="CX19" s="19" t="n">
        <v>55.74</v>
      </c>
      <c r="CY19" s="19" t="n">
        <v>56.55</v>
      </c>
    </row>
    <row r="20" customFormat="false" ht="15" hidden="false" customHeight="false" outlineLevel="0" collapsed="false">
      <c r="A20" s="12" t="s">
        <v>211</v>
      </c>
      <c r="B20" s="12" t="s">
        <v>65</v>
      </c>
      <c r="C20" s="12" t="s">
        <v>195</v>
      </c>
      <c r="D20" s="12" t="s">
        <v>202</v>
      </c>
      <c r="E20" s="12" t="s">
        <v>220</v>
      </c>
      <c r="F20" s="19" t="n">
        <v>18.18</v>
      </c>
      <c r="G20" s="19" t="n">
        <v>17.49</v>
      </c>
      <c r="H20" s="19" t="n">
        <v>19.12</v>
      </c>
      <c r="I20" s="19" t="n">
        <v>17.34</v>
      </c>
      <c r="J20" s="19" t="n">
        <v>16.09</v>
      </c>
      <c r="K20" s="19" t="n">
        <v>16.84</v>
      </c>
      <c r="L20" s="19" t="n">
        <v>18.69</v>
      </c>
      <c r="M20" s="19" t="n">
        <v>17.11</v>
      </c>
      <c r="N20" s="19" t="n">
        <v>16.34</v>
      </c>
      <c r="O20" s="19" t="n">
        <v>16.74</v>
      </c>
      <c r="P20" s="19" t="n">
        <v>19.75</v>
      </c>
      <c r="Q20" s="19" t="n">
        <v>18.03</v>
      </c>
      <c r="R20" s="19" t="n">
        <v>18.56</v>
      </c>
      <c r="S20" s="19" t="n">
        <v>20.31</v>
      </c>
      <c r="T20" s="19" t="n">
        <v>23.23</v>
      </c>
      <c r="U20" s="19" t="n">
        <v>20.08</v>
      </c>
      <c r="V20" s="19" t="n">
        <v>18.99</v>
      </c>
      <c r="W20" s="19" t="n">
        <v>20.16</v>
      </c>
      <c r="X20" s="19" t="n">
        <v>24.35</v>
      </c>
      <c r="Y20" s="19" t="n">
        <v>19.58</v>
      </c>
      <c r="Z20" s="19" t="n">
        <v>19.94</v>
      </c>
      <c r="AA20" s="19" t="n">
        <v>21.57</v>
      </c>
      <c r="AB20" s="19" t="n">
        <v>24.22</v>
      </c>
      <c r="AC20" s="19" t="n">
        <v>19.48</v>
      </c>
      <c r="AD20" s="19" t="n">
        <v>18.87</v>
      </c>
      <c r="AE20" s="19" t="n">
        <v>17.34</v>
      </c>
      <c r="AF20" s="19" t="n">
        <v>19.92</v>
      </c>
      <c r="AG20" s="19" t="n">
        <v>14.47</v>
      </c>
      <c r="AH20" s="19" t="n">
        <v>11.74</v>
      </c>
      <c r="AI20" s="19" t="n">
        <v>11.22</v>
      </c>
      <c r="AJ20" s="19" t="n">
        <v>12.37</v>
      </c>
      <c r="AK20" s="19" t="n">
        <v>8.88</v>
      </c>
      <c r="AL20" s="19" t="n">
        <v>8.68</v>
      </c>
      <c r="AM20" s="19" t="n">
        <v>8.66</v>
      </c>
      <c r="AN20" s="19" t="n">
        <v>9.04</v>
      </c>
      <c r="AO20" s="19" t="n">
        <v>6.93</v>
      </c>
      <c r="AP20" s="19" t="n">
        <v>6.4</v>
      </c>
      <c r="AQ20" s="19" t="n">
        <v>7.38</v>
      </c>
      <c r="AR20" s="19" t="n">
        <v>8.76</v>
      </c>
      <c r="AS20" s="19" t="n">
        <v>5.22</v>
      </c>
      <c r="AT20" s="19" t="n">
        <v>4.85</v>
      </c>
      <c r="AU20" s="19" t="n">
        <v>4.92</v>
      </c>
      <c r="AV20" s="19" t="n">
        <v>5.42</v>
      </c>
      <c r="AW20" s="19" t="n">
        <v>3.95</v>
      </c>
      <c r="AX20" s="19" t="n">
        <v>3.85</v>
      </c>
      <c r="AY20" s="19" t="n">
        <v>4.39</v>
      </c>
      <c r="AZ20" s="19" t="n">
        <v>5.23</v>
      </c>
      <c r="BA20" s="19" t="n">
        <v>3.8</v>
      </c>
      <c r="BB20" s="19" t="n">
        <v>4.22</v>
      </c>
      <c r="BC20" s="19" t="n">
        <v>4.21</v>
      </c>
      <c r="BD20" s="19" t="n">
        <v>5.36</v>
      </c>
      <c r="BE20" s="19" t="n">
        <v>4.78</v>
      </c>
      <c r="BF20" s="19" t="n">
        <v>4.18</v>
      </c>
      <c r="BG20" s="19" t="n">
        <v>4.56</v>
      </c>
      <c r="BH20" s="19" t="n">
        <v>6.15</v>
      </c>
      <c r="BI20" s="19" t="n">
        <v>4.61</v>
      </c>
      <c r="BJ20" s="19" t="n">
        <v>4.63</v>
      </c>
      <c r="BK20" s="19" t="n">
        <v>4.87</v>
      </c>
      <c r="BL20" s="19" t="n">
        <v>6.93</v>
      </c>
      <c r="BM20" s="19" t="n">
        <v>5.51</v>
      </c>
      <c r="BN20" s="19" t="n">
        <v>5.35</v>
      </c>
      <c r="BO20" s="19" t="n">
        <v>6.25</v>
      </c>
      <c r="BP20" s="19" t="n">
        <v>8.29</v>
      </c>
      <c r="BQ20" s="19" t="n">
        <v>6.61</v>
      </c>
      <c r="BR20" s="19" t="n">
        <v>5.75</v>
      </c>
      <c r="BS20" s="19" t="n">
        <v>7.21</v>
      </c>
      <c r="BT20" s="19" t="n">
        <v>9.05</v>
      </c>
      <c r="BU20" s="19" t="n">
        <v>7.39</v>
      </c>
      <c r="BV20" s="19" t="n">
        <v>6.85</v>
      </c>
      <c r="BW20" s="19" t="n">
        <v>8.01</v>
      </c>
      <c r="BX20" s="19" t="n">
        <v>9.49</v>
      </c>
      <c r="BY20" s="19" t="n">
        <v>7.73</v>
      </c>
      <c r="BZ20" s="19" t="n">
        <v>6.81</v>
      </c>
      <c r="CA20" s="19" t="n">
        <v>4.71</v>
      </c>
      <c r="CB20" s="19" t="n">
        <v>6.15</v>
      </c>
      <c r="CC20" s="19" t="n">
        <v>4.5</v>
      </c>
      <c r="CD20" s="19" t="n">
        <v>4.35</v>
      </c>
      <c r="CE20" s="19" t="n">
        <v>6.14</v>
      </c>
      <c r="CF20" s="19" t="n">
        <v>9.62</v>
      </c>
      <c r="CG20" s="19" t="n">
        <v>6.18</v>
      </c>
      <c r="CH20" s="19" t="n">
        <v>7.14</v>
      </c>
      <c r="CI20" s="19" t="n">
        <v>7.85</v>
      </c>
      <c r="CJ20" s="19" t="n">
        <v>9.21</v>
      </c>
      <c r="CK20" s="19" t="n">
        <v>7.71</v>
      </c>
      <c r="CL20" s="19" t="n">
        <v>6.9</v>
      </c>
      <c r="CM20" s="19" t="n">
        <v>8.09</v>
      </c>
      <c r="CN20" s="19" t="n">
        <v>10.38</v>
      </c>
      <c r="CO20" s="19" t="n">
        <v>7.59</v>
      </c>
      <c r="CP20" s="19" t="n">
        <v>8.05</v>
      </c>
      <c r="CQ20" s="19" t="n">
        <v>8.7</v>
      </c>
      <c r="CR20" s="19" t="n">
        <v>11.2</v>
      </c>
      <c r="CS20" s="19" t="n">
        <v>8.54</v>
      </c>
      <c r="CT20" s="19" t="n">
        <v>7.22</v>
      </c>
      <c r="CU20" s="19" t="n">
        <v>8.91</v>
      </c>
      <c r="CV20" s="19" t="n">
        <v>10.96</v>
      </c>
      <c r="CW20" s="19" t="n">
        <v>8.22</v>
      </c>
      <c r="CX20" s="19" t="n">
        <v>8.07</v>
      </c>
      <c r="CY20" s="19" t="n">
        <v>9.6</v>
      </c>
    </row>
    <row r="21" customFormat="false" ht="15" hidden="false" customHeight="false" outlineLevel="0" collapsed="false">
      <c r="A21" s="12" t="s">
        <v>211</v>
      </c>
      <c r="B21" s="12" t="s">
        <v>65</v>
      </c>
      <c r="C21" s="12" t="s">
        <v>195</v>
      </c>
      <c r="D21" s="12" t="s">
        <v>204</v>
      </c>
      <c r="E21" s="12" t="s">
        <v>221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9" t="n">
        <v>51.58</v>
      </c>
      <c r="AH21" s="19" t="n">
        <v>46.15</v>
      </c>
      <c r="AI21" s="19" t="n">
        <v>44.16</v>
      </c>
      <c r="AJ21" s="19" t="n">
        <v>44.56</v>
      </c>
      <c r="AK21" s="19" t="n">
        <v>42.59</v>
      </c>
      <c r="AL21" s="19" t="n">
        <v>40.52</v>
      </c>
      <c r="AM21" s="19" t="n">
        <v>40.59</v>
      </c>
      <c r="AN21" s="19" t="n">
        <v>42.77</v>
      </c>
      <c r="AO21" s="19" t="n">
        <v>39.37</v>
      </c>
      <c r="AP21" s="19" t="n">
        <v>36.89</v>
      </c>
      <c r="AQ21" s="19" t="n">
        <v>36.45</v>
      </c>
      <c r="AR21" s="19" t="n">
        <v>37.76</v>
      </c>
      <c r="AS21" s="19" t="n">
        <v>34.59</v>
      </c>
      <c r="AT21" s="19" t="n">
        <v>31.61</v>
      </c>
      <c r="AU21" s="19" t="n">
        <v>31.27</v>
      </c>
      <c r="AV21" s="19" t="n">
        <v>33.13</v>
      </c>
      <c r="AW21" s="19" t="n">
        <v>29.16</v>
      </c>
      <c r="AX21" s="19" t="n">
        <v>27.93</v>
      </c>
      <c r="AY21" s="19" t="n">
        <v>28.13</v>
      </c>
      <c r="AZ21" s="19" t="n">
        <v>30.47</v>
      </c>
      <c r="BA21" s="19" t="n">
        <v>28.78</v>
      </c>
      <c r="BB21" s="19" t="n">
        <v>27.07</v>
      </c>
      <c r="BC21" s="19" t="n">
        <v>28.65</v>
      </c>
      <c r="BD21" s="19" t="n">
        <v>29.99</v>
      </c>
      <c r="BE21" s="19" t="n">
        <v>29.19</v>
      </c>
      <c r="BF21" s="19" t="n">
        <v>29.05</v>
      </c>
      <c r="BG21" s="19" t="n">
        <v>31.11</v>
      </c>
      <c r="BH21" s="19" t="n">
        <v>33.88</v>
      </c>
      <c r="BI21" s="19" t="n">
        <v>31.7</v>
      </c>
      <c r="BJ21" s="19" t="n">
        <v>30.55</v>
      </c>
      <c r="BK21" s="19" t="n">
        <v>31.62</v>
      </c>
      <c r="BL21" s="19" t="n">
        <v>34.49</v>
      </c>
      <c r="BM21" s="19" t="n">
        <v>32.09</v>
      </c>
      <c r="BN21" s="19" t="n">
        <v>32.79</v>
      </c>
      <c r="BO21" s="19" t="n">
        <v>34.95</v>
      </c>
      <c r="BP21" s="19" t="n">
        <v>39.48</v>
      </c>
      <c r="BQ21" s="19" t="n">
        <v>36.32</v>
      </c>
      <c r="BR21" s="19" t="n">
        <v>35.59</v>
      </c>
      <c r="BS21" s="19" t="n">
        <v>37.87</v>
      </c>
      <c r="BT21" s="19" t="n">
        <v>40.2</v>
      </c>
      <c r="BU21" s="19" t="n">
        <v>37.97</v>
      </c>
      <c r="BV21" s="19" t="n">
        <v>35.94</v>
      </c>
      <c r="BW21" s="19" t="n">
        <v>38.02</v>
      </c>
      <c r="BX21" s="19" t="n">
        <v>41.33</v>
      </c>
      <c r="BY21" s="19" t="n">
        <v>39.04</v>
      </c>
      <c r="BZ21" s="19" t="n">
        <v>36.6</v>
      </c>
      <c r="CA21" s="19" t="n">
        <v>29.18</v>
      </c>
      <c r="CB21" s="19" t="n">
        <v>33.75</v>
      </c>
      <c r="CC21" s="19" t="n">
        <v>32.33</v>
      </c>
      <c r="CD21" s="19" t="n">
        <v>32.07</v>
      </c>
      <c r="CE21" s="19" t="n">
        <v>34.87</v>
      </c>
      <c r="CF21" s="19" t="n">
        <v>40.17</v>
      </c>
      <c r="CG21" s="19" t="n">
        <v>37.39</v>
      </c>
      <c r="CH21" s="19" t="n">
        <v>37.86</v>
      </c>
      <c r="CI21" s="19" t="n">
        <v>41.34</v>
      </c>
      <c r="CJ21" s="19" t="n">
        <v>41.7</v>
      </c>
      <c r="CK21" s="19" t="n">
        <v>38.89</v>
      </c>
      <c r="CL21" s="19" t="n">
        <v>38.46</v>
      </c>
      <c r="CM21" s="19" t="n">
        <v>41.14</v>
      </c>
      <c r="CN21" s="19" t="n">
        <v>43.97</v>
      </c>
      <c r="CO21" s="19" t="n">
        <v>40.74</v>
      </c>
      <c r="CP21" s="19" t="n">
        <v>40.35</v>
      </c>
      <c r="CQ21" s="19" t="n">
        <v>42.62</v>
      </c>
      <c r="CR21" s="19" t="n">
        <v>44.99</v>
      </c>
      <c r="CS21" s="19" t="n">
        <v>42.37</v>
      </c>
      <c r="CT21" s="19" t="n">
        <v>40.85</v>
      </c>
      <c r="CU21" s="19" t="n">
        <v>44.28</v>
      </c>
      <c r="CV21" s="19" t="n">
        <v>45.97</v>
      </c>
      <c r="CW21" s="19" t="n">
        <v>43.51</v>
      </c>
      <c r="CX21" s="19" t="n">
        <v>42.84</v>
      </c>
      <c r="CY21" s="19" t="n">
        <v>45.56</v>
      </c>
    </row>
    <row r="22" customFormat="false" ht="15" hidden="false" customHeight="false" outlineLevel="0" collapsed="false">
      <c r="A22" s="12" t="s">
        <v>222</v>
      </c>
      <c r="B22" s="12" t="s">
        <v>194</v>
      </c>
      <c r="C22" s="12" t="s">
        <v>195</v>
      </c>
      <c r="D22" s="12" t="s">
        <v>196</v>
      </c>
      <c r="E22" s="12" t="s">
        <v>223</v>
      </c>
      <c r="F22" s="19" t="n">
        <v>58.4</v>
      </c>
      <c r="G22" s="19" t="n">
        <v>58.6</v>
      </c>
      <c r="H22" s="19" t="n">
        <v>59.16</v>
      </c>
      <c r="I22" s="19" t="n">
        <v>58.8</v>
      </c>
      <c r="J22" s="19" t="n">
        <v>59.16</v>
      </c>
      <c r="K22" s="19" t="n">
        <v>59.32</v>
      </c>
      <c r="L22" s="19" t="n">
        <v>59.56</v>
      </c>
      <c r="M22" s="19" t="n">
        <v>59.78</v>
      </c>
      <c r="N22" s="19" t="n">
        <v>60.25</v>
      </c>
      <c r="O22" s="19" t="n">
        <v>60.92</v>
      </c>
      <c r="P22" s="19" t="n">
        <v>60.69</v>
      </c>
      <c r="Q22" s="19" t="n">
        <v>61.64</v>
      </c>
      <c r="R22" s="19" t="n">
        <v>63.05</v>
      </c>
      <c r="S22" s="19" t="n">
        <v>63.98</v>
      </c>
      <c r="T22" s="19" t="n">
        <v>63.13</v>
      </c>
      <c r="U22" s="19" t="n">
        <v>63.09</v>
      </c>
      <c r="V22" s="19" t="n">
        <v>63.77</v>
      </c>
      <c r="W22" s="19" t="n">
        <v>64.32</v>
      </c>
      <c r="X22" s="19" t="n">
        <v>63.81</v>
      </c>
      <c r="Y22" s="19" t="n">
        <v>65.2</v>
      </c>
      <c r="Z22" s="19" t="n">
        <v>64.97</v>
      </c>
      <c r="AA22" s="19" t="n">
        <v>64.74</v>
      </c>
      <c r="AB22" s="19" t="n">
        <v>65.12</v>
      </c>
      <c r="AC22" s="19" t="n">
        <v>64.99</v>
      </c>
      <c r="AD22" s="19" t="n">
        <v>64.89</v>
      </c>
      <c r="AE22" s="19" t="n">
        <v>65.59</v>
      </c>
      <c r="AF22" s="19" t="n">
        <v>65.61</v>
      </c>
      <c r="AG22" s="19" t="n">
        <v>66.01</v>
      </c>
      <c r="AH22" s="19" t="n">
        <v>66.13</v>
      </c>
      <c r="AI22" s="19" t="n">
        <v>66.02</v>
      </c>
      <c r="AJ22" s="19" t="n">
        <v>65.35</v>
      </c>
      <c r="AK22" s="19" t="n">
        <v>65.6</v>
      </c>
      <c r="AL22" s="19" t="n">
        <v>65.9</v>
      </c>
      <c r="AM22" s="19" t="n">
        <v>66.22</v>
      </c>
      <c r="AN22" s="19" t="n">
        <v>65.86</v>
      </c>
      <c r="AO22" s="19" t="n">
        <v>66.33</v>
      </c>
      <c r="AP22" s="19" t="n">
        <v>65.3</v>
      </c>
      <c r="AQ22" s="19" t="n">
        <v>65.79</v>
      </c>
      <c r="AR22" s="19" t="n">
        <v>64.86</v>
      </c>
      <c r="AS22" s="19" t="n">
        <v>65</v>
      </c>
      <c r="AT22" s="19" t="n">
        <v>65.37</v>
      </c>
      <c r="AU22" s="19" t="n">
        <v>65.69</v>
      </c>
      <c r="AV22" s="19" t="n">
        <v>65.21</v>
      </c>
      <c r="AW22" s="19" t="n">
        <v>65.03</v>
      </c>
      <c r="AX22" s="19" t="n">
        <v>65.38</v>
      </c>
      <c r="AY22" s="19" t="n">
        <v>64.38</v>
      </c>
      <c r="AZ22" s="19" t="n">
        <v>64.04</v>
      </c>
      <c r="BA22" s="19" t="n">
        <v>64.05</v>
      </c>
      <c r="BB22" s="19" t="n">
        <v>63.47</v>
      </c>
      <c r="BC22" s="19" t="n">
        <v>63.5</v>
      </c>
      <c r="BD22" s="19" t="n">
        <v>63.65</v>
      </c>
      <c r="BE22" s="19" t="n">
        <v>64.82</v>
      </c>
      <c r="BF22" s="19" t="n">
        <v>64.56</v>
      </c>
      <c r="BG22" s="19" t="n">
        <v>65.06</v>
      </c>
      <c r="BH22" s="19" t="n">
        <v>63.93</v>
      </c>
      <c r="BI22" s="19" t="n">
        <v>64.75</v>
      </c>
      <c r="BJ22" s="19" t="n">
        <v>64.24</v>
      </c>
      <c r="BK22" s="19" t="n">
        <v>64.03</v>
      </c>
      <c r="BL22" s="19" t="n">
        <v>63.15</v>
      </c>
      <c r="BM22" s="19" t="n">
        <v>63.18</v>
      </c>
      <c r="BN22" s="19" t="n">
        <v>62.67</v>
      </c>
      <c r="BO22" s="19" t="n">
        <v>62.64</v>
      </c>
      <c r="BP22" s="19" t="n">
        <v>62.85</v>
      </c>
      <c r="BQ22" s="19" t="n">
        <v>63.32</v>
      </c>
      <c r="BR22" s="19" t="n">
        <v>63.27</v>
      </c>
      <c r="BS22" s="19" t="n">
        <v>62.84</v>
      </c>
      <c r="BT22" s="19" t="n">
        <v>62.53</v>
      </c>
      <c r="BU22" s="19" t="n">
        <v>62.94</v>
      </c>
      <c r="BV22" s="19" t="n">
        <v>62.71</v>
      </c>
      <c r="BW22" s="19" t="n">
        <v>62.86</v>
      </c>
      <c r="BX22" s="19" t="n">
        <v>62.37</v>
      </c>
      <c r="BY22" s="19" t="n">
        <v>63.4</v>
      </c>
      <c r="BZ22" s="19" t="n">
        <v>62.96</v>
      </c>
      <c r="CA22" s="19" t="n">
        <v>60.48</v>
      </c>
      <c r="CB22" s="19" t="n">
        <v>61.79</v>
      </c>
      <c r="CC22" s="19" t="n">
        <v>63.33</v>
      </c>
      <c r="CD22" s="19" t="n">
        <v>63.24</v>
      </c>
      <c r="CE22" s="19" t="n">
        <v>63.53</v>
      </c>
      <c r="CF22" s="19" t="n">
        <v>63.52</v>
      </c>
      <c r="CG22" s="19" t="n">
        <v>63.02</v>
      </c>
      <c r="CH22" s="19" t="n">
        <v>63.65</v>
      </c>
      <c r="CI22" s="19" t="n">
        <v>63.5</v>
      </c>
      <c r="CJ22" s="19" t="n">
        <v>62.91</v>
      </c>
      <c r="CK22" s="19" t="n">
        <v>63.15</v>
      </c>
      <c r="CL22" s="19" t="n">
        <v>63.26</v>
      </c>
      <c r="CM22" s="19" t="n">
        <v>63.42</v>
      </c>
      <c r="CN22" s="19" t="n">
        <v>63.11</v>
      </c>
      <c r="CO22" s="19" t="n">
        <v>63.19</v>
      </c>
      <c r="CP22" s="19" t="n">
        <v>63.27</v>
      </c>
      <c r="CQ22" s="19" t="n">
        <v>62.71</v>
      </c>
      <c r="CR22" s="19" t="n">
        <v>63.13</v>
      </c>
      <c r="CS22" s="19" t="n">
        <v>63.48</v>
      </c>
      <c r="CT22" s="19" t="n">
        <v>63.7</v>
      </c>
      <c r="CU22" s="19" t="n">
        <v>63.59</v>
      </c>
      <c r="CV22" s="19" t="n">
        <v>62.85</v>
      </c>
      <c r="CW22" s="19" t="n">
        <v>62.95</v>
      </c>
      <c r="CX22" s="19" t="n">
        <v>63.29</v>
      </c>
      <c r="CY22" s="19" t="n">
        <v>63.92</v>
      </c>
    </row>
    <row r="23" customFormat="false" ht="15" hidden="false" customHeight="false" outlineLevel="0" collapsed="false">
      <c r="A23" s="12" t="s">
        <v>222</v>
      </c>
      <c r="B23" s="12" t="s">
        <v>194</v>
      </c>
      <c r="C23" s="12" t="s">
        <v>195</v>
      </c>
      <c r="D23" s="12" t="s">
        <v>198</v>
      </c>
      <c r="E23" s="12" t="s">
        <v>224</v>
      </c>
      <c r="F23" s="19" t="n">
        <v>43.92</v>
      </c>
      <c r="G23" s="19" t="n">
        <v>44.4</v>
      </c>
      <c r="H23" s="19" t="n">
        <v>46.12</v>
      </c>
      <c r="I23" s="19" t="n">
        <v>43.87</v>
      </c>
      <c r="J23" s="19" t="n">
        <v>43.59</v>
      </c>
      <c r="K23" s="19" t="n">
        <v>45.49</v>
      </c>
      <c r="L23" s="19" t="n">
        <v>46.34</v>
      </c>
      <c r="M23" s="19" t="n">
        <v>45.68</v>
      </c>
      <c r="N23" s="19" t="n">
        <v>44.65</v>
      </c>
      <c r="O23" s="19" t="n">
        <v>45.99</v>
      </c>
      <c r="P23" s="19" t="n">
        <v>44.94</v>
      </c>
      <c r="Q23" s="19" t="n">
        <v>45.68</v>
      </c>
      <c r="R23" s="19" t="n">
        <v>49.93</v>
      </c>
      <c r="S23" s="19" t="n">
        <v>54.97</v>
      </c>
      <c r="T23" s="19" t="n">
        <v>54.04</v>
      </c>
      <c r="U23" s="19" t="n">
        <v>52.39</v>
      </c>
      <c r="V23" s="19" t="n">
        <v>51.54</v>
      </c>
      <c r="W23" s="19" t="n">
        <v>53.34</v>
      </c>
      <c r="X23" s="19" t="n">
        <v>55.4</v>
      </c>
      <c r="Y23" s="19" t="n">
        <v>56.87</v>
      </c>
      <c r="Z23" s="19" t="n">
        <v>55.53</v>
      </c>
      <c r="AA23" s="19" t="n">
        <v>54.22</v>
      </c>
      <c r="AB23" s="19" t="n">
        <v>56.16</v>
      </c>
      <c r="AC23" s="19" t="n">
        <v>51.42</v>
      </c>
      <c r="AD23" s="19" t="n">
        <v>52.48</v>
      </c>
      <c r="AE23" s="19" t="n">
        <v>53.37</v>
      </c>
      <c r="AF23" s="19" t="n">
        <v>54.37</v>
      </c>
      <c r="AG23" s="19" t="n">
        <v>51.99</v>
      </c>
      <c r="AH23" s="19" t="n">
        <v>50.59</v>
      </c>
      <c r="AI23" s="19" t="n">
        <v>49.71</v>
      </c>
      <c r="AJ23" s="19" t="n">
        <v>50.72</v>
      </c>
      <c r="AK23" s="19" t="n">
        <v>48.13</v>
      </c>
      <c r="AL23" s="19" t="n">
        <v>47.23</v>
      </c>
      <c r="AM23" s="19" t="n">
        <v>47.77</v>
      </c>
      <c r="AN23" s="19" t="n">
        <v>48.86</v>
      </c>
      <c r="AO23" s="19" t="n">
        <v>46.31</v>
      </c>
      <c r="AP23" s="19" t="n">
        <v>43.64</v>
      </c>
      <c r="AQ23" s="19" t="n">
        <v>44.63</v>
      </c>
      <c r="AR23" s="19" t="n">
        <v>44.82</v>
      </c>
      <c r="AS23" s="19" t="n">
        <v>42.8</v>
      </c>
      <c r="AT23" s="19" t="n">
        <v>42.83</v>
      </c>
      <c r="AU23" s="19" t="n">
        <v>42.09</v>
      </c>
      <c r="AV23" s="19" t="n">
        <v>42.32</v>
      </c>
      <c r="AW23" s="19" t="n">
        <v>39.83</v>
      </c>
      <c r="AX23" s="19" t="n">
        <v>42.76</v>
      </c>
      <c r="AY23" s="19" t="n">
        <v>40.89</v>
      </c>
      <c r="AZ23" s="19" t="n">
        <v>40.19</v>
      </c>
      <c r="BA23" s="19" t="n">
        <v>41.76</v>
      </c>
      <c r="BB23" s="19" t="n">
        <v>40.56</v>
      </c>
      <c r="BC23" s="19" t="n">
        <v>39.48</v>
      </c>
      <c r="BD23" s="19" t="n">
        <v>39.6</v>
      </c>
      <c r="BE23" s="19" t="n">
        <v>41.32</v>
      </c>
      <c r="BF23" s="19" t="n">
        <v>40.5</v>
      </c>
      <c r="BG23" s="19" t="n">
        <v>42.09</v>
      </c>
      <c r="BH23" s="19" t="n">
        <v>42.41</v>
      </c>
      <c r="BI23" s="19" t="n">
        <v>39.47</v>
      </c>
      <c r="BJ23" s="19" t="n">
        <v>38.88</v>
      </c>
      <c r="BK23" s="19" t="n">
        <v>39.47</v>
      </c>
      <c r="BL23" s="19" t="n">
        <v>36.16</v>
      </c>
      <c r="BM23" s="19" t="n">
        <v>34.41</v>
      </c>
      <c r="BN23" s="19" t="n">
        <v>34.14</v>
      </c>
      <c r="BO23" s="19" t="n">
        <v>35.76</v>
      </c>
      <c r="BP23" s="19" t="n">
        <v>36.92</v>
      </c>
      <c r="BQ23" s="19" t="n">
        <v>37.12</v>
      </c>
      <c r="BR23" s="19" t="n">
        <v>36.74</v>
      </c>
      <c r="BS23" s="19" t="n">
        <v>37.2</v>
      </c>
      <c r="BT23" s="19" t="n">
        <v>37.42</v>
      </c>
      <c r="BU23" s="19" t="n">
        <v>37.25</v>
      </c>
      <c r="BV23" s="19" t="n">
        <v>34.38</v>
      </c>
      <c r="BW23" s="19" t="n">
        <v>35.02</v>
      </c>
      <c r="BX23" s="19" t="n">
        <v>35.97</v>
      </c>
      <c r="BY23" s="19" t="n">
        <v>35.19</v>
      </c>
      <c r="BZ23" s="19" t="n">
        <v>33.7</v>
      </c>
      <c r="CA23" s="19" t="n">
        <v>28.59</v>
      </c>
      <c r="CB23" s="19" t="n">
        <v>32.25</v>
      </c>
      <c r="CC23" s="19" t="n">
        <v>35.02</v>
      </c>
      <c r="CD23" s="19" t="n">
        <v>36.73</v>
      </c>
      <c r="CE23" s="19" t="n">
        <v>38</v>
      </c>
      <c r="CF23" s="19" t="n">
        <v>39.32</v>
      </c>
      <c r="CG23" s="19" t="n">
        <v>36.4</v>
      </c>
      <c r="CH23" s="19" t="n">
        <v>38.12</v>
      </c>
      <c r="CI23" s="19" t="n">
        <v>38.7</v>
      </c>
      <c r="CJ23" s="19" t="n">
        <v>39.39</v>
      </c>
      <c r="CK23" s="19" t="n">
        <v>35.87</v>
      </c>
      <c r="CL23" s="19" t="n">
        <v>38.81</v>
      </c>
      <c r="CM23" s="19" t="n">
        <v>35.28</v>
      </c>
      <c r="CN23" s="19" t="n">
        <v>37.88</v>
      </c>
      <c r="CO23" s="19" t="n">
        <v>35.59</v>
      </c>
      <c r="CP23" s="19" t="n">
        <v>37.81</v>
      </c>
      <c r="CQ23" s="19" t="n">
        <v>34.69</v>
      </c>
      <c r="CR23" s="19" t="n">
        <v>38.86</v>
      </c>
      <c r="CS23" s="19" t="n">
        <v>38.01</v>
      </c>
      <c r="CT23" s="19" t="n">
        <v>38.16</v>
      </c>
      <c r="CU23" s="19" t="n">
        <v>38.45</v>
      </c>
      <c r="CV23" s="19" t="n">
        <v>36.84</v>
      </c>
      <c r="CW23" s="19" t="n">
        <v>36.69</v>
      </c>
      <c r="CX23" s="19" t="n">
        <v>36</v>
      </c>
      <c r="CY23" s="19" t="n">
        <v>40.64</v>
      </c>
    </row>
    <row r="24" customFormat="false" ht="15" hidden="false" customHeight="false" outlineLevel="0" collapsed="false">
      <c r="A24" s="12" t="s">
        <v>222</v>
      </c>
      <c r="B24" s="12" t="s">
        <v>194</v>
      </c>
      <c r="C24" s="12" t="s">
        <v>195</v>
      </c>
      <c r="D24" s="12" t="s">
        <v>200</v>
      </c>
      <c r="E24" s="12" t="s">
        <v>225</v>
      </c>
      <c r="F24" s="19" t="n">
        <v>60.97</v>
      </c>
      <c r="G24" s="19" t="n">
        <v>61.09</v>
      </c>
      <c r="H24" s="19" t="n">
        <v>61.42</v>
      </c>
      <c r="I24" s="19" t="n">
        <v>61.35</v>
      </c>
      <c r="J24" s="19" t="n">
        <v>61.79</v>
      </c>
      <c r="K24" s="19" t="n">
        <v>61.64</v>
      </c>
      <c r="L24" s="19" t="n">
        <v>61.75</v>
      </c>
      <c r="M24" s="19" t="n">
        <v>62.08</v>
      </c>
      <c r="N24" s="19" t="n">
        <v>62.76</v>
      </c>
      <c r="O24" s="19" t="n">
        <v>63.28</v>
      </c>
      <c r="P24" s="19" t="n">
        <v>63.15</v>
      </c>
      <c r="Q24" s="19" t="n">
        <v>64.11</v>
      </c>
      <c r="R24" s="19" t="n">
        <v>65.06</v>
      </c>
      <c r="S24" s="19" t="n">
        <v>65.34</v>
      </c>
      <c r="T24" s="19" t="n">
        <v>64.49</v>
      </c>
      <c r="U24" s="19" t="n">
        <v>64.67</v>
      </c>
      <c r="V24" s="19" t="n">
        <v>65.56</v>
      </c>
      <c r="W24" s="19" t="n">
        <v>65.91</v>
      </c>
      <c r="X24" s="19" t="n">
        <v>65.01</v>
      </c>
      <c r="Y24" s="19" t="n">
        <v>66.39</v>
      </c>
      <c r="Z24" s="19" t="n">
        <v>66.31</v>
      </c>
      <c r="AA24" s="19" t="n">
        <v>66.22</v>
      </c>
      <c r="AB24" s="19" t="n">
        <v>66.36</v>
      </c>
      <c r="AC24" s="19" t="n">
        <v>66.87</v>
      </c>
      <c r="AD24" s="19" t="n">
        <v>66.59</v>
      </c>
      <c r="AE24" s="19" t="n">
        <v>67.26</v>
      </c>
      <c r="AF24" s="19" t="n">
        <v>67.13</v>
      </c>
      <c r="AG24" s="19" t="n">
        <v>67.88</v>
      </c>
      <c r="AH24" s="19" t="n">
        <v>68.19</v>
      </c>
      <c r="AI24" s="19" t="n">
        <v>68.15</v>
      </c>
      <c r="AJ24" s="19" t="n">
        <v>67.25</v>
      </c>
      <c r="AK24" s="19" t="n">
        <v>67.84</v>
      </c>
      <c r="AL24" s="19" t="n">
        <v>68.27</v>
      </c>
      <c r="AM24" s="19" t="n">
        <v>68.54</v>
      </c>
      <c r="AN24" s="19" t="n">
        <v>67.98</v>
      </c>
      <c r="AO24" s="19" t="n">
        <v>68.8</v>
      </c>
      <c r="AP24" s="19" t="n">
        <v>67.94</v>
      </c>
      <c r="AQ24" s="19" t="n">
        <v>68.35</v>
      </c>
      <c r="AR24" s="19" t="n">
        <v>67.26</v>
      </c>
      <c r="AS24" s="19" t="n">
        <v>67.64</v>
      </c>
      <c r="AT24" s="19" t="n">
        <v>68.04</v>
      </c>
      <c r="AU24" s="19" t="n">
        <v>68.47</v>
      </c>
      <c r="AV24" s="19" t="n">
        <v>67.89</v>
      </c>
      <c r="AW24" s="19" t="n">
        <v>67.97</v>
      </c>
      <c r="AX24" s="19" t="n">
        <v>68</v>
      </c>
      <c r="AY24" s="19" t="n">
        <v>67.08</v>
      </c>
      <c r="AZ24" s="19" t="n">
        <v>66.78</v>
      </c>
      <c r="BA24" s="19" t="n">
        <v>66.6</v>
      </c>
      <c r="BB24" s="19" t="n">
        <v>66.08</v>
      </c>
      <c r="BC24" s="19" t="n">
        <v>66.23</v>
      </c>
      <c r="BD24" s="19" t="n">
        <v>66.38</v>
      </c>
      <c r="BE24" s="19" t="n">
        <v>67.48</v>
      </c>
      <c r="BF24" s="19" t="n">
        <v>67.29</v>
      </c>
      <c r="BG24" s="19" t="n">
        <v>67.66</v>
      </c>
      <c r="BH24" s="19" t="n">
        <v>66.37</v>
      </c>
      <c r="BI24" s="19" t="n">
        <v>67.62</v>
      </c>
      <c r="BJ24" s="19" t="n">
        <v>67.13</v>
      </c>
      <c r="BK24" s="19" t="n">
        <v>66.83</v>
      </c>
      <c r="BL24" s="19" t="n">
        <v>66.22</v>
      </c>
      <c r="BM24" s="19" t="n">
        <v>66.47</v>
      </c>
      <c r="BN24" s="19" t="n">
        <v>65.94</v>
      </c>
      <c r="BO24" s="19" t="n">
        <v>65.73</v>
      </c>
      <c r="BP24" s="19" t="n">
        <v>65.84</v>
      </c>
      <c r="BQ24" s="19" t="n">
        <v>66.36</v>
      </c>
      <c r="BR24" s="19" t="n">
        <v>66.36</v>
      </c>
      <c r="BS24" s="19" t="n">
        <v>65.85</v>
      </c>
      <c r="BT24" s="19" t="n">
        <v>65.49</v>
      </c>
      <c r="BU24" s="19" t="n">
        <v>65.99</v>
      </c>
      <c r="BV24" s="19" t="n">
        <v>66.1</v>
      </c>
      <c r="BW24" s="19" t="n">
        <v>66.2</v>
      </c>
      <c r="BX24" s="19" t="n">
        <v>65.56</v>
      </c>
      <c r="BY24" s="19" t="n">
        <v>66.83</v>
      </c>
      <c r="BZ24" s="19" t="n">
        <v>66.55</v>
      </c>
      <c r="CA24" s="19" t="n">
        <v>64.42</v>
      </c>
      <c r="CB24" s="19" t="n">
        <v>65.45</v>
      </c>
      <c r="CC24" s="19" t="n">
        <v>66.86</v>
      </c>
      <c r="CD24" s="19" t="n">
        <v>66.5</v>
      </c>
      <c r="CE24" s="19" t="n">
        <v>66.67</v>
      </c>
      <c r="CF24" s="19" t="n">
        <v>66.47</v>
      </c>
      <c r="CG24" s="19" t="n">
        <v>66.28</v>
      </c>
      <c r="CH24" s="19" t="n">
        <v>66.83</v>
      </c>
      <c r="CI24" s="19" t="n">
        <v>66.6</v>
      </c>
      <c r="CJ24" s="19" t="n">
        <v>65.92</v>
      </c>
      <c r="CK24" s="19" t="n">
        <v>66.68</v>
      </c>
      <c r="CL24" s="19" t="n">
        <v>66.39</v>
      </c>
      <c r="CM24" s="19" t="n">
        <v>67.03</v>
      </c>
      <c r="CN24" s="19" t="n">
        <v>66.37</v>
      </c>
      <c r="CO24" s="19" t="n">
        <v>66.76</v>
      </c>
      <c r="CP24" s="19" t="n">
        <v>66.62</v>
      </c>
      <c r="CQ24" s="19" t="n">
        <v>66.51</v>
      </c>
      <c r="CR24" s="19" t="n">
        <v>66.38</v>
      </c>
      <c r="CS24" s="19" t="n">
        <v>66.91</v>
      </c>
      <c r="CT24" s="19" t="n">
        <v>67.17</v>
      </c>
      <c r="CU24" s="19" t="n">
        <v>67.03</v>
      </c>
      <c r="CV24" s="19" t="n">
        <v>66.33</v>
      </c>
      <c r="CW24" s="19" t="n">
        <v>66.5</v>
      </c>
      <c r="CX24" s="19" t="n">
        <v>66.99</v>
      </c>
      <c r="CY24" s="19" t="n">
        <v>67.11</v>
      </c>
    </row>
    <row r="25" customFormat="false" ht="15" hidden="false" customHeight="false" outlineLevel="0" collapsed="false">
      <c r="A25" s="12" t="s">
        <v>222</v>
      </c>
      <c r="B25" s="12" t="s">
        <v>194</v>
      </c>
      <c r="C25" s="12" t="s">
        <v>195</v>
      </c>
      <c r="D25" s="12" t="s">
        <v>202</v>
      </c>
      <c r="E25" s="12" t="s">
        <v>226</v>
      </c>
      <c r="F25" s="19" t="n">
        <v>20.34</v>
      </c>
      <c r="G25" s="19" t="n">
        <v>19.72</v>
      </c>
      <c r="H25" s="19" t="n">
        <v>23.56</v>
      </c>
      <c r="I25" s="19" t="n">
        <v>20.98</v>
      </c>
      <c r="J25" s="19" t="n">
        <v>15.86</v>
      </c>
      <c r="K25" s="19" t="n">
        <v>16.56</v>
      </c>
      <c r="L25" s="19" t="n">
        <v>16.29</v>
      </c>
      <c r="M25" s="19" t="n">
        <v>17.91</v>
      </c>
      <c r="N25" s="19" t="n">
        <v>16.8</v>
      </c>
      <c r="O25" s="19" t="n">
        <v>17.28</v>
      </c>
      <c r="P25" s="19" t="n">
        <v>19.74</v>
      </c>
      <c r="Q25" s="19" t="n">
        <v>22.14</v>
      </c>
      <c r="R25" s="19" t="n">
        <v>23.41</v>
      </c>
      <c r="S25" s="19" t="n">
        <v>32.04</v>
      </c>
      <c r="T25" s="19" t="n">
        <v>31.65</v>
      </c>
      <c r="U25" s="19" t="n">
        <v>30.41</v>
      </c>
      <c r="V25" s="19" t="n">
        <v>28.75</v>
      </c>
      <c r="W25" s="19" t="n">
        <v>30.59</v>
      </c>
      <c r="X25" s="19" t="n">
        <v>31.26</v>
      </c>
      <c r="Y25" s="19" t="n">
        <v>30.12</v>
      </c>
      <c r="Z25" s="19" t="n">
        <v>29.56</v>
      </c>
      <c r="AA25" s="19" t="n">
        <v>28.13</v>
      </c>
      <c r="AB25" s="19" t="n">
        <v>29.55</v>
      </c>
      <c r="AC25" s="19" t="n">
        <v>28.2</v>
      </c>
      <c r="AD25" s="19" t="n">
        <v>27.77</v>
      </c>
      <c r="AE25" s="19" t="n">
        <v>30.22</v>
      </c>
      <c r="AF25" s="19" t="n">
        <v>30.77</v>
      </c>
      <c r="AG25" s="19" t="n">
        <v>26.53</v>
      </c>
      <c r="AH25" s="19" t="n">
        <v>25.05</v>
      </c>
      <c r="AI25" s="19" t="n">
        <v>22.53</v>
      </c>
      <c r="AJ25" s="19" t="n">
        <v>24.49</v>
      </c>
      <c r="AK25" s="19" t="n">
        <v>21.05</v>
      </c>
      <c r="AL25" s="19" t="n">
        <v>19.73</v>
      </c>
      <c r="AM25" s="19" t="n">
        <v>19.64</v>
      </c>
      <c r="AN25" s="19" t="n">
        <v>19.62</v>
      </c>
      <c r="AO25" s="19" t="n">
        <v>19.01</v>
      </c>
      <c r="AP25" s="19" t="n">
        <v>17.35</v>
      </c>
      <c r="AQ25" s="19" t="n">
        <v>18.04</v>
      </c>
      <c r="AR25" s="19" t="n">
        <v>19.64</v>
      </c>
      <c r="AS25" s="19" t="n">
        <v>16.37</v>
      </c>
      <c r="AT25" s="19" t="n">
        <v>15.47</v>
      </c>
      <c r="AU25" s="19" t="n">
        <v>16.31</v>
      </c>
      <c r="AV25" s="19" t="n">
        <v>17.62</v>
      </c>
      <c r="AW25" s="19" t="n">
        <v>13.05</v>
      </c>
      <c r="AX25" s="19" t="n">
        <v>14.65</v>
      </c>
      <c r="AY25" s="19" t="n">
        <v>12.77</v>
      </c>
      <c r="AZ25" s="19" t="n">
        <v>14.92</v>
      </c>
      <c r="BA25" s="19" t="n">
        <v>14.6</v>
      </c>
      <c r="BB25" s="19" t="n">
        <v>14.56</v>
      </c>
      <c r="BC25" s="19" t="n">
        <v>14.3</v>
      </c>
      <c r="BD25" s="19" t="n">
        <v>13.62</v>
      </c>
      <c r="BE25" s="19" t="n">
        <v>15.27</v>
      </c>
      <c r="BF25" s="19" t="n">
        <v>11.53</v>
      </c>
      <c r="BG25" s="19" t="n">
        <v>13.58</v>
      </c>
      <c r="BH25" s="19" t="n">
        <v>15.24</v>
      </c>
      <c r="BI25" s="19" t="n">
        <v>14.68</v>
      </c>
      <c r="BJ25" s="19" t="n">
        <v>15.97</v>
      </c>
      <c r="BK25" s="19" t="n">
        <v>13.29</v>
      </c>
      <c r="BL25" s="19" t="n">
        <v>12.21</v>
      </c>
      <c r="BM25" s="19" t="n">
        <v>11.2</v>
      </c>
      <c r="BN25" s="19" t="n">
        <v>9.91</v>
      </c>
      <c r="BO25" s="19" t="n">
        <v>11.49</v>
      </c>
      <c r="BP25" s="19" t="n">
        <v>11.71</v>
      </c>
      <c r="BQ25" s="19" t="n">
        <v>11.61</v>
      </c>
      <c r="BR25" s="19" t="n">
        <v>9.37</v>
      </c>
      <c r="BS25" s="19" t="n">
        <v>8.31</v>
      </c>
      <c r="BT25" s="19" t="n">
        <v>13.72</v>
      </c>
      <c r="BU25" s="19" t="n">
        <v>15.01</v>
      </c>
      <c r="BV25" s="19" t="n">
        <v>12.18</v>
      </c>
      <c r="BW25" s="19" t="n">
        <v>12.46</v>
      </c>
      <c r="BX25" s="19" t="n">
        <v>11.43</v>
      </c>
      <c r="BY25" s="19" t="n">
        <v>12.38</v>
      </c>
      <c r="BZ25" s="19" t="n">
        <v>10.99</v>
      </c>
      <c r="CA25" s="19" t="n">
        <v>9.41</v>
      </c>
      <c r="CB25" s="19" t="n">
        <v>11.12</v>
      </c>
      <c r="CC25" s="19" t="n">
        <v>10.83</v>
      </c>
      <c r="CD25" s="19" t="n">
        <v>12.98</v>
      </c>
      <c r="CE25" s="19" t="n">
        <v>14.78</v>
      </c>
      <c r="CF25" s="19" t="n">
        <v>16.49</v>
      </c>
      <c r="CG25" s="19" t="n">
        <v>11.21</v>
      </c>
      <c r="CH25" s="19" t="n">
        <v>14.33</v>
      </c>
      <c r="CI25" s="19" t="n">
        <v>12.87</v>
      </c>
      <c r="CJ25" s="19" t="n">
        <v>13.98</v>
      </c>
      <c r="CK25" s="19" t="n">
        <v>11.35</v>
      </c>
      <c r="CL25" s="19" t="n">
        <v>13.68</v>
      </c>
      <c r="CM25" s="19" t="n">
        <v>9.06</v>
      </c>
      <c r="CN25" s="19" t="n">
        <v>13.24</v>
      </c>
      <c r="CO25" s="19" t="n">
        <v>8.89</v>
      </c>
      <c r="CP25" s="19" t="n">
        <v>10.71</v>
      </c>
      <c r="CQ25" s="19" t="n">
        <v>9.6</v>
      </c>
      <c r="CR25" s="19" t="n">
        <v>13.04</v>
      </c>
      <c r="CS25" s="19" t="n">
        <v>12.64</v>
      </c>
      <c r="CT25" s="19" t="n">
        <v>11.96</v>
      </c>
      <c r="CU25" s="19" t="n">
        <v>11.34</v>
      </c>
      <c r="CV25" s="19" t="n">
        <v>13.17</v>
      </c>
      <c r="CW25" s="19" t="n">
        <v>9.92</v>
      </c>
      <c r="CX25" s="19" t="n">
        <v>11.66</v>
      </c>
      <c r="CY25" s="19" t="n">
        <v>14.3</v>
      </c>
    </row>
    <row r="26" customFormat="false" ht="15" hidden="false" customHeight="false" outlineLevel="0" collapsed="false">
      <c r="A26" s="12" t="s">
        <v>222</v>
      </c>
      <c r="B26" s="12" t="s">
        <v>194</v>
      </c>
      <c r="C26" s="12" t="s">
        <v>195</v>
      </c>
      <c r="D26" s="12" t="s">
        <v>204</v>
      </c>
      <c r="E26" s="12" t="s">
        <v>227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9" t="n">
        <v>68.13</v>
      </c>
      <c r="AH26" s="19" t="n">
        <v>66.92</v>
      </c>
      <c r="AI26" s="19" t="n">
        <v>67.25</v>
      </c>
      <c r="AJ26" s="19" t="n">
        <v>67.84</v>
      </c>
      <c r="AK26" s="19" t="n">
        <v>65.96</v>
      </c>
      <c r="AL26" s="19" t="n">
        <v>65.49</v>
      </c>
      <c r="AM26" s="19" t="n">
        <v>66.61</v>
      </c>
      <c r="AN26" s="19" t="n">
        <v>68.64</v>
      </c>
      <c r="AO26" s="19" t="n">
        <v>64.9</v>
      </c>
      <c r="AP26" s="19" t="n">
        <v>61.65</v>
      </c>
      <c r="AQ26" s="19" t="n">
        <v>62.94</v>
      </c>
      <c r="AR26" s="19" t="n">
        <v>62.27</v>
      </c>
      <c r="AS26" s="19" t="n">
        <v>61.18</v>
      </c>
      <c r="AT26" s="19" t="n">
        <v>61.9</v>
      </c>
      <c r="AU26" s="19" t="n">
        <v>60.14</v>
      </c>
      <c r="AV26" s="19" t="n">
        <v>59.71</v>
      </c>
      <c r="AW26" s="19" t="n">
        <v>58.68</v>
      </c>
      <c r="AX26" s="19" t="n">
        <v>62.66</v>
      </c>
      <c r="AY26" s="19" t="n">
        <v>60.96</v>
      </c>
      <c r="AZ26" s="19" t="n">
        <v>58.39</v>
      </c>
      <c r="BA26" s="19" t="n">
        <v>61.38</v>
      </c>
      <c r="BB26" s="19" t="n">
        <v>59.47</v>
      </c>
      <c r="BC26" s="19" t="n">
        <v>57.88</v>
      </c>
      <c r="BD26" s="19" t="n">
        <v>58.71</v>
      </c>
      <c r="BE26" s="19" t="n">
        <v>60.49</v>
      </c>
      <c r="BF26" s="19" t="n">
        <v>61.93</v>
      </c>
      <c r="BG26" s="19" t="n">
        <v>63.39</v>
      </c>
      <c r="BH26" s="19" t="n">
        <v>62.86</v>
      </c>
      <c r="BI26" s="19" t="n">
        <v>58.27</v>
      </c>
      <c r="BJ26" s="19" t="n">
        <v>56.39</v>
      </c>
      <c r="BK26" s="19" t="n">
        <v>59.61</v>
      </c>
      <c r="BL26" s="19" t="n">
        <v>54.73</v>
      </c>
      <c r="BM26" s="19" t="n">
        <v>52.53</v>
      </c>
      <c r="BN26" s="19" t="n">
        <v>53.17</v>
      </c>
      <c r="BO26" s="19" t="n">
        <v>54.91</v>
      </c>
      <c r="BP26" s="19" t="n">
        <v>56.89</v>
      </c>
      <c r="BQ26" s="19" t="n">
        <v>57.43</v>
      </c>
      <c r="BR26" s="19" t="n">
        <v>58.58</v>
      </c>
      <c r="BS26" s="19" t="n">
        <v>60.27</v>
      </c>
      <c r="BT26" s="19" t="n">
        <v>56.44</v>
      </c>
      <c r="BU26" s="19" t="n">
        <v>55.17</v>
      </c>
      <c r="BV26" s="19" t="n">
        <v>52.31</v>
      </c>
      <c r="BW26" s="19" t="n">
        <v>53.27</v>
      </c>
      <c r="BX26" s="19" t="n">
        <v>55.82</v>
      </c>
      <c r="BY26" s="19" t="n">
        <v>53.61</v>
      </c>
      <c r="BZ26" s="19" t="n">
        <v>51.98</v>
      </c>
      <c r="CA26" s="19" t="n">
        <v>44.02</v>
      </c>
      <c r="CB26" s="19" t="n">
        <v>49.3</v>
      </c>
      <c r="CC26" s="19" t="n">
        <v>54.6</v>
      </c>
      <c r="CD26" s="19" t="n">
        <v>55.69</v>
      </c>
      <c r="CE26" s="19" t="n">
        <v>56.58</v>
      </c>
      <c r="CF26" s="19" t="n">
        <v>57.18</v>
      </c>
      <c r="CG26" s="19" t="n">
        <v>55.9</v>
      </c>
      <c r="CH26" s="19" t="n">
        <v>56.82</v>
      </c>
      <c r="CI26" s="19" t="n">
        <v>58.75</v>
      </c>
      <c r="CJ26" s="19" t="n">
        <v>59.76</v>
      </c>
      <c r="CK26" s="19" t="n">
        <v>55.52</v>
      </c>
      <c r="CL26" s="19" t="n">
        <v>57.88</v>
      </c>
      <c r="CM26" s="19" t="n">
        <v>54.85</v>
      </c>
      <c r="CN26" s="19" t="n">
        <v>56.25</v>
      </c>
      <c r="CO26" s="19" t="n">
        <v>55.13</v>
      </c>
      <c r="CP26" s="19" t="n">
        <v>58</v>
      </c>
      <c r="CQ26" s="19" t="n">
        <v>54.45</v>
      </c>
      <c r="CR26" s="19" t="n">
        <v>58.57</v>
      </c>
      <c r="CS26" s="19" t="n">
        <v>57.22</v>
      </c>
      <c r="CT26" s="19" t="n">
        <v>58.23</v>
      </c>
      <c r="CU26" s="19" t="n">
        <v>59.38</v>
      </c>
      <c r="CV26" s="19" t="n">
        <v>54.29</v>
      </c>
      <c r="CW26" s="19" t="n">
        <v>56.65</v>
      </c>
      <c r="CX26" s="19" t="n">
        <v>54.07</v>
      </c>
      <c r="CY26" s="19" t="n">
        <v>60.39</v>
      </c>
    </row>
    <row r="27" customFormat="false" ht="15" hidden="false" customHeight="false" outlineLevel="0" collapsed="false">
      <c r="A27" s="12" t="s">
        <v>222</v>
      </c>
      <c r="B27" s="12" t="s">
        <v>65</v>
      </c>
      <c r="C27" s="12" t="s">
        <v>195</v>
      </c>
      <c r="D27" s="12" t="s">
        <v>196</v>
      </c>
      <c r="E27" s="12" t="s">
        <v>228</v>
      </c>
      <c r="F27" s="19" t="n">
        <v>54.06</v>
      </c>
      <c r="G27" s="19" t="n">
        <v>54.48</v>
      </c>
      <c r="H27" s="19" t="n">
        <v>54.92</v>
      </c>
      <c r="I27" s="19" t="n">
        <v>54.95</v>
      </c>
      <c r="J27" s="19" t="n">
        <v>55.28</v>
      </c>
      <c r="K27" s="19" t="n">
        <v>55.65</v>
      </c>
      <c r="L27" s="19" t="n">
        <v>56.15</v>
      </c>
      <c r="M27" s="19" t="n">
        <v>56.25</v>
      </c>
      <c r="N27" s="19" t="n">
        <v>56.24</v>
      </c>
      <c r="O27" s="19" t="n">
        <v>56.55</v>
      </c>
      <c r="P27" s="19" t="n">
        <v>56.93</v>
      </c>
      <c r="Q27" s="19" t="n">
        <v>57.12</v>
      </c>
      <c r="R27" s="19" t="n">
        <v>57.38</v>
      </c>
      <c r="S27" s="19" t="n">
        <v>57.86</v>
      </c>
      <c r="T27" s="19" t="n">
        <v>57.86</v>
      </c>
      <c r="U27" s="19" t="n">
        <v>58.08</v>
      </c>
      <c r="V27" s="19" t="n">
        <v>58.3</v>
      </c>
      <c r="W27" s="19" t="n">
        <v>58.63</v>
      </c>
      <c r="X27" s="19" t="n">
        <v>58.74</v>
      </c>
      <c r="Y27" s="19" t="n">
        <v>58.88</v>
      </c>
      <c r="Z27" s="19" t="n">
        <v>58.9</v>
      </c>
      <c r="AA27" s="19" t="n">
        <v>59.23</v>
      </c>
      <c r="AB27" s="19" t="n">
        <v>59.5</v>
      </c>
      <c r="AC27" s="19" t="n">
        <v>59.47</v>
      </c>
      <c r="AD27" s="19" t="n">
        <v>59.67</v>
      </c>
      <c r="AE27" s="19" t="n">
        <v>60.07</v>
      </c>
      <c r="AF27" s="19" t="n">
        <v>60.23</v>
      </c>
      <c r="AG27" s="19" t="n">
        <v>60.35</v>
      </c>
      <c r="AH27" s="19" t="n">
        <v>60.39</v>
      </c>
      <c r="AI27" s="19" t="n">
        <v>60.3</v>
      </c>
      <c r="AJ27" s="19" t="n">
        <v>60.05</v>
      </c>
      <c r="AK27" s="19" t="n">
        <v>59.99</v>
      </c>
      <c r="AL27" s="19" t="n">
        <v>60.09</v>
      </c>
      <c r="AM27" s="19" t="n">
        <v>60.41</v>
      </c>
      <c r="AN27" s="19" t="n">
        <v>60.37</v>
      </c>
      <c r="AO27" s="19" t="n">
        <v>60.25</v>
      </c>
      <c r="AP27" s="19" t="n">
        <v>60.16</v>
      </c>
      <c r="AQ27" s="19" t="n">
        <v>60.44</v>
      </c>
      <c r="AR27" s="19" t="n">
        <v>60.44</v>
      </c>
      <c r="AS27" s="19" t="n">
        <v>60.29</v>
      </c>
      <c r="AT27" s="19" t="n">
        <v>60.31</v>
      </c>
      <c r="AU27" s="19" t="n">
        <v>60.5</v>
      </c>
      <c r="AV27" s="19" t="n">
        <v>60.55</v>
      </c>
      <c r="AW27" s="19" t="n">
        <v>60.23</v>
      </c>
      <c r="AX27" s="19" t="n">
        <v>60.18</v>
      </c>
      <c r="AY27" s="19" t="n">
        <v>60</v>
      </c>
      <c r="AZ27" s="19" t="n">
        <v>60.04</v>
      </c>
      <c r="BA27" s="19" t="n">
        <v>59.86</v>
      </c>
      <c r="BB27" s="19" t="n">
        <v>59.46</v>
      </c>
      <c r="BC27" s="19" t="n">
        <v>59.63</v>
      </c>
      <c r="BD27" s="19" t="n">
        <v>59.53</v>
      </c>
      <c r="BE27" s="19" t="n">
        <v>59.77</v>
      </c>
      <c r="BF27" s="19" t="n">
        <v>59.45</v>
      </c>
      <c r="BG27" s="19" t="n">
        <v>59.79</v>
      </c>
      <c r="BH27" s="19" t="n">
        <v>59.5</v>
      </c>
      <c r="BI27" s="19" t="n">
        <v>59.43</v>
      </c>
      <c r="BJ27" s="19" t="n">
        <v>59.29</v>
      </c>
      <c r="BK27" s="19" t="n">
        <v>59.41</v>
      </c>
      <c r="BL27" s="19" t="n">
        <v>59.28</v>
      </c>
      <c r="BM27" s="19" t="n">
        <v>58.95</v>
      </c>
      <c r="BN27" s="19" t="n">
        <v>58.78</v>
      </c>
      <c r="BO27" s="19" t="n">
        <v>58.84</v>
      </c>
      <c r="BP27" s="19" t="n">
        <v>58.92</v>
      </c>
      <c r="BQ27" s="19" t="n">
        <v>58.8</v>
      </c>
      <c r="BR27" s="19" t="n">
        <v>58.46</v>
      </c>
      <c r="BS27" s="19" t="n">
        <v>58.8</v>
      </c>
      <c r="BT27" s="19" t="n">
        <v>58.73</v>
      </c>
      <c r="BU27" s="19" t="n">
        <v>58.61</v>
      </c>
      <c r="BV27" s="19" t="n">
        <v>58.35</v>
      </c>
      <c r="BW27" s="19" t="n">
        <v>58.74</v>
      </c>
      <c r="BX27" s="19" t="n">
        <v>58.72</v>
      </c>
      <c r="BY27" s="19" t="n">
        <v>58.74</v>
      </c>
      <c r="BZ27" s="19" t="n">
        <v>58.18</v>
      </c>
      <c r="CA27" s="19" t="n">
        <v>55.54</v>
      </c>
      <c r="CB27" s="19" t="n">
        <v>57.83</v>
      </c>
      <c r="CC27" s="19" t="n">
        <v>58.19</v>
      </c>
      <c r="CD27" s="19" t="n">
        <v>57.56</v>
      </c>
      <c r="CE27" s="19" t="n">
        <v>58.42</v>
      </c>
      <c r="CF27" s="19" t="n">
        <v>59.01</v>
      </c>
      <c r="CG27" s="19" t="n">
        <v>58.53</v>
      </c>
      <c r="CH27" s="19" t="n">
        <v>58.36</v>
      </c>
      <c r="CI27" s="19" t="n">
        <v>58.6</v>
      </c>
      <c r="CJ27" s="19" t="n">
        <v>58.76</v>
      </c>
      <c r="CK27" s="19" t="n">
        <v>58.4</v>
      </c>
      <c r="CL27" s="19" t="n">
        <v>58.44</v>
      </c>
      <c r="CM27" s="19" t="n">
        <v>58.85</v>
      </c>
      <c r="CN27" s="19" t="n">
        <v>59.29</v>
      </c>
      <c r="CO27" s="19" t="n">
        <v>58.83</v>
      </c>
      <c r="CP27" s="19" t="n">
        <v>58.63</v>
      </c>
      <c r="CQ27" s="19" t="n">
        <v>58.9</v>
      </c>
      <c r="CR27" s="19" t="n">
        <v>59.04</v>
      </c>
      <c r="CS27" s="19" t="n">
        <v>58.49</v>
      </c>
      <c r="CT27" s="19" t="n">
        <v>58.57</v>
      </c>
      <c r="CU27" s="19" t="n">
        <v>59.03</v>
      </c>
      <c r="CV27" s="19" t="n">
        <v>59.3</v>
      </c>
      <c r="CW27" s="19" t="n">
        <v>58.94</v>
      </c>
      <c r="CX27" s="19" t="n">
        <v>58.86</v>
      </c>
      <c r="CY27" s="19" t="n">
        <v>59.29</v>
      </c>
    </row>
    <row r="28" customFormat="false" ht="15" hidden="false" customHeight="false" outlineLevel="0" collapsed="false">
      <c r="A28" s="12" t="s">
        <v>222</v>
      </c>
      <c r="B28" s="12" t="s">
        <v>65</v>
      </c>
      <c r="C28" s="12" t="s">
        <v>195</v>
      </c>
      <c r="D28" s="12" t="s">
        <v>198</v>
      </c>
      <c r="E28" s="12" t="s">
        <v>229</v>
      </c>
      <c r="F28" s="19" t="n">
        <v>47.29</v>
      </c>
      <c r="G28" s="19" t="n">
        <v>47.46</v>
      </c>
      <c r="H28" s="19" t="n">
        <v>49.48</v>
      </c>
      <c r="I28" s="19" t="n">
        <v>48.02</v>
      </c>
      <c r="J28" s="19" t="n">
        <v>47.64</v>
      </c>
      <c r="K28" s="19" t="n">
        <v>48.43</v>
      </c>
      <c r="L28" s="19" t="n">
        <v>50.6</v>
      </c>
      <c r="M28" s="19" t="n">
        <v>48.77</v>
      </c>
      <c r="N28" s="19" t="n">
        <v>48.38</v>
      </c>
      <c r="O28" s="19" t="n">
        <v>48.98</v>
      </c>
      <c r="P28" s="19" t="n">
        <v>51.23</v>
      </c>
      <c r="Q28" s="19" t="n">
        <v>49.07</v>
      </c>
      <c r="R28" s="19" t="n">
        <v>50.91</v>
      </c>
      <c r="S28" s="19" t="n">
        <v>52.3</v>
      </c>
      <c r="T28" s="19" t="n">
        <v>54.52</v>
      </c>
      <c r="U28" s="19" t="n">
        <v>51.86</v>
      </c>
      <c r="V28" s="19" t="n">
        <v>51.38</v>
      </c>
      <c r="W28" s="19" t="n">
        <v>52.67</v>
      </c>
      <c r="X28" s="19" t="n">
        <v>54.68</v>
      </c>
      <c r="Y28" s="19" t="n">
        <v>52.11</v>
      </c>
      <c r="Z28" s="19" t="n">
        <v>50.87</v>
      </c>
      <c r="AA28" s="19" t="n">
        <v>52.37</v>
      </c>
      <c r="AB28" s="19" t="n">
        <v>55.25</v>
      </c>
      <c r="AC28" s="19" t="n">
        <v>51.52</v>
      </c>
      <c r="AD28" s="19" t="n">
        <v>50.89</v>
      </c>
      <c r="AE28" s="19" t="n">
        <v>52.2</v>
      </c>
      <c r="AF28" s="19" t="n">
        <v>55.17</v>
      </c>
      <c r="AG28" s="19" t="n">
        <v>51.51</v>
      </c>
      <c r="AH28" s="19" t="n">
        <v>49.95</v>
      </c>
      <c r="AI28" s="19" t="n">
        <v>49.67</v>
      </c>
      <c r="AJ28" s="19" t="n">
        <v>51.15</v>
      </c>
      <c r="AK28" s="19" t="n">
        <v>47.05</v>
      </c>
      <c r="AL28" s="19" t="n">
        <v>46.3</v>
      </c>
      <c r="AM28" s="19" t="n">
        <v>47.3</v>
      </c>
      <c r="AN28" s="19" t="n">
        <v>48.54</v>
      </c>
      <c r="AO28" s="19" t="n">
        <v>45.34</v>
      </c>
      <c r="AP28" s="19" t="n">
        <v>44.37</v>
      </c>
      <c r="AQ28" s="19" t="n">
        <v>45.06</v>
      </c>
      <c r="AR28" s="19" t="n">
        <v>47.23</v>
      </c>
      <c r="AS28" s="19" t="n">
        <v>43.14</v>
      </c>
      <c r="AT28" s="19" t="n">
        <v>42.36</v>
      </c>
      <c r="AU28" s="19" t="n">
        <v>43.2</v>
      </c>
      <c r="AV28" s="19" t="n">
        <v>44.96</v>
      </c>
      <c r="AW28" s="19" t="n">
        <v>41.3</v>
      </c>
      <c r="AX28" s="19" t="n">
        <v>41.52</v>
      </c>
      <c r="AY28" s="19" t="n">
        <v>41.35</v>
      </c>
      <c r="AZ28" s="19" t="n">
        <v>43.36</v>
      </c>
      <c r="BA28" s="19" t="n">
        <v>40.55</v>
      </c>
      <c r="BB28" s="19" t="n">
        <v>39.18</v>
      </c>
      <c r="BC28" s="19" t="n">
        <v>39.11</v>
      </c>
      <c r="BD28" s="19" t="n">
        <v>41.06</v>
      </c>
      <c r="BE28" s="19" t="n">
        <v>39.02</v>
      </c>
      <c r="BF28" s="19" t="n">
        <v>37.9</v>
      </c>
      <c r="BG28" s="19" t="n">
        <v>38.86</v>
      </c>
      <c r="BH28" s="19" t="n">
        <v>41.1</v>
      </c>
      <c r="BI28" s="19" t="n">
        <v>37.19</v>
      </c>
      <c r="BJ28" s="19" t="n">
        <v>36.07</v>
      </c>
      <c r="BK28" s="19" t="n">
        <v>37.3</v>
      </c>
      <c r="BL28" s="19" t="n">
        <v>38.64</v>
      </c>
      <c r="BM28" s="19" t="n">
        <v>35.77</v>
      </c>
      <c r="BN28" s="19" t="n">
        <v>35.47</v>
      </c>
      <c r="BO28" s="19" t="n">
        <v>36.8</v>
      </c>
      <c r="BP28" s="19" t="n">
        <v>40.04</v>
      </c>
      <c r="BQ28" s="19" t="n">
        <v>36.95</v>
      </c>
      <c r="BR28" s="19" t="n">
        <v>35.02</v>
      </c>
      <c r="BS28" s="19" t="n">
        <v>37.04</v>
      </c>
      <c r="BT28" s="19" t="n">
        <v>39.21</v>
      </c>
      <c r="BU28" s="19" t="n">
        <v>36.51</v>
      </c>
      <c r="BV28" s="19" t="n">
        <v>35.19</v>
      </c>
      <c r="BW28" s="19" t="n">
        <v>36.72</v>
      </c>
      <c r="BX28" s="19" t="n">
        <v>39.56</v>
      </c>
      <c r="BY28" s="19" t="n">
        <v>35.94</v>
      </c>
      <c r="BZ28" s="19" t="n">
        <v>34.66</v>
      </c>
      <c r="CA28" s="19" t="n">
        <v>30.14</v>
      </c>
      <c r="CB28" s="19" t="n">
        <v>35.88</v>
      </c>
      <c r="CC28" s="19" t="n">
        <v>33.14</v>
      </c>
      <c r="CD28" s="19" t="n">
        <v>32.59</v>
      </c>
      <c r="CE28" s="19" t="n">
        <v>35.76</v>
      </c>
      <c r="CF28" s="19" t="n">
        <v>38.73</v>
      </c>
      <c r="CG28" s="19" t="n">
        <v>33.92</v>
      </c>
      <c r="CH28" s="19" t="n">
        <v>34.49</v>
      </c>
      <c r="CI28" s="19" t="n">
        <v>37.23</v>
      </c>
      <c r="CJ28" s="19" t="n">
        <v>38.94</v>
      </c>
      <c r="CK28" s="19" t="n">
        <v>35.02</v>
      </c>
      <c r="CL28" s="19" t="n">
        <v>34.72</v>
      </c>
      <c r="CM28" s="19" t="n">
        <v>36.91</v>
      </c>
      <c r="CN28" s="19" t="n">
        <v>40.57</v>
      </c>
      <c r="CO28" s="19" t="n">
        <v>36.29</v>
      </c>
      <c r="CP28" s="19" t="n">
        <v>35.95</v>
      </c>
      <c r="CQ28" s="19" t="n">
        <v>37.34</v>
      </c>
      <c r="CR28" s="19" t="n">
        <v>40.85</v>
      </c>
      <c r="CS28" s="19" t="n">
        <v>36.28</v>
      </c>
      <c r="CT28" s="19" t="n">
        <v>35.23</v>
      </c>
      <c r="CU28" s="19" t="n">
        <v>37.84</v>
      </c>
      <c r="CV28" s="19" t="n">
        <v>40.99</v>
      </c>
      <c r="CW28" s="19" t="n">
        <v>36.42</v>
      </c>
      <c r="CX28" s="19" t="n">
        <v>36.54</v>
      </c>
      <c r="CY28" s="19" t="n">
        <v>39.07</v>
      </c>
    </row>
    <row r="29" customFormat="false" ht="15" hidden="false" customHeight="false" outlineLevel="0" collapsed="false">
      <c r="A29" s="12" t="s">
        <v>222</v>
      </c>
      <c r="B29" s="12" t="s">
        <v>65</v>
      </c>
      <c r="C29" s="12" t="s">
        <v>195</v>
      </c>
      <c r="D29" s="12" t="s">
        <v>200</v>
      </c>
      <c r="E29" s="12" t="s">
        <v>230</v>
      </c>
      <c r="F29" s="19" t="n">
        <v>55.26</v>
      </c>
      <c r="G29" s="19" t="n">
        <v>55.7</v>
      </c>
      <c r="H29" s="19" t="n">
        <v>55.86</v>
      </c>
      <c r="I29" s="19" t="n">
        <v>56.14</v>
      </c>
      <c r="J29" s="19" t="n">
        <v>56.57</v>
      </c>
      <c r="K29" s="19" t="n">
        <v>56.86</v>
      </c>
      <c r="L29" s="19" t="n">
        <v>57.06</v>
      </c>
      <c r="M29" s="19" t="n">
        <v>57.47</v>
      </c>
      <c r="N29" s="19" t="n">
        <v>57.5</v>
      </c>
      <c r="O29" s="19" t="n">
        <v>57.75</v>
      </c>
      <c r="P29" s="19" t="n">
        <v>57.83</v>
      </c>
      <c r="Q29" s="19" t="n">
        <v>58.37</v>
      </c>
      <c r="R29" s="19" t="n">
        <v>58.37</v>
      </c>
      <c r="S29" s="19" t="n">
        <v>58.71</v>
      </c>
      <c r="T29" s="19" t="n">
        <v>58.36</v>
      </c>
      <c r="U29" s="19" t="n">
        <v>59</v>
      </c>
      <c r="V29" s="19" t="n">
        <v>59.32</v>
      </c>
      <c r="W29" s="19" t="n">
        <v>59.5</v>
      </c>
      <c r="X29" s="19" t="n">
        <v>59.33</v>
      </c>
      <c r="Y29" s="19" t="n">
        <v>59.85</v>
      </c>
      <c r="Z29" s="19" t="n">
        <v>60.05</v>
      </c>
      <c r="AA29" s="19" t="n">
        <v>60.2</v>
      </c>
      <c r="AB29" s="19" t="n">
        <v>60.1</v>
      </c>
      <c r="AC29" s="19" t="n">
        <v>60.58</v>
      </c>
      <c r="AD29" s="19" t="n">
        <v>60.89</v>
      </c>
      <c r="AE29" s="19" t="n">
        <v>61.16</v>
      </c>
      <c r="AF29" s="19" t="n">
        <v>60.92</v>
      </c>
      <c r="AG29" s="19" t="n">
        <v>61.55</v>
      </c>
      <c r="AH29" s="19" t="n">
        <v>61.79</v>
      </c>
      <c r="AI29" s="19" t="n">
        <v>61.72</v>
      </c>
      <c r="AJ29" s="19" t="n">
        <v>61.22</v>
      </c>
      <c r="AK29" s="19" t="n">
        <v>61.69</v>
      </c>
      <c r="AL29" s="19" t="n">
        <v>61.89</v>
      </c>
      <c r="AM29" s="19" t="n">
        <v>62.1</v>
      </c>
      <c r="AN29" s="19" t="n">
        <v>61.88</v>
      </c>
      <c r="AO29" s="19" t="n">
        <v>62.14</v>
      </c>
      <c r="AP29" s="19" t="n">
        <v>62.15</v>
      </c>
      <c r="AQ29" s="19" t="n">
        <v>62.36</v>
      </c>
      <c r="AR29" s="19" t="n">
        <v>62.08</v>
      </c>
      <c r="AS29" s="19" t="n">
        <v>62.4</v>
      </c>
      <c r="AT29" s="19" t="n">
        <v>62.51</v>
      </c>
      <c r="AU29" s="19" t="n">
        <v>62.62</v>
      </c>
      <c r="AV29" s="19" t="n">
        <v>62.44</v>
      </c>
      <c r="AW29" s="19" t="n">
        <v>62.52</v>
      </c>
      <c r="AX29" s="19" t="n">
        <v>62.42</v>
      </c>
      <c r="AY29" s="19" t="n">
        <v>62.23</v>
      </c>
      <c r="AZ29" s="19" t="n">
        <v>62.02</v>
      </c>
      <c r="BA29" s="19" t="n">
        <v>62.14</v>
      </c>
      <c r="BB29" s="19" t="n">
        <v>61.85</v>
      </c>
      <c r="BC29" s="19" t="n">
        <v>62.04</v>
      </c>
      <c r="BD29" s="19" t="n">
        <v>61.69</v>
      </c>
      <c r="BE29" s="19" t="n">
        <v>62.2</v>
      </c>
      <c r="BF29" s="19" t="n">
        <v>61.96</v>
      </c>
      <c r="BG29" s="19" t="n">
        <v>62.22</v>
      </c>
      <c r="BH29" s="19" t="n">
        <v>61.64</v>
      </c>
      <c r="BI29" s="19" t="n">
        <v>62.01</v>
      </c>
      <c r="BJ29" s="19" t="n">
        <v>61.98</v>
      </c>
      <c r="BK29" s="19" t="n">
        <v>61.97</v>
      </c>
      <c r="BL29" s="19" t="n">
        <v>61.67</v>
      </c>
      <c r="BM29" s="19" t="n">
        <v>61.63</v>
      </c>
      <c r="BN29" s="19" t="n">
        <v>61.48</v>
      </c>
      <c r="BO29" s="19" t="n">
        <v>61.39</v>
      </c>
      <c r="BP29" s="19" t="n">
        <v>61.11</v>
      </c>
      <c r="BQ29" s="19" t="n">
        <v>61.34</v>
      </c>
      <c r="BR29" s="19" t="n">
        <v>61.19</v>
      </c>
      <c r="BS29" s="19" t="n">
        <v>61.34</v>
      </c>
      <c r="BT29" s="19" t="n">
        <v>61.02</v>
      </c>
      <c r="BU29" s="19" t="n">
        <v>61.21</v>
      </c>
      <c r="BV29" s="19" t="n">
        <v>61.09</v>
      </c>
      <c r="BW29" s="19" t="n">
        <v>61.36</v>
      </c>
      <c r="BX29" s="19" t="n">
        <v>61</v>
      </c>
      <c r="BY29" s="19" t="n">
        <v>61.47</v>
      </c>
      <c r="BZ29" s="19" t="n">
        <v>61.02</v>
      </c>
      <c r="CA29" s="19" t="n">
        <v>58.62</v>
      </c>
      <c r="CB29" s="19" t="n">
        <v>60.5</v>
      </c>
      <c r="CC29" s="19" t="n">
        <v>61.24</v>
      </c>
      <c r="CD29" s="19" t="n">
        <v>60.55</v>
      </c>
      <c r="CE29" s="19" t="n">
        <v>61.15</v>
      </c>
      <c r="CF29" s="19" t="n">
        <v>61.46</v>
      </c>
      <c r="CG29" s="19" t="n">
        <v>61.52</v>
      </c>
      <c r="CH29" s="19" t="n">
        <v>61.26</v>
      </c>
      <c r="CI29" s="19" t="n">
        <v>61.22</v>
      </c>
      <c r="CJ29" s="19" t="n">
        <v>61.21</v>
      </c>
      <c r="CK29" s="19" t="n">
        <v>61.31</v>
      </c>
      <c r="CL29" s="19" t="n">
        <v>61.4</v>
      </c>
      <c r="CM29" s="19" t="n">
        <v>61.59</v>
      </c>
      <c r="CN29" s="19" t="n">
        <v>61.63</v>
      </c>
      <c r="CO29" s="19" t="n">
        <v>61.7</v>
      </c>
      <c r="CP29" s="19" t="n">
        <v>61.51</v>
      </c>
      <c r="CQ29" s="19" t="n">
        <v>61.68</v>
      </c>
      <c r="CR29" s="19" t="n">
        <v>61.39</v>
      </c>
      <c r="CS29" s="19" t="n">
        <v>61.37</v>
      </c>
      <c r="CT29" s="19" t="n">
        <v>61.61</v>
      </c>
      <c r="CU29" s="19" t="n">
        <v>61.8</v>
      </c>
      <c r="CV29" s="19" t="n">
        <v>61.67</v>
      </c>
      <c r="CW29" s="19" t="n">
        <v>61.87</v>
      </c>
      <c r="CX29" s="19" t="n">
        <v>61.78</v>
      </c>
      <c r="CY29" s="19" t="n">
        <v>61.95</v>
      </c>
    </row>
    <row r="30" customFormat="false" ht="15" hidden="false" customHeight="false" outlineLevel="0" collapsed="false">
      <c r="A30" s="12" t="s">
        <v>222</v>
      </c>
      <c r="B30" s="12" t="s">
        <v>65</v>
      </c>
      <c r="C30" s="12" t="s">
        <v>195</v>
      </c>
      <c r="D30" s="12" t="s">
        <v>202</v>
      </c>
      <c r="E30" s="12" t="s">
        <v>231</v>
      </c>
      <c r="F30" s="19" t="n">
        <v>25.4</v>
      </c>
      <c r="G30" s="19" t="n">
        <v>24.81</v>
      </c>
      <c r="H30" s="19" t="n">
        <v>27.34</v>
      </c>
      <c r="I30" s="19" t="n">
        <v>25.33</v>
      </c>
      <c r="J30" s="19" t="n">
        <v>24.32</v>
      </c>
      <c r="K30" s="19" t="n">
        <v>25.57</v>
      </c>
      <c r="L30" s="19" t="n">
        <v>27.28</v>
      </c>
      <c r="M30" s="19" t="n">
        <v>25.19</v>
      </c>
      <c r="N30" s="19" t="n">
        <v>24.2</v>
      </c>
      <c r="O30" s="19" t="n">
        <v>24.67</v>
      </c>
      <c r="P30" s="19" t="n">
        <v>27.93</v>
      </c>
      <c r="Q30" s="19" t="n">
        <v>25.4</v>
      </c>
      <c r="R30" s="19" t="n">
        <v>26.99</v>
      </c>
      <c r="S30" s="19" t="n">
        <v>29.46</v>
      </c>
      <c r="T30" s="19" t="n">
        <v>31.76</v>
      </c>
      <c r="U30" s="19" t="n">
        <v>27.82</v>
      </c>
      <c r="V30" s="19" t="n">
        <v>27.01</v>
      </c>
      <c r="W30" s="19" t="n">
        <v>29.31</v>
      </c>
      <c r="X30" s="19" t="n">
        <v>32.4</v>
      </c>
      <c r="Y30" s="19" t="n">
        <v>28.47</v>
      </c>
      <c r="Z30" s="19" t="n">
        <v>27.53</v>
      </c>
      <c r="AA30" s="19" t="n">
        <v>30.45</v>
      </c>
      <c r="AB30" s="19" t="n">
        <v>33.27</v>
      </c>
      <c r="AC30" s="19" t="n">
        <v>28.27</v>
      </c>
      <c r="AD30" s="19" t="n">
        <v>28.1</v>
      </c>
      <c r="AE30" s="19" t="n">
        <v>29.37</v>
      </c>
      <c r="AF30" s="19" t="n">
        <v>32.3</v>
      </c>
      <c r="AG30" s="19" t="n">
        <v>26.71</v>
      </c>
      <c r="AH30" s="19" t="n">
        <v>25.65</v>
      </c>
      <c r="AI30" s="19" t="n">
        <v>25.61</v>
      </c>
      <c r="AJ30" s="19" t="n">
        <v>26.62</v>
      </c>
      <c r="AK30" s="19" t="n">
        <v>20.89</v>
      </c>
      <c r="AL30" s="19" t="n">
        <v>21.45</v>
      </c>
      <c r="AM30" s="19" t="n">
        <v>22.88</v>
      </c>
      <c r="AN30" s="19" t="n">
        <v>22.59</v>
      </c>
      <c r="AO30" s="19" t="n">
        <v>19.06</v>
      </c>
      <c r="AP30" s="19" t="n">
        <v>18.44</v>
      </c>
      <c r="AQ30" s="19" t="n">
        <v>19.71</v>
      </c>
      <c r="AR30" s="19" t="n">
        <v>22.1</v>
      </c>
      <c r="AS30" s="19" t="n">
        <v>16.92</v>
      </c>
      <c r="AT30" s="19" t="n">
        <v>16.99</v>
      </c>
      <c r="AU30" s="19" t="n">
        <v>18.36</v>
      </c>
      <c r="AV30" s="19" t="n">
        <v>19.28</v>
      </c>
      <c r="AW30" s="19" t="n">
        <v>15.11</v>
      </c>
      <c r="AX30" s="19" t="n">
        <v>15.8</v>
      </c>
      <c r="AY30" s="19" t="n">
        <v>16.27</v>
      </c>
      <c r="AZ30" s="19" t="n">
        <v>18.79</v>
      </c>
      <c r="BA30" s="19" t="n">
        <v>15.55</v>
      </c>
      <c r="BB30" s="19" t="n">
        <v>14.14</v>
      </c>
      <c r="BC30" s="19" t="n">
        <v>14.23</v>
      </c>
      <c r="BD30" s="19" t="n">
        <v>16.09</v>
      </c>
      <c r="BE30" s="19" t="n">
        <v>14.6</v>
      </c>
      <c r="BF30" s="19" t="n">
        <v>14.14</v>
      </c>
      <c r="BG30" s="19" t="n">
        <v>14.88</v>
      </c>
      <c r="BH30" s="19" t="n">
        <v>16.94</v>
      </c>
      <c r="BI30" s="19" t="n">
        <v>13.58</v>
      </c>
      <c r="BJ30" s="19" t="n">
        <v>12.91</v>
      </c>
      <c r="BK30" s="19" t="n">
        <v>13.36</v>
      </c>
      <c r="BL30" s="19" t="n">
        <v>15.3</v>
      </c>
      <c r="BM30" s="19" t="n">
        <v>13.34</v>
      </c>
      <c r="BN30" s="19" t="n">
        <v>12.97</v>
      </c>
      <c r="BO30" s="19" t="n">
        <v>14.2</v>
      </c>
      <c r="BP30" s="19" t="n">
        <v>16.72</v>
      </c>
      <c r="BQ30" s="19" t="n">
        <v>14.42</v>
      </c>
      <c r="BR30" s="19" t="n">
        <v>13.11</v>
      </c>
      <c r="BS30" s="19" t="n">
        <v>14.9</v>
      </c>
      <c r="BT30" s="19" t="n">
        <v>16.59</v>
      </c>
      <c r="BU30" s="19" t="n">
        <v>13.91</v>
      </c>
      <c r="BV30" s="19" t="n">
        <v>13.5</v>
      </c>
      <c r="BW30" s="19" t="n">
        <v>14.91</v>
      </c>
      <c r="BX30" s="19" t="n">
        <v>16.4</v>
      </c>
      <c r="BY30" s="19" t="n">
        <v>13.78</v>
      </c>
      <c r="BZ30" s="19" t="n">
        <v>12.91</v>
      </c>
      <c r="CA30" s="19" t="n">
        <v>10.36</v>
      </c>
      <c r="CB30" s="19" t="n">
        <v>13.96</v>
      </c>
      <c r="CC30" s="19" t="n">
        <v>11.29</v>
      </c>
      <c r="CD30" s="19" t="n">
        <v>10.45</v>
      </c>
      <c r="CE30" s="19" t="n">
        <v>13.69</v>
      </c>
      <c r="CF30" s="19" t="n">
        <v>16.95</v>
      </c>
      <c r="CG30" s="19" t="n">
        <v>12.42</v>
      </c>
      <c r="CH30" s="19" t="n">
        <v>13.16</v>
      </c>
      <c r="CI30" s="19" t="n">
        <v>15.33</v>
      </c>
      <c r="CJ30" s="19" t="n">
        <v>16.4</v>
      </c>
      <c r="CK30" s="19" t="n">
        <v>13.14</v>
      </c>
      <c r="CL30" s="19" t="n">
        <v>12.62</v>
      </c>
      <c r="CM30" s="19" t="n">
        <v>14.31</v>
      </c>
      <c r="CN30" s="19" t="n">
        <v>17.72</v>
      </c>
      <c r="CO30" s="19" t="n">
        <v>13.28</v>
      </c>
      <c r="CP30" s="19" t="n">
        <v>13.65</v>
      </c>
      <c r="CQ30" s="19" t="n">
        <v>15.68</v>
      </c>
      <c r="CR30" s="19" t="n">
        <v>18.19</v>
      </c>
      <c r="CS30" s="19" t="n">
        <v>13.95</v>
      </c>
      <c r="CT30" s="19" t="n">
        <v>12.08</v>
      </c>
      <c r="CU30" s="19" t="n">
        <v>14.83</v>
      </c>
      <c r="CV30" s="19" t="n">
        <v>17.5</v>
      </c>
      <c r="CW30" s="19" t="n">
        <v>11.81</v>
      </c>
      <c r="CX30" s="19" t="n">
        <v>13.26</v>
      </c>
      <c r="CY30" s="19" t="n">
        <v>16.3</v>
      </c>
    </row>
    <row r="31" customFormat="false" ht="15" hidden="false" customHeight="false" outlineLevel="0" collapsed="false">
      <c r="A31" s="12" t="s">
        <v>222</v>
      </c>
      <c r="B31" s="12" t="s">
        <v>65</v>
      </c>
      <c r="C31" s="12" t="s">
        <v>195</v>
      </c>
      <c r="D31" s="12" t="s">
        <v>204</v>
      </c>
      <c r="E31" s="12" t="s">
        <v>232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9" t="n">
        <v>68.32</v>
      </c>
      <c r="AH31" s="19" t="n">
        <v>66.53</v>
      </c>
      <c r="AI31" s="19" t="n">
        <v>66.17</v>
      </c>
      <c r="AJ31" s="19" t="n">
        <v>68.08</v>
      </c>
      <c r="AK31" s="19" t="n">
        <v>65.2</v>
      </c>
      <c r="AL31" s="19" t="n">
        <v>63.62</v>
      </c>
      <c r="AM31" s="19" t="n">
        <v>64.38</v>
      </c>
      <c r="AN31" s="19" t="n">
        <v>66.78</v>
      </c>
      <c r="AO31" s="19" t="n">
        <v>63.84</v>
      </c>
      <c r="AP31" s="19" t="n">
        <v>62.67</v>
      </c>
      <c r="AQ31" s="19" t="n">
        <v>63.03</v>
      </c>
      <c r="AR31" s="19" t="n">
        <v>65.1</v>
      </c>
      <c r="AS31" s="19" t="n">
        <v>61.82</v>
      </c>
      <c r="AT31" s="19" t="n">
        <v>60.45</v>
      </c>
      <c r="AU31" s="19" t="n">
        <v>60.95</v>
      </c>
      <c r="AV31" s="19" t="n">
        <v>63.32</v>
      </c>
      <c r="AW31" s="19" t="n">
        <v>60</v>
      </c>
      <c r="AX31" s="19" t="n">
        <v>59.92</v>
      </c>
      <c r="AY31" s="19" t="n">
        <v>59.38</v>
      </c>
      <c r="AZ31" s="19" t="n">
        <v>61.11</v>
      </c>
      <c r="BA31" s="19" t="n">
        <v>58.65</v>
      </c>
      <c r="BB31" s="19" t="n">
        <v>57.42</v>
      </c>
      <c r="BC31" s="19" t="n">
        <v>57.29</v>
      </c>
      <c r="BD31" s="19" t="n">
        <v>59.44</v>
      </c>
      <c r="BE31" s="19" t="n">
        <v>57.09</v>
      </c>
      <c r="BF31" s="19" t="n">
        <v>55.58</v>
      </c>
      <c r="BG31" s="19" t="n">
        <v>56.84</v>
      </c>
      <c r="BH31" s="19" t="n">
        <v>59.32</v>
      </c>
      <c r="BI31" s="19" t="n">
        <v>55.15</v>
      </c>
      <c r="BJ31" s="19" t="n">
        <v>53.83</v>
      </c>
      <c r="BK31" s="19" t="n">
        <v>55.8</v>
      </c>
      <c r="BL31" s="19" t="n">
        <v>56.79</v>
      </c>
      <c r="BM31" s="19" t="n">
        <v>53.34</v>
      </c>
      <c r="BN31" s="19" t="n">
        <v>53.21</v>
      </c>
      <c r="BO31" s="19" t="n">
        <v>54.74</v>
      </c>
      <c r="BP31" s="19" t="n">
        <v>58.65</v>
      </c>
      <c r="BQ31" s="19" t="n">
        <v>54.98</v>
      </c>
      <c r="BR31" s="19" t="n">
        <v>52.63</v>
      </c>
      <c r="BS31" s="19" t="n">
        <v>54.87</v>
      </c>
      <c r="BT31" s="19" t="n">
        <v>57.5</v>
      </c>
      <c r="BU31" s="19" t="n">
        <v>54.86</v>
      </c>
      <c r="BV31" s="19" t="n">
        <v>52.85</v>
      </c>
      <c r="BW31" s="19" t="n">
        <v>54.48</v>
      </c>
      <c r="BX31" s="19" t="n">
        <v>58.44</v>
      </c>
      <c r="BY31" s="19" t="n">
        <v>54.01</v>
      </c>
      <c r="BZ31" s="19" t="n">
        <v>52.37</v>
      </c>
      <c r="CA31" s="19" t="n">
        <v>46.25</v>
      </c>
      <c r="CB31" s="19" t="n">
        <v>53.72</v>
      </c>
      <c r="CC31" s="19" t="n">
        <v>50.94</v>
      </c>
      <c r="CD31" s="19" t="n">
        <v>50.34</v>
      </c>
      <c r="CE31" s="19" t="n">
        <v>53.66</v>
      </c>
      <c r="CF31" s="19" t="n">
        <v>56.44</v>
      </c>
      <c r="CG31" s="19" t="n">
        <v>51.35</v>
      </c>
      <c r="CH31" s="19" t="n">
        <v>51.74</v>
      </c>
      <c r="CI31" s="19" t="n">
        <v>54.98</v>
      </c>
      <c r="CJ31" s="19" t="n">
        <v>57.33</v>
      </c>
      <c r="CK31" s="19" t="n">
        <v>52.9</v>
      </c>
      <c r="CL31" s="19" t="n">
        <v>52.58</v>
      </c>
      <c r="CM31" s="19" t="n">
        <v>54.81</v>
      </c>
      <c r="CN31" s="19" t="n">
        <v>58.73</v>
      </c>
      <c r="CO31" s="19" t="n">
        <v>54.85</v>
      </c>
      <c r="CP31" s="19" t="n">
        <v>53.78</v>
      </c>
      <c r="CQ31" s="19" t="n">
        <v>54.94</v>
      </c>
      <c r="CR31" s="19" t="n">
        <v>59.22</v>
      </c>
      <c r="CS31" s="19" t="n">
        <v>54.34</v>
      </c>
      <c r="CT31" s="19" t="n">
        <v>53.79</v>
      </c>
      <c r="CU31" s="19" t="n">
        <v>56.27</v>
      </c>
      <c r="CV31" s="19" t="n">
        <v>59.44</v>
      </c>
      <c r="CW31" s="19" t="n">
        <v>55.62</v>
      </c>
      <c r="CX31" s="19" t="n">
        <v>54.76</v>
      </c>
      <c r="CY31" s="19" t="n">
        <v>56.87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233</v>
      </c>
      <c r="G1" s="4" t="s">
        <v>234</v>
      </c>
      <c r="H1" s="4" t="s">
        <v>235</v>
      </c>
      <c r="I1" s="4" t="s">
        <v>236</v>
      </c>
      <c r="J1" s="4" t="s">
        <v>237</v>
      </c>
      <c r="K1" s="4" t="s">
        <v>238</v>
      </c>
      <c r="L1" s="4" t="s">
        <v>239</v>
      </c>
      <c r="M1" s="4" t="s">
        <v>240</v>
      </c>
      <c r="N1" s="4" t="s">
        <v>241</v>
      </c>
      <c r="O1" s="4" t="s">
        <v>242</v>
      </c>
      <c r="P1" s="4" t="s">
        <v>243</v>
      </c>
      <c r="Q1" s="4" t="s">
        <v>244</v>
      </c>
      <c r="R1" s="4" t="s">
        <v>245</v>
      </c>
      <c r="S1" s="4" t="s">
        <v>246</v>
      </c>
      <c r="T1" s="4" t="s">
        <v>247</v>
      </c>
      <c r="U1" s="4" t="s">
        <v>248</v>
      </c>
      <c r="V1" s="4" t="s">
        <v>249</v>
      </c>
      <c r="W1" s="4" t="s">
        <v>250</v>
      </c>
      <c r="X1" s="4" t="s">
        <v>251</v>
      </c>
      <c r="Y1" s="4" t="s">
        <v>252</v>
      </c>
      <c r="Z1" s="4" t="s">
        <v>253</v>
      </c>
      <c r="AA1" s="4" t="s">
        <v>254</v>
      </c>
      <c r="AB1" s="4" t="s">
        <v>255</v>
      </c>
      <c r="AC1" s="4" t="s">
        <v>80</v>
      </c>
    </row>
    <row r="2" customFormat="false" ht="15" hidden="false" customHeight="false" outlineLevel="0" collapsed="false">
      <c r="A2" s="12" t="s">
        <v>193</v>
      </c>
      <c r="B2" s="12" t="s">
        <v>194</v>
      </c>
      <c r="C2" s="12" t="s">
        <v>195</v>
      </c>
      <c r="D2" s="12" t="s">
        <v>196</v>
      </c>
      <c r="E2" s="12" t="s">
        <v>197</v>
      </c>
      <c r="F2" s="13" t="n">
        <f aca="false">IF(COUNT(EPA_Tasas_Trim!F2:I2)=4,AVERAGE(EPA_Tasas_Trim!F2:I2),"")</f>
        <v>7.2975</v>
      </c>
      <c r="G2" s="13" t="n">
        <f aca="false">IF(COUNT(EPA_Tasas_Trim!J2:M2)=4,AVERAGE(EPA_Tasas_Trim!J2:M2),"")</f>
        <v>7.3675</v>
      </c>
      <c r="H2" s="13" t="n">
        <f aca="false">IF(COUNT(EPA_Tasas_Trim!N2:Q2)=4,AVERAGE(EPA_Tasas_Trim!N2:Q2),"")</f>
        <v>6.7375</v>
      </c>
      <c r="I2" s="13" t="n">
        <f aca="false">IF(COUNT(EPA_Tasas_Trim!R2:U2)=4,AVERAGE(EPA_Tasas_Trim!R2:U2),"")</f>
        <v>6.835</v>
      </c>
      <c r="J2" s="13" t="n">
        <f aca="false">IF(COUNT(EPA_Tasas_Trim!V2:Y2)=4,AVERAGE(EPA_Tasas_Trim!V2:Y2),"")</f>
        <v>6.3025</v>
      </c>
      <c r="K2" s="13" t="n">
        <f aca="false">IF(COUNT(EPA_Tasas_Trim!Z2:AC2)=4,AVERAGE(EPA_Tasas_Trim!Z2:AC2),"")</f>
        <v>6.2425</v>
      </c>
      <c r="L2" s="13" t="n">
        <f aca="false">IF(COUNT(EPA_Tasas_Trim!AD2:AG2)=4,AVERAGE(EPA_Tasas_Trim!AD2:AG2),"")</f>
        <v>8.6</v>
      </c>
      <c r="M2" s="13" t="n">
        <f aca="false">IF(COUNT(EPA_Tasas_Trim!AH2:AK2)=4,AVERAGE(EPA_Tasas_Trim!AH2:AK2),"")</f>
        <v>13.855</v>
      </c>
      <c r="N2" s="13" t="n">
        <f aca="false">IF(COUNT(EPA_Tasas_Trim!AL2:AO2)=4,AVERAGE(EPA_Tasas_Trim!AL2:AO2),"")</f>
        <v>15.8425</v>
      </c>
      <c r="O2" s="13" t="n">
        <f aca="false">IF(COUNT(EPA_Tasas_Trim!AP2:AS2)=4,AVERAGE(EPA_Tasas_Trim!AP2:AS2),"")</f>
        <v>16.3375</v>
      </c>
      <c r="P2" s="13" t="n">
        <f aca="false">IF(COUNT(EPA_Tasas_Trim!AT2:AW2)=4,AVERAGE(EPA_Tasas_Trim!AT2:AW2),"")</f>
        <v>18.53</v>
      </c>
      <c r="Q2" s="13" t="n">
        <f aca="false">IF(COUNT(EPA_Tasas_Trim!AX2:BA2)=4,AVERAGE(EPA_Tasas_Trim!AX2:BA2),"")</f>
        <v>19.7625</v>
      </c>
      <c r="R2" s="13" t="n">
        <f aca="false">IF(COUNT(EPA_Tasas_Trim!BB2:BE2)=4,AVERAGE(EPA_Tasas_Trim!BB2:BE2),"")</f>
        <v>18.7475</v>
      </c>
      <c r="S2" s="13" t="n">
        <f aca="false">IF(COUNT(EPA_Tasas_Trim!BF2:BI2)=4,AVERAGE(EPA_Tasas_Trim!BF2:BI2),"")</f>
        <v>17.0575</v>
      </c>
      <c r="T2" s="13" t="n">
        <f aca="false">IF(COUNT(EPA_Tasas_Trim!BJ2:BM2)=4,AVERAGE(EPA_Tasas_Trim!BJ2:BM2),"")</f>
        <v>15.7125</v>
      </c>
      <c r="U2" s="13" t="n">
        <f aca="false">IF(COUNT(EPA_Tasas_Trim!BN2:BQ2)=4,AVERAGE(EPA_Tasas_Trim!BN2:BQ2),"")</f>
        <v>13.3425</v>
      </c>
      <c r="V2" s="13" t="n">
        <f aca="false">IF(COUNT(EPA_Tasas_Trim!BR2:BU2)=4,AVERAGE(EPA_Tasas_Trim!BR2:BU2),"")</f>
        <v>12.22</v>
      </c>
      <c r="W2" s="13" t="n">
        <f aca="false">IF(COUNT(EPA_Tasas_Trim!BV2:BY2)=4,AVERAGE(EPA_Tasas_Trim!BV2:BY2),"")</f>
        <v>10.6225</v>
      </c>
      <c r="X2" s="13" t="n">
        <f aca="false">IF(COUNT(EPA_Tasas_Trim!BZ2:CC2)=4,AVERAGE(EPA_Tasas_Trim!BZ2:CC2),"")</f>
        <v>12.4975</v>
      </c>
      <c r="Y2" s="13" t="n">
        <f aca="false">IF(COUNT(EPA_Tasas_Trim!CD2:CG2)=4,AVERAGE(EPA_Tasas_Trim!CD2:CG2),"")</f>
        <v>11.6875</v>
      </c>
      <c r="Z2" s="13" t="n">
        <f aca="false">IF(COUNT(EPA_Tasas_Trim!CH2:CK2)=4,AVERAGE(EPA_Tasas_Trim!CH2:CK2),"")</f>
        <v>11.215</v>
      </c>
      <c r="AA2" s="13" t="n">
        <f aca="false">IF(COUNT(EPA_Tasas_Trim!CL2:CO2)=4,AVERAGE(EPA_Tasas_Trim!CL2:CO2),"")</f>
        <v>9.955</v>
      </c>
      <c r="AB2" s="13" t="n">
        <f aca="false">IF(COUNT(EPA_Tasas_Trim!CP2:CS2)=4,AVERAGE(EPA_Tasas_Trim!CP2:CS2),"")</f>
        <v>8.975</v>
      </c>
      <c r="AC2" s="13" t="n">
        <f aca="false">IF(COUNT(EPA_Tasas_Trim!CT2:CW2)=4,AVERAGE(EPA_Tasas_Trim!CT2:CW2),"")</f>
        <v>7.9675</v>
      </c>
    </row>
    <row r="3" customFormat="false" ht="15" hidden="false" customHeight="false" outlineLevel="0" collapsed="false">
      <c r="A3" s="12" t="s">
        <v>193</v>
      </c>
      <c r="B3" s="12" t="s">
        <v>194</v>
      </c>
      <c r="C3" s="12" t="s">
        <v>195</v>
      </c>
      <c r="D3" s="12" t="s">
        <v>198</v>
      </c>
      <c r="E3" s="12" t="s">
        <v>199</v>
      </c>
      <c r="F3" s="13" t="n">
        <f aca="false">IF(COUNT(EPA_Tasas_Trim!F3:I3)=4,AVERAGE(EPA_Tasas_Trim!F3:I3),"")</f>
        <v>14.95</v>
      </c>
      <c r="G3" s="13" t="n">
        <f aca="false">IF(COUNT(EPA_Tasas_Trim!J3:M3)=4,AVERAGE(EPA_Tasas_Trim!J3:M3),"")</f>
        <v>16.7675</v>
      </c>
      <c r="H3" s="13" t="n">
        <f aca="false">IF(COUNT(EPA_Tasas_Trim!N3:Q3)=4,AVERAGE(EPA_Tasas_Trim!N3:Q3),"")</f>
        <v>15.7075</v>
      </c>
      <c r="I3" s="13" t="n">
        <f aca="false">IF(COUNT(EPA_Tasas_Trim!R3:U3)=4,AVERAGE(EPA_Tasas_Trim!R3:U3),"")</f>
        <v>16.6975</v>
      </c>
      <c r="J3" s="13" t="n">
        <f aca="false">IF(COUNT(EPA_Tasas_Trim!V3:Y3)=4,AVERAGE(EPA_Tasas_Trim!V3:Y3),"")</f>
        <v>14.6425</v>
      </c>
      <c r="K3" s="13" t="n">
        <f aca="false">IF(COUNT(EPA_Tasas_Trim!Z3:AC3)=4,AVERAGE(EPA_Tasas_Trim!Z3:AC3),"")</f>
        <v>16.7475</v>
      </c>
      <c r="L3" s="13" t="n">
        <f aca="false">IF(COUNT(EPA_Tasas_Trim!AD3:AG3)=4,AVERAGE(EPA_Tasas_Trim!AD3:AG3),"")</f>
        <v>20.77</v>
      </c>
      <c r="M3" s="13" t="n">
        <f aca="false">IF(COUNT(EPA_Tasas_Trim!AH3:AK3)=4,AVERAGE(EPA_Tasas_Trim!AH3:AK3),"")</f>
        <v>34.2</v>
      </c>
      <c r="N3" s="13" t="n">
        <f aca="false">IF(COUNT(EPA_Tasas_Trim!AL3:AO3)=4,AVERAGE(EPA_Tasas_Trim!AL3:AO3),"")</f>
        <v>37.115</v>
      </c>
      <c r="O3" s="13" t="n">
        <f aca="false">IF(COUNT(EPA_Tasas_Trim!AP3:AS3)=4,AVERAGE(EPA_Tasas_Trim!AP3:AS3),"")</f>
        <v>40.855</v>
      </c>
      <c r="P3" s="13" t="n">
        <f aca="false">IF(COUNT(EPA_Tasas_Trim!AT3:AW3)=4,AVERAGE(EPA_Tasas_Trim!AT3:AW3),"")</f>
        <v>48.055</v>
      </c>
      <c r="Q3" s="13" t="n">
        <f aca="false">IF(COUNT(EPA_Tasas_Trim!AX3:BA3)=4,AVERAGE(EPA_Tasas_Trim!AX3:BA3),"")</f>
        <v>48.81</v>
      </c>
      <c r="R3" s="13" t="n">
        <f aca="false">IF(COUNT(EPA_Tasas_Trim!BB3:BE3)=4,AVERAGE(EPA_Tasas_Trim!BB3:BE3),"")</f>
        <v>48.99</v>
      </c>
      <c r="S3" s="13" t="n">
        <f aca="false">IF(COUNT(EPA_Tasas_Trim!BF3:BI3)=4,AVERAGE(EPA_Tasas_Trim!BF3:BI3),"")</f>
        <v>44.1625</v>
      </c>
      <c r="T3" s="13" t="n">
        <f aca="false">IF(COUNT(EPA_Tasas_Trim!BJ3:BM3)=4,AVERAGE(EPA_Tasas_Trim!BJ3:BM3),"")</f>
        <v>40.5175</v>
      </c>
      <c r="U3" s="13" t="n">
        <f aca="false">IF(COUNT(EPA_Tasas_Trim!BN3:BQ3)=4,AVERAGE(EPA_Tasas_Trim!BN3:BQ3),"")</f>
        <v>34.69</v>
      </c>
      <c r="V3" s="13" t="n">
        <f aca="false">IF(COUNT(EPA_Tasas_Trim!BR3:BU3)=4,AVERAGE(EPA_Tasas_Trim!BR3:BU3),"")</f>
        <v>27.4575</v>
      </c>
      <c r="W3" s="13" t="n">
        <f aca="false">IF(COUNT(EPA_Tasas_Trim!BV3:BY3)=4,AVERAGE(EPA_Tasas_Trim!BV3:BY3),"")</f>
        <v>29.09</v>
      </c>
      <c r="X3" s="13" t="n">
        <f aca="false">IF(COUNT(EPA_Tasas_Trim!BZ3:CC3)=4,AVERAGE(EPA_Tasas_Trim!BZ3:CC3),"")</f>
        <v>31.7825</v>
      </c>
      <c r="Y3" s="13" t="n">
        <f aca="false">IF(COUNT(EPA_Tasas_Trim!CD3:CG3)=4,AVERAGE(EPA_Tasas_Trim!CD3:CG3),"")</f>
        <v>29.4775</v>
      </c>
      <c r="Z3" s="13" t="n">
        <f aca="false">IF(COUNT(EPA_Tasas_Trim!CH3:CK3)=4,AVERAGE(EPA_Tasas_Trim!CH3:CK3),"")</f>
        <v>27.7675</v>
      </c>
      <c r="AA3" s="13" t="n">
        <f aca="false">IF(COUNT(EPA_Tasas_Trim!CL3:CO3)=4,AVERAGE(EPA_Tasas_Trim!CL3:CO3),"")</f>
        <v>27.3475</v>
      </c>
      <c r="AB3" s="13" t="n">
        <f aca="false">IF(COUNT(EPA_Tasas_Trim!CP3:CS3)=4,AVERAGE(EPA_Tasas_Trim!CP3:CS3),"")</f>
        <v>20.3175</v>
      </c>
      <c r="AC3" s="13" t="n">
        <f aca="false">IF(COUNT(EPA_Tasas_Trim!CT3:CW3)=4,AVERAGE(EPA_Tasas_Trim!CT3:CW3),"")</f>
        <v>19.335</v>
      </c>
    </row>
    <row r="4" customFormat="false" ht="15" hidden="false" customHeight="false" outlineLevel="0" collapsed="false">
      <c r="A4" s="12" t="s">
        <v>193</v>
      </c>
      <c r="B4" s="12" t="s">
        <v>194</v>
      </c>
      <c r="C4" s="12" t="s">
        <v>195</v>
      </c>
      <c r="D4" s="12" t="s">
        <v>200</v>
      </c>
      <c r="E4" s="12" t="s">
        <v>201</v>
      </c>
      <c r="F4" s="13" t="n">
        <f aca="false">IF(COUNT(EPA_Tasas_Trim!F4:I4)=4,AVERAGE(EPA_Tasas_Trim!F4:I4),"")</f>
        <v>6.33</v>
      </c>
      <c r="G4" s="13" t="n">
        <f aca="false">IF(COUNT(EPA_Tasas_Trim!J4:M4)=4,AVERAGE(EPA_Tasas_Trim!J4:M4),"")</f>
        <v>6.2225</v>
      </c>
      <c r="H4" s="13" t="n">
        <f aca="false">IF(COUNT(EPA_Tasas_Trim!N4:Q4)=4,AVERAGE(EPA_Tasas_Trim!N4:Q4),"")</f>
        <v>5.7275</v>
      </c>
      <c r="I4" s="13" t="n">
        <f aca="false">IF(COUNT(EPA_Tasas_Trim!R4:U4)=4,AVERAGE(EPA_Tasas_Trim!R4:U4),"")</f>
        <v>5.6275</v>
      </c>
      <c r="J4" s="13" t="n">
        <f aca="false">IF(COUNT(EPA_Tasas_Trim!V4:Y4)=4,AVERAGE(EPA_Tasas_Trim!V4:Y4),"")</f>
        <v>5.3075</v>
      </c>
      <c r="K4" s="13" t="n">
        <f aca="false">IF(COUNT(EPA_Tasas_Trim!Z4:AC4)=4,AVERAGE(EPA_Tasas_Trim!Z4:AC4),"")</f>
        <v>5.0425</v>
      </c>
      <c r="L4" s="13" t="n">
        <f aca="false">IF(COUNT(EPA_Tasas_Trim!AD4:AG4)=4,AVERAGE(EPA_Tasas_Trim!AD4:AG4),"")</f>
        <v>7.3</v>
      </c>
      <c r="M4" s="13" t="n">
        <f aca="false">IF(COUNT(EPA_Tasas_Trim!AH4:AK4)=4,AVERAGE(EPA_Tasas_Trim!AH4:AK4),"")</f>
        <v>11.9125</v>
      </c>
      <c r="N4" s="13" t="n">
        <f aca="false">IF(COUNT(EPA_Tasas_Trim!AL4:AO4)=4,AVERAGE(EPA_Tasas_Trim!AL4:AO4),"")</f>
        <v>14</v>
      </c>
      <c r="O4" s="13" t="n">
        <f aca="false">IF(COUNT(EPA_Tasas_Trim!AP4:AS4)=4,AVERAGE(EPA_Tasas_Trim!AP4:AS4),"")</f>
        <v>14.4175</v>
      </c>
      <c r="P4" s="13" t="n">
        <f aca="false">IF(COUNT(EPA_Tasas_Trim!AT4:AW4)=4,AVERAGE(EPA_Tasas_Trim!AT4:AW4),"")</f>
        <v>16.4</v>
      </c>
      <c r="Q4" s="13" t="n">
        <f aca="false">IF(COUNT(EPA_Tasas_Trim!AX4:BA4)=4,AVERAGE(EPA_Tasas_Trim!AX4:BA4),"")</f>
        <v>17.7075</v>
      </c>
      <c r="R4" s="13" t="n">
        <f aca="false">IF(COUNT(EPA_Tasas_Trim!BB4:BE4)=4,AVERAGE(EPA_Tasas_Trim!BB4:BE4),"")</f>
        <v>16.6675</v>
      </c>
      <c r="S4" s="13" t="n">
        <f aca="false">IF(COUNT(EPA_Tasas_Trim!BF4:BI4)=4,AVERAGE(EPA_Tasas_Trim!BF4:BI4),"")</f>
        <v>15.175</v>
      </c>
      <c r="T4" s="13" t="n">
        <f aca="false">IF(COUNT(EPA_Tasas_Trim!BJ4:BM4)=4,AVERAGE(EPA_Tasas_Trim!BJ4:BM4),"")</f>
        <v>14.13</v>
      </c>
      <c r="U4" s="13" t="n">
        <f aca="false">IF(COUNT(EPA_Tasas_Trim!BN4:BQ4)=4,AVERAGE(EPA_Tasas_Trim!BN4:BQ4),"")</f>
        <v>12.0025</v>
      </c>
      <c r="V4" s="13" t="n">
        <f aca="false">IF(COUNT(EPA_Tasas_Trim!BR4:BU4)=4,AVERAGE(EPA_Tasas_Trim!BR4:BU4),"")</f>
        <v>11.205</v>
      </c>
      <c r="W4" s="13" t="n">
        <f aca="false">IF(COUNT(EPA_Tasas_Trim!BV4:BY4)=4,AVERAGE(EPA_Tasas_Trim!BV4:BY4),"")</f>
        <v>9.44</v>
      </c>
      <c r="X4" s="13" t="n">
        <f aca="false">IF(COUNT(EPA_Tasas_Trim!BZ4:CC4)=4,AVERAGE(EPA_Tasas_Trim!BZ4:CC4),"")</f>
        <v>11.3225</v>
      </c>
      <c r="Y4" s="13" t="n">
        <f aca="false">IF(COUNT(EPA_Tasas_Trim!CD4:CG4)=4,AVERAGE(EPA_Tasas_Trim!CD4:CG4),"")</f>
        <v>10.4525</v>
      </c>
      <c r="Z4" s="13" t="n">
        <f aca="false">IF(COUNT(EPA_Tasas_Trim!CH4:CK4)=4,AVERAGE(EPA_Tasas_Trim!CH4:CK4),"")</f>
        <v>10.015</v>
      </c>
      <c r="AA4" s="13" t="n">
        <f aca="false">IF(COUNT(EPA_Tasas_Trim!CL4:CO4)=4,AVERAGE(EPA_Tasas_Trim!CL4:CO4),"")</f>
        <v>8.71</v>
      </c>
      <c r="AB4" s="13" t="n">
        <f aca="false">IF(COUNT(EPA_Tasas_Trim!CP4:CS4)=4,AVERAGE(EPA_Tasas_Trim!CP4:CS4),"")</f>
        <v>8.1175</v>
      </c>
      <c r="AC4" s="13" t="n">
        <f aca="false">IF(COUNT(EPA_Tasas_Trim!CT4:CW4)=4,AVERAGE(EPA_Tasas_Trim!CT4:CW4),"")</f>
        <v>7.105</v>
      </c>
    </row>
    <row r="5" customFormat="false" ht="15" hidden="false" customHeight="false" outlineLevel="0" collapsed="false">
      <c r="A5" s="12" t="s">
        <v>193</v>
      </c>
      <c r="B5" s="12" t="s">
        <v>194</v>
      </c>
      <c r="C5" s="12" t="s">
        <v>195</v>
      </c>
      <c r="D5" s="12" t="s">
        <v>202</v>
      </c>
      <c r="E5" s="12" t="s">
        <v>203</v>
      </c>
      <c r="F5" s="13" t="n">
        <f aca="false">IF(COUNT(EPA_Tasas_Trim!F5:I5)=4,AVERAGE(EPA_Tasas_Trim!F5:I5),"")</f>
        <v>22.49</v>
      </c>
      <c r="G5" s="13" t="n">
        <f aca="false">IF(COUNT(EPA_Tasas_Trim!J5:M5)=4,AVERAGE(EPA_Tasas_Trim!J5:M5),"")</f>
        <v>23.7175</v>
      </c>
      <c r="H5" s="13" t="n">
        <f aca="false">IF(COUNT(EPA_Tasas_Trim!N5:Q5)=4,AVERAGE(EPA_Tasas_Trim!N5:Q5),"")</f>
        <v>25.9475</v>
      </c>
      <c r="I5" s="13" t="n">
        <f aca="false">IF(COUNT(EPA_Tasas_Trim!R5:U5)=4,AVERAGE(EPA_Tasas_Trim!R5:U5),"")</f>
        <v>25.565</v>
      </c>
      <c r="J5" s="13" t="n">
        <f aca="false">IF(COUNT(EPA_Tasas_Trim!V5:Y5)=4,AVERAGE(EPA_Tasas_Trim!V5:Y5),"")</f>
        <v>29.5425</v>
      </c>
      <c r="K5" s="13" t="n">
        <f aca="false">IF(COUNT(EPA_Tasas_Trim!Z5:AC5)=4,AVERAGE(EPA_Tasas_Trim!Z5:AC5),"")</f>
        <v>28.4025</v>
      </c>
      <c r="L5" s="13" t="n">
        <f aca="false">IF(COUNT(EPA_Tasas_Trim!AD5:AG5)=4,AVERAGE(EPA_Tasas_Trim!AD5:AG5),"")</f>
        <v>35.5025</v>
      </c>
      <c r="M5" s="13" t="n">
        <f aca="false">IF(COUNT(EPA_Tasas_Trim!AH5:AK5)=4,AVERAGE(EPA_Tasas_Trim!AH5:AK5),"")</f>
        <v>52.43</v>
      </c>
      <c r="N5" s="13" t="n">
        <f aca="false">IF(COUNT(EPA_Tasas_Trim!AL5:AO5)=4,AVERAGE(EPA_Tasas_Trim!AL5:AO5),"")</f>
        <v>58.675</v>
      </c>
      <c r="O5" s="13" t="n">
        <f aca="false">IF(COUNT(EPA_Tasas_Trim!AP5:AS5)=4,AVERAGE(EPA_Tasas_Trim!AP5:AS5),"")</f>
        <v>63.1775</v>
      </c>
      <c r="P5" s="13" t="n">
        <f aca="false">IF(COUNT(EPA_Tasas_Trim!AT5:AW5)=4,AVERAGE(EPA_Tasas_Trim!AT5:AW5),"")</f>
        <v>77.2225</v>
      </c>
      <c r="Q5" s="13" t="n">
        <f aca="false">IF(COUNT(EPA_Tasas_Trim!AX5:BA5)=4,AVERAGE(EPA_Tasas_Trim!AX5:BA5),"")</f>
        <v>73.455</v>
      </c>
      <c r="R5" s="13" t="n">
        <f aca="false">IF(COUNT(EPA_Tasas_Trim!BB5:BE5)=4,AVERAGE(EPA_Tasas_Trim!BB5:BE5),"")</f>
        <v>68.705</v>
      </c>
      <c r="S5" s="13" t="n">
        <f aca="false">IF(COUNT(EPA_Tasas_Trim!BF5:BI5)=4,AVERAGE(EPA_Tasas_Trim!BF5:BI5),"")</f>
        <v>68.2525</v>
      </c>
      <c r="T5" s="13" t="n">
        <f aca="false">IF(COUNT(EPA_Tasas_Trim!BJ5:BM5)=4,AVERAGE(EPA_Tasas_Trim!BJ5:BM5),"")</f>
        <v>58.705</v>
      </c>
      <c r="U5" s="13" t="n">
        <f aca="false">IF(COUNT(EPA_Tasas_Trim!BN5:BQ5)=4,AVERAGE(EPA_Tasas_Trim!BN5:BQ5),"")</f>
        <v>60.445</v>
      </c>
      <c r="V5" s="13" t="n">
        <f aca="false">IF(COUNT(EPA_Tasas_Trim!BR5:BU5)=4,AVERAGE(EPA_Tasas_Trim!BR5:BU5),"")</f>
        <v>51.915</v>
      </c>
      <c r="W5" s="13" t="n">
        <f aca="false">IF(COUNT(EPA_Tasas_Trim!BV5:BY5)=4,AVERAGE(EPA_Tasas_Trim!BV5:BY5),"")</f>
        <v>46.3025</v>
      </c>
      <c r="X5" s="13" t="n">
        <f aca="false">IF(COUNT(EPA_Tasas_Trim!BZ5:CC5)=4,AVERAGE(EPA_Tasas_Trim!BZ5:CC5),"")</f>
        <v>47.3125</v>
      </c>
      <c r="Y5" s="13" t="n">
        <f aca="false">IF(COUNT(EPA_Tasas_Trim!CD5:CG5)=4,AVERAGE(EPA_Tasas_Trim!CD5:CG5),"")</f>
        <v>52.9225</v>
      </c>
      <c r="Z5" s="13" t="n">
        <f aca="false">IF(COUNT(EPA_Tasas_Trim!CH5:CK5)=4,AVERAGE(EPA_Tasas_Trim!CH5:CK5),"")</f>
        <v>48.525</v>
      </c>
      <c r="AA5" s="13" t="n">
        <f aca="false">IF(COUNT(EPA_Tasas_Trim!CL5:CO5)=4,AVERAGE(EPA_Tasas_Trim!CL5:CO5),"")</f>
        <v>42.8225</v>
      </c>
      <c r="AB5" s="13" t="n">
        <f aca="false">IF(COUNT(EPA_Tasas_Trim!CP5:CS5)=4,AVERAGE(EPA_Tasas_Trim!CP5:CS5),"")</f>
        <v>32.72</v>
      </c>
      <c r="AC5" s="13" t="n">
        <f aca="false">IF(COUNT(EPA_Tasas_Trim!CT5:CW5)=4,AVERAGE(EPA_Tasas_Trim!CT5:CW5),"")</f>
        <v>30.62</v>
      </c>
    </row>
    <row r="6" customFormat="false" ht="15" hidden="false" customHeight="false" outlineLevel="0" collapsed="false">
      <c r="A6" s="12" t="s">
        <v>193</v>
      </c>
      <c r="B6" s="12" t="s">
        <v>194</v>
      </c>
      <c r="C6" s="12" t="s">
        <v>195</v>
      </c>
      <c r="D6" s="12" t="s">
        <v>204</v>
      </c>
      <c r="E6" s="12" t="s">
        <v>205</v>
      </c>
      <c r="F6" s="13" t="str">
        <f aca="false">IF(COUNT(EPA_Tasas_Trim!F6:I6)=4,AVERAGE(EPA_Tasas_Trim!F6:I6),"")</f>
        <v/>
      </c>
      <c r="G6" s="13" t="str">
        <f aca="false">IF(COUNT(EPA_Tasas_Trim!J6:M6)=4,AVERAGE(EPA_Tasas_Trim!J6:M6),"")</f>
        <v/>
      </c>
      <c r="H6" s="13" t="str">
        <f aca="false">IF(COUNT(EPA_Tasas_Trim!N6:Q6)=4,AVERAGE(EPA_Tasas_Trim!N6:Q6),"")</f>
        <v/>
      </c>
      <c r="I6" s="13" t="str">
        <f aca="false">IF(COUNT(EPA_Tasas_Trim!R6:U6)=4,AVERAGE(EPA_Tasas_Trim!R6:U6),"")</f>
        <v/>
      </c>
      <c r="J6" s="13" t="str">
        <f aca="false">IF(COUNT(EPA_Tasas_Trim!V6:Y6)=4,AVERAGE(EPA_Tasas_Trim!V6:Y6),"")</f>
        <v/>
      </c>
      <c r="K6" s="13" t="str">
        <f aca="false">IF(COUNT(EPA_Tasas_Trim!Z6:AC6)=4,AVERAGE(EPA_Tasas_Trim!Z6:AC6),"")</f>
        <v/>
      </c>
      <c r="L6" s="13" t="str">
        <f aca="false">IF(COUNT(EPA_Tasas_Trim!AD6:AG6)=4,AVERAGE(EPA_Tasas_Trim!AD6:AG6),"")</f>
        <v/>
      </c>
      <c r="M6" s="13" t="n">
        <f aca="false">IF(COUNT(EPA_Tasas_Trim!AH6:AK6)=4,AVERAGE(EPA_Tasas_Trim!AH6:AK6),"")</f>
        <v>30.09</v>
      </c>
      <c r="N6" s="13" t="n">
        <f aca="false">IF(COUNT(EPA_Tasas_Trim!AL6:AO6)=4,AVERAGE(EPA_Tasas_Trim!AL6:AO6),"")</f>
        <v>32.86</v>
      </c>
      <c r="O6" s="13" t="n">
        <f aca="false">IF(COUNT(EPA_Tasas_Trim!AP6:AS6)=4,AVERAGE(EPA_Tasas_Trim!AP6:AS6),"")</f>
        <v>36.4925</v>
      </c>
      <c r="P6" s="13" t="n">
        <f aca="false">IF(COUNT(EPA_Tasas_Trim!AT6:AW6)=4,AVERAGE(EPA_Tasas_Trim!AT6:AW6),"")</f>
        <v>42.6425</v>
      </c>
      <c r="Q6" s="13" t="n">
        <f aca="false">IF(COUNT(EPA_Tasas_Trim!AX6:BA6)=4,AVERAGE(EPA_Tasas_Trim!AX6:BA6),"")</f>
        <v>44.645</v>
      </c>
      <c r="R6" s="13" t="n">
        <f aca="false">IF(COUNT(EPA_Tasas_Trim!BB6:BE6)=4,AVERAGE(EPA_Tasas_Trim!BB6:BE6),"")</f>
        <v>45.455</v>
      </c>
      <c r="S6" s="13" t="n">
        <f aca="false">IF(COUNT(EPA_Tasas_Trim!BF6:BI6)=4,AVERAGE(EPA_Tasas_Trim!BF6:BI6),"")</f>
        <v>40.015</v>
      </c>
      <c r="T6" s="13" t="n">
        <f aca="false">IF(COUNT(EPA_Tasas_Trim!BJ6:BM6)=4,AVERAGE(EPA_Tasas_Trim!BJ6:BM6),"")</f>
        <v>37.1325</v>
      </c>
      <c r="U6" s="13" t="n">
        <f aca="false">IF(COUNT(EPA_Tasas_Trim!BN6:BQ6)=4,AVERAGE(EPA_Tasas_Trim!BN6:BQ6),"")</f>
        <v>30.6075</v>
      </c>
      <c r="V6" s="13" t="n">
        <f aca="false">IF(COUNT(EPA_Tasas_Trim!BR6:BU6)=4,AVERAGE(EPA_Tasas_Trim!BR6:BU6),"")</f>
        <v>23.63</v>
      </c>
      <c r="W6" s="13" t="n">
        <f aca="false">IF(COUNT(EPA_Tasas_Trim!BV6:BY6)=4,AVERAGE(EPA_Tasas_Trim!BV6:BY6),"")</f>
        <v>25.9625</v>
      </c>
      <c r="X6" s="13" t="n">
        <f aca="false">IF(COUNT(EPA_Tasas_Trim!BZ6:CC6)=4,AVERAGE(EPA_Tasas_Trim!BZ6:CC6),"")</f>
        <v>29.145</v>
      </c>
      <c r="Y6" s="13" t="n">
        <f aca="false">IF(COUNT(EPA_Tasas_Trim!CD6:CG6)=4,AVERAGE(EPA_Tasas_Trim!CD6:CG6),"")</f>
        <v>25.04</v>
      </c>
      <c r="Z6" s="13" t="n">
        <f aca="false">IF(COUNT(EPA_Tasas_Trim!CH6:CK6)=4,AVERAGE(EPA_Tasas_Trim!CH6:CK6),"")</f>
        <v>24.0225</v>
      </c>
      <c r="AA6" s="13" t="n">
        <f aca="false">IF(COUNT(EPA_Tasas_Trim!CL6:CO6)=4,AVERAGE(EPA_Tasas_Trim!CL6:CO6),"")</f>
        <v>24.91</v>
      </c>
      <c r="AB6" s="13" t="n">
        <f aca="false">IF(COUNT(EPA_Tasas_Trim!CP6:CS6)=4,AVERAGE(EPA_Tasas_Trim!CP6:CS6),"")</f>
        <v>18.3775</v>
      </c>
      <c r="AC6" s="13" t="n">
        <f aca="false">IF(COUNT(EPA_Tasas_Trim!CT6:CW6)=4,AVERAGE(EPA_Tasas_Trim!CT6:CW6),"")</f>
        <v>17.555</v>
      </c>
    </row>
    <row r="7" customFormat="false" ht="15" hidden="false" customHeight="false" outlineLevel="0" collapsed="false">
      <c r="A7" s="12" t="s">
        <v>193</v>
      </c>
      <c r="B7" s="12" t="s">
        <v>65</v>
      </c>
      <c r="C7" s="12" t="s">
        <v>195</v>
      </c>
      <c r="D7" s="12" t="s">
        <v>196</v>
      </c>
      <c r="E7" s="12" t="s">
        <v>206</v>
      </c>
      <c r="F7" s="13" t="n">
        <f aca="false">IF(COUNT(EPA_Tasas_Trim!F7:I7)=4,AVERAGE(EPA_Tasas_Trim!F7:I7),"")</f>
        <v>11.45</v>
      </c>
      <c r="G7" s="13" t="n">
        <f aca="false">IF(COUNT(EPA_Tasas_Trim!J7:M7)=4,AVERAGE(EPA_Tasas_Trim!J7:M7),"")</f>
        <v>11.485</v>
      </c>
      <c r="H7" s="13" t="n">
        <f aca="false">IF(COUNT(EPA_Tasas_Trim!N7:Q7)=4,AVERAGE(EPA_Tasas_Trim!N7:Q7),"")</f>
        <v>10.965</v>
      </c>
      <c r="I7" s="13" t="n">
        <f aca="false">IF(COUNT(EPA_Tasas_Trim!R7:U7)=4,AVERAGE(EPA_Tasas_Trim!R7:U7),"")</f>
        <v>9.1525</v>
      </c>
      <c r="J7" s="13" t="n">
        <f aca="false">IF(COUNT(EPA_Tasas_Trim!V7:Y7)=4,AVERAGE(EPA_Tasas_Trim!V7:Y7),"")</f>
        <v>8.4525</v>
      </c>
      <c r="K7" s="13" t="n">
        <f aca="false">IF(COUNT(EPA_Tasas_Trim!Z7:AC7)=4,AVERAGE(EPA_Tasas_Trim!Z7:AC7),"")</f>
        <v>8.2325</v>
      </c>
      <c r="L7" s="13" t="n">
        <f aca="false">IF(COUNT(EPA_Tasas_Trim!AD7:AG7)=4,AVERAGE(EPA_Tasas_Trim!AD7:AG7),"")</f>
        <v>11.245</v>
      </c>
      <c r="M7" s="13" t="n">
        <f aca="false">IF(COUNT(EPA_Tasas_Trim!AH7:AK7)=4,AVERAGE(EPA_Tasas_Trim!AH7:AK7),"")</f>
        <v>17.855</v>
      </c>
      <c r="N7" s="13" t="n">
        <f aca="false">IF(COUNT(EPA_Tasas_Trim!AL7:AO7)=4,AVERAGE(EPA_Tasas_Trim!AL7:AO7),"")</f>
        <v>19.8575</v>
      </c>
      <c r="O7" s="13" t="n">
        <f aca="false">IF(COUNT(EPA_Tasas_Trim!AP7:AS7)=4,AVERAGE(EPA_Tasas_Trim!AP7:AS7),"")</f>
        <v>21.39</v>
      </c>
      <c r="P7" s="13" t="n">
        <f aca="false">IF(COUNT(EPA_Tasas_Trim!AT7:AW7)=4,AVERAGE(EPA_Tasas_Trim!AT7:AW7),"")</f>
        <v>24.7875</v>
      </c>
      <c r="Q7" s="13" t="n">
        <f aca="false">IF(COUNT(EPA_Tasas_Trim!AX7:BA7)=4,AVERAGE(EPA_Tasas_Trim!AX7:BA7),"")</f>
        <v>26.095</v>
      </c>
      <c r="R7" s="13" t="n">
        <f aca="false">IF(COUNT(EPA_Tasas_Trim!BB7:BE7)=4,AVERAGE(EPA_Tasas_Trim!BB7:BE7),"")</f>
        <v>24.4425</v>
      </c>
      <c r="S7" s="13" t="n">
        <f aca="false">IF(COUNT(EPA_Tasas_Trim!BF7:BI7)=4,AVERAGE(EPA_Tasas_Trim!BF7:BI7),"")</f>
        <v>22.0575</v>
      </c>
      <c r="T7" s="13" t="n">
        <f aca="false">IF(COUNT(EPA_Tasas_Trim!BJ7:BM7)=4,AVERAGE(EPA_Tasas_Trim!BJ7:BM7),"")</f>
        <v>19.635</v>
      </c>
      <c r="U7" s="13" t="n">
        <f aca="false">IF(COUNT(EPA_Tasas_Trim!BN7:BQ7)=4,AVERAGE(EPA_Tasas_Trim!BN7:BQ7),"")</f>
        <v>17.225</v>
      </c>
      <c r="V7" s="13" t="n">
        <f aca="false">IF(COUNT(EPA_Tasas_Trim!BR7:BU7)=4,AVERAGE(EPA_Tasas_Trim!BR7:BU7),"")</f>
        <v>15.255</v>
      </c>
      <c r="W7" s="13" t="n">
        <f aca="false">IF(COUNT(EPA_Tasas_Trim!BV7:BY7)=4,AVERAGE(EPA_Tasas_Trim!BV7:BY7),"")</f>
        <v>14.105</v>
      </c>
      <c r="X7" s="13" t="n">
        <f aca="false">IF(COUNT(EPA_Tasas_Trim!BZ7:CC7)=4,AVERAGE(EPA_Tasas_Trim!BZ7:CC7),"")</f>
        <v>15.5325</v>
      </c>
      <c r="Y7" s="13" t="n">
        <f aca="false">IF(COUNT(EPA_Tasas_Trim!CD7:CG7)=4,AVERAGE(EPA_Tasas_Trim!CD7:CG7),"")</f>
        <v>14.92</v>
      </c>
      <c r="Z7" s="13" t="n">
        <f aca="false">IF(COUNT(EPA_Tasas_Trim!CH7:CK7)=4,AVERAGE(EPA_Tasas_Trim!CH7:CK7),"")</f>
        <v>13.035</v>
      </c>
      <c r="AA7" s="13" t="n">
        <f aca="false">IF(COUNT(EPA_Tasas_Trim!CL7:CO7)=4,AVERAGE(EPA_Tasas_Trim!CL7:CO7),"")</f>
        <v>12.185</v>
      </c>
      <c r="AB7" s="13" t="n">
        <f aca="false">IF(COUNT(EPA_Tasas_Trim!CP7:CS7)=4,AVERAGE(EPA_Tasas_Trim!CP7:CS7),"")</f>
        <v>11.345</v>
      </c>
      <c r="AC7" s="13" t="n">
        <f aca="false">IF(COUNT(EPA_Tasas_Trim!CT7:CW7)=4,AVERAGE(EPA_Tasas_Trim!CT7:CW7),"")</f>
        <v>10.5075</v>
      </c>
    </row>
    <row r="8" customFormat="false" ht="15" hidden="false" customHeight="false" outlineLevel="0" collapsed="false">
      <c r="A8" s="12" t="s">
        <v>193</v>
      </c>
      <c r="B8" s="12" t="s">
        <v>65</v>
      </c>
      <c r="C8" s="12" t="s">
        <v>195</v>
      </c>
      <c r="D8" s="12" t="s">
        <v>198</v>
      </c>
      <c r="E8" s="12" t="s">
        <v>207</v>
      </c>
      <c r="F8" s="13" t="n">
        <f aca="false">IF(COUNT(EPA_Tasas_Trim!F8:I8)=4,AVERAGE(EPA_Tasas_Trim!F8:I8),"")</f>
        <v>22.1975</v>
      </c>
      <c r="G8" s="13" t="n">
        <f aca="false">IF(COUNT(EPA_Tasas_Trim!J8:M8)=4,AVERAGE(EPA_Tasas_Trim!J8:M8),"")</f>
        <v>22.7</v>
      </c>
      <c r="H8" s="13" t="n">
        <f aca="false">IF(COUNT(EPA_Tasas_Trim!N8:Q8)=4,AVERAGE(EPA_Tasas_Trim!N8:Q8),"")</f>
        <v>22.0025</v>
      </c>
      <c r="I8" s="13" t="n">
        <f aca="false">IF(COUNT(EPA_Tasas_Trim!R8:U8)=4,AVERAGE(EPA_Tasas_Trim!R8:U8),"")</f>
        <v>19.6525</v>
      </c>
      <c r="J8" s="13" t="n">
        <f aca="false">IF(COUNT(EPA_Tasas_Trim!V8:Y8)=4,AVERAGE(EPA_Tasas_Trim!V8:Y8),"")</f>
        <v>17.905</v>
      </c>
      <c r="K8" s="13" t="n">
        <f aca="false">IF(COUNT(EPA_Tasas_Trim!Z8:AC8)=4,AVERAGE(EPA_Tasas_Trim!Z8:AC8),"")</f>
        <v>18.0925</v>
      </c>
      <c r="L8" s="13" t="n">
        <f aca="false">IF(COUNT(EPA_Tasas_Trim!AD8:AG8)=4,AVERAGE(EPA_Tasas_Trim!AD8:AG8),"")</f>
        <v>24.4625</v>
      </c>
      <c r="M8" s="13" t="n">
        <f aca="false">IF(COUNT(EPA_Tasas_Trim!AH8:AK8)=4,AVERAGE(EPA_Tasas_Trim!AH8:AK8),"")</f>
        <v>37.745</v>
      </c>
      <c r="N8" s="13" t="n">
        <f aca="false">IF(COUNT(EPA_Tasas_Trim!AL8:AO8)=4,AVERAGE(EPA_Tasas_Trim!AL8:AO8),"")</f>
        <v>41.4975</v>
      </c>
      <c r="O8" s="13" t="n">
        <f aca="false">IF(COUNT(EPA_Tasas_Trim!AP8:AS8)=4,AVERAGE(EPA_Tasas_Trim!AP8:AS8),"")</f>
        <v>46.2225</v>
      </c>
      <c r="P8" s="13" t="n">
        <f aca="false">IF(COUNT(EPA_Tasas_Trim!AT8:AW8)=4,AVERAGE(EPA_Tasas_Trim!AT8:AW8),"")</f>
        <v>52.8875</v>
      </c>
      <c r="Q8" s="13" t="n">
        <f aca="false">IF(COUNT(EPA_Tasas_Trim!AX8:BA8)=4,AVERAGE(EPA_Tasas_Trim!AX8:BA8),"")</f>
        <v>55.4825</v>
      </c>
      <c r="R8" s="13" t="n">
        <f aca="false">IF(COUNT(EPA_Tasas_Trim!BB8:BE8)=4,AVERAGE(EPA_Tasas_Trim!BB8:BE8),"")</f>
        <v>53.2</v>
      </c>
      <c r="S8" s="13" t="n">
        <f aca="false">IF(COUNT(EPA_Tasas_Trim!BF8:BI8)=4,AVERAGE(EPA_Tasas_Trim!BF8:BI8),"")</f>
        <v>48.35</v>
      </c>
      <c r="T8" s="13" t="n">
        <f aca="false">IF(COUNT(EPA_Tasas_Trim!BJ8:BM8)=4,AVERAGE(EPA_Tasas_Trim!BJ8:BM8),"")</f>
        <v>44.46</v>
      </c>
      <c r="U8" s="13" t="n">
        <f aca="false">IF(COUNT(EPA_Tasas_Trim!BN8:BQ8)=4,AVERAGE(EPA_Tasas_Trim!BN8:BQ8),"")</f>
        <v>38.655</v>
      </c>
      <c r="V8" s="13" t="n">
        <f aca="false">IF(COUNT(EPA_Tasas_Trim!BR8:BU8)=4,AVERAGE(EPA_Tasas_Trim!BR8:BU8),"")</f>
        <v>34.39</v>
      </c>
      <c r="W8" s="13" t="n">
        <f aca="false">IF(COUNT(EPA_Tasas_Trim!BV8:BY8)=4,AVERAGE(EPA_Tasas_Trim!BV8:BY8),"")</f>
        <v>32.575</v>
      </c>
      <c r="X8" s="13" t="n">
        <f aca="false">IF(COUNT(EPA_Tasas_Trim!BZ8:CC8)=4,AVERAGE(EPA_Tasas_Trim!BZ8:CC8),"")</f>
        <v>38.295</v>
      </c>
      <c r="Y8" s="13" t="n">
        <f aca="false">IF(COUNT(EPA_Tasas_Trim!CD8:CG8)=4,AVERAGE(EPA_Tasas_Trim!CD8:CG8),"")</f>
        <v>35.1375</v>
      </c>
      <c r="Z8" s="13" t="n">
        <f aca="false">IF(COUNT(EPA_Tasas_Trim!CH8:CK8)=4,AVERAGE(EPA_Tasas_Trim!CH8:CK8),"")</f>
        <v>29.6575</v>
      </c>
      <c r="AA8" s="13" t="n">
        <f aca="false">IF(COUNT(EPA_Tasas_Trim!CL8:CO8)=4,AVERAGE(EPA_Tasas_Trim!CL8:CO8),"")</f>
        <v>28.6925</v>
      </c>
      <c r="AB8" s="13" t="n">
        <f aca="false">IF(COUNT(EPA_Tasas_Trim!CP8:CS8)=4,AVERAGE(EPA_Tasas_Trim!CP8:CS8),"")</f>
        <v>26.5175</v>
      </c>
      <c r="AC8" s="13" t="n">
        <f aca="false">IF(COUNT(EPA_Tasas_Trim!CT8:CW8)=4,AVERAGE(EPA_Tasas_Trim!CT8:CW8),"")</f>
        <v>24.875</v>
      </c>
    </row>
    <row r="9" customFormat="false" ht="15" hidden="false" customHeight="false" outlineLevel="0" collapsed="false">
      <c r="A9" s="12" t="s">
        <v>193</v>
      </c>
      <c r="B9" s="12" t="s">
        <v>65</v>
      </c>
      <c r="C9" s="12" t="s">
        <v>195</v>
      </c>
      <c r="D9" s="12" t="s">
        <v>200</v>
      </c>
      <c r="E9" s="12" t="s">
        <v>208</v>
      </c>
      <c r="F9" s="13" t="n">
        <f aca="false">IF(COUNT(EPA_Tasas_Trim!F9:I9)=4,AVERAGE(EPA_Tasas_Trim!F9:I9),"")</f>
        <v>9.8375</v>
      </c>
      <c r="G9" s="13" t="n">
        <f aca="false">IF(COUNT(EPA_Tasas_Trim!J9:M9)=4,AVERAGE(EPA_Tasas_Trim!J9:M9),"")</f>
        <v>9.895</v>
      </c>
      <c r="H9" s="13" t="n">
        <f aca="false">IF(COUNT(EPA_Tasas_Trim!N9:Q9)=4,AVERAGE(EPA_Tasas_Trim!N9:Q9),"")</f>
        <v>9.4775</v>
      </c>
      <c r="I9" s="13" t="n">
        <f aca="false">IF(COUNT(EPA_Tasas_Trim!R9:U9)=4,AVERAGE(EPA_Tasas_Trim!R9:U9),"")</f>
        <v>7.73</v>
      </c>
      <c r="J9" s="13" t="n">
        <f aca="false">IF(COUNT(EPA_Tasas_Trim!V9:Y9)=4,AVERAGE(EPA_Tasas_Trim!V9:Y9),"")</f>
        <v>7.2375</v>
      </c>
      <c r="K9" s="13" t="n">
        <f aca="false">IF(COUNT(EPA_Tasas_Trim!Z9:AC9)=4,AVERAGE(EPA_Tasas_Trim!Z9:AC9),"")</f>
        <v>7.0175</v>
      </c>
      <c r="L9" s="13" t="n">
        <f aca="false">IF(COUNT(EPA_Tasas_Trim!AD9:AG9)=4,AVERAGE(EPA_Tasas_Trim!AD9:AG9),"")</f>
        <v>9.69</v>
      </c>
      <c r="M9" s="13" t="n">
        <f aca="false">IF(COUNT(EPA_Tasas_Trim!AH9:AK9)=4,AVERAGE(EPA_Tasas_Trim!AH9:AK9),"")</f>
        <v>15.735</v>
      </c>
      <c r="N9" s="13" t="n">
        <f aca="false">IF(COUNT(EPA_Tasas_Trim!AL9:AO9)=4,AVERAGE(EPA_Tasas_Trim!AL9:AO9),"")</f>
        <v>17.76</v>
      </c>
      <c r="O9" s="13" t="n">
        <f aca="false">IF(COUNT(EPA_Tasas_Trim!AP9:AS9)=4,AVERAGE(EPA_Tasas_Trim!AP9:AS9),"")</f>
        <v>19.155</v>
      </c>
      <c r="P9" s="13" t="n">
        <f aca="false">IF(COUNT(EPA_Tasas_Trim!AT9:AW9)=4,AVERAGE(EPA_Tasas_Trim!AT9:AW9),"")</f>
        <v>22.4425</v>
      </c>
      <c r="Q9" s="13" t="n">
        <f aca="false">IF(COUNT(EPA_Tasas_Trim!AX9:BA9)=4,AVERAGE(EPA_Tasas_Trim!AX9:BA9),"")</f>
        <v>23.745</v>
      </c>
      <c r="R9" s="13" t="n">
        <f aca="false">IF(COUNT(EPA_Tasas_Trim!BB9:BE9)=4,AVERAGE(EPA_Tasas_Trim!BB9:BE9),"")</f>
        <v>22.285</v>
      </c>
      <c r="S9" s="13" t="n">
        <f aca="false">IF(COUNT(EPA_Tasas_Trim!BF9:BI9)=4,AVERAGE(EPA_Tasas_Trim!BF9:BI9),"")</f>
        <v>20.145</v>
      </c>
      <c r="T9" s="13" t="n">
        <f aca="false">IF(COUNT(EPA_Tasas_Trim!BJ9:BM9)=4,AVERAGE(EPA_Tasas_Trim!BJ9:BM9),"")</f>
        <v>17.9175</v>
      </c>
      <c r="U9" s="13" t="n">
        <f aca="false">IF(COUNT(EPA_Tasas_Trim!BN9:BQ9)=4,AVERAGE(EPA_Tasas_Trim!BN9:BQ9),"")</f>
        <v>15.715</v>
      </c>
      <c r="V9" s="13" t="n">
        <f aca="false">IF(COUNT(EPA_Tasas_Trim!BR9:BU9)=4,AVERAGE(EPA_Tasas_Trim!BR9:BU9),"")</f>
        <v>13.905</v>
      </c>
      <c r="W9" s="13" t="n">
        <f aca="false">IF(COUNT(EPA_Tasas_Trim!BV9:BY9)=4,AVERAGE(EPA_Tasas_Trim!BV9:BY9),"")</f>
        <v>12.785</v>
      </c>
      <c r="X9" s="13" t="n">
        <f aca="false">IF(COUNT(EPA_Tasas_Trim!BZ9:CC9)=4,AVERAGE(EPA_Tasas_Trim!BZ9:CC9),"")</f>
        <v>14.0025</v>
      </c>
      <c r="Y9" s="13" t="n">
        <f aca="false">IF(COUNT(EPA_Tasas_Trim!CD9:CG9)=4,AVERAGE(EPA_Tasas_Trim!CD9:CG9),"")</f>
        <v>13.525</v>
      </c>
      <c r="Z9" s="13" t="n">
        <f aca="false">IF(COUNT(EPA_Tasas_Trim!CH9:CK9)=4,AVERAGE(EPA_Tasas_Trim!CH9:CK9),"")</f>
        <v>11.815</v>
      </c>
      <c r="AA9" s="13" t="n">
        <f aca="false">IF(COUNT(EPA_Tasas_Trim!CL9:CO9)=4,AVERAGE(EPA_Tasas_Trim!CL9:CO9),"")</f>
        <v>10.935</v>
      </c>
      <c r="AB9" s="13" t="n">
        <f aca="false">IF(COUNT(EPA_Tasas_Trim!CP9:CS9)=4,AVERAGE(EPA_Tasas_Trim!CP9:CS9),"")</f>
        <v>10.15</v>
      </c>
      <c r="AC9" s="13" t="n">
        <f aca="false">IF(COUNT(EPA_Tasas_Trim!CT9:CW9)=4,AVERAGE(EPA_Tasas_Trim!CT9:CW9),"")</f>
        <v>9.3675</v>
      </c>
    </row>
    <row r="10" customFormat="false" ht="15" hidden="false" customHeight="false" outlineLevel="0" collapsed="false">
      <c r="A10" s="12" t="s">
        <v>193</v>
      </c>
      <c r="B10" s="12" t="s">
        <v>65</v>
      </c>
      <c r="C10" s="12" t="s">
        <v>195</v>
      </c>
      <c r="D10" s="12" t="s">
        <v>202</v>
      </c>
      <c r="E10" s="12" t="s">
        <v>209</v>
      </c>
      <c r="F10" s="13" t="n">
        <f aca="false">IF(COUNT(EPA_Tasas_Trim!F10:I10)=4,AVERAGE(EPA_Tasas_Trim!F10:I10),"")</f>
        <v>29.8775</v>
      </c>
      <c r="G10" s="13" t="n">
        <f aca="false">IF(COUNT(EPA_Tasas_Trim!J10:M10)=4,AVERAGE(EPA_Tasas_Trim!J10:M10),"")</f>
        <v>32.885</v>
      </c>
      <c r="H10" s="13" t="n">
        <f aca="false">IF(COUNT(EPA_Tasas_Trim!N10:Q10)=4,AVERAGE(EPA_Tasas_Trim!N10:Q10),"")</f>
        <v>30.7325</v>
      </c>
      <c r="I10" s="13" t="n">
        <f aca="false">IF(COUNT(EPA_Tasas_Trim!R10:U10)=4,AVERAGE(EPA_Tasas_Trim!R10:U10),"")</f>
        <v>29.2475</v>
      </c>
      <c r="J10" s="13" t="n">
        <f aca="false">IF(COUNT(EPA_Tasas_Trim!V10:Y10)=4,AVERAGE(EPA_Tasas_Trim!V10:Y10),"")</f>
        <v>29.25</v>
      </c>
      <c r="K10" s="13" t="n">
        <f aca="false">IF(COUNT(EPA_Tasas_Trim!Z10:AC10)=4,AVERAGE(EPA_Tasas_Trim!Z10:AC10),"")</f>
        <v>28.7675</v>
      </c>
      <c r="L10" s="13" t="n">
        <f aca="false">IF(COUNT(EPA_Tasas_Trim!AD10:AG10)=4,AVERAGE(EPA_Tasas_Trim!AD10:AG10),"")</f>
        <v>39.4875</v>
      </c>
      <c r="M10" s="13" t="n">
        <f aca="false">IF(COUNT(EPA_Tasas_Trim!AH10:AK10)=4,AVERAGE(EPA_Tasas_Trim!AH10:AK10),"")</f>
        <v>55.355</v>
      </c>
      <c r="N10" s="13" t="n">
        <f aca="false">IF(COUNT(EPA_Tasas_Trim!AL10:AO10)=4,AVERAGE(EPA_Tasas_Trim!AL10:AO10),"")</f>
        <v>61.3375</v>
      </c>
      <c r="O10" s="13" t="n">
        <f aca="false">IF(COUNT(EPA_Tasas_Trim!AP10:AS10)=4,AVERAGE(EPA_Tasas_Trim!AP10:AS10),"")</f>
        <v>64.34</v>
      </c>
      <c r="P10" s="13" t="n">
        <f aca="false">IF(COUNT(EPA_Tasas_Trim!AT10:AW10)=4,AVERAGE(EPA_Tasas_Trim!AT10:AW10),"")</f>
        <v>72.6</v>
      </c>
      <c r="Q10" s="13" t="n">
        <f aca="false">IF(COUNT(EPA_Tasas_Trim!AX10:BA10)=4,AVERAGE(EPA_Tasas_Trim!AX10:BA10),"")</f>
        <v>74.0775</v>
      </c>
      <c r="R10" s="13" t="n">
        <f aca="false">IF(COUNT(EPA_Tasas_Trim!BB10:BE10)=4,AVERAGE(EPA_Tasas_Trim!BB10:BE10),"")</f>
        <v>68.635</v>
      </c>
      <c r="S10" s="13" t="n">
        <f aca="false">IF(COUNT(EPA_Tasas_Trim!BF10:BI10)=4,AVERAGE(EPA_Tasas_Trim!BF10:BI10),"")</f>
        <v>67.4075</v>
      </c>
      <c r="T10" s="13" t="n">
        <f aca="false">IF(COUNT(EPA_Tasas_Trim!BJ10:BM10)=4,AVERAGE(EPA_Tasas_Trim!BJ10:BM10),"")</f>
        <v>60.25</v>
      </c>
      <c r="U10" s="13" t="n">
        <f aca="false">IF(COUNT(EPA_Tasas_Trim!BN10:BQ10)=4,AVERAGE(EPA_Tasas_Trim!BN10:BQ10),"")</f>
        <v>54.8325</v>
      </c>
      <c r="V10" s="13" t="n">
        <f aca="false">IF(COUNT(EPA_Tasas_Trim!BR10:BU10)=4,AVERAGE(EPA_Tasas_Trim!BR10:BU10),"")</f>
        <v>50.0275</v>
      </c>
      <c r="W10" s="13" t="n">
        <f aca="false">IF(COUNT(EPA_Tasas_Trim!BV10:BY10)=4,AVERAGE(EPA_Tasas_Trim!BV10:BY10),"")</f>
        <v>45.3925</v>
      </c>
      <c r="X10" s="13" t="n">
        <f aca="false">IF(COUNT(EPA_Tasas_Trim!BZ10:CC10)=4,AVERAGE(EPA_Tasas_Trim!BZ10:CC10),"")</f>
        <v>54.465</v>
      </c>
      <c r="Y10" s="13" t="n">
        <f aca="false">IF(COUNT(EPA_Tasas_Trim!CD10:CG10)=4,AVERAGE(EPA_Tasas_Trim!CD10:CG10),"")</f>
        <v>51.7625</v>
      </c>
      <c r="Z10" s="13" t="n">
        <f aca="false">IF(COUNT(EPA_Tasas_Trim!CH10:CK10)=4,AVERAGE(EPA_Tasas_Trim!CH10:CK10),"")</f>
        <v>44.9075</v>
      </c>
      <c r="AA10" s="13" t="n">
        <f aca="false">IF(COUNT(EPA_Tasas_Trim!CL10:CO10)=4,AVERAGE(EPA_Tasas_Trim!CL10:CO10),"")</f>
        <v>43.2675</v>
      </c>
      <c r="AB10" s="13" t="n">
        <f aca="false">IF(COUNT(EPA_Tasas_Trim!CP10:CS10)=4,AVERAGE(EPA_Tasas_Trim!CP10:CS10),"")</f>
        <v>40.7</v>
      </c>
      <c r="AC10" s="13" t="n">
        <f aca="false">IF(COUNT(EPA_Tasas_Trim!CT10:CW10)=4,AVERAGE(EPA_Tasas_Trim!CT10:CW10),"")</f>
        <v>36.9725</v>
      </c>
    </row>
    <row r="11" customFormat="false" ht="15" hidden="false" customHeight="false" outlineLevel="0" collapsed="false">
      <c r="A11" s="12" t="s">
        <v>193</v>
      </c>
      <c r="B11" s="12" t="s">
        <v>65</v>
      </c>
      <c r="C11" s="12" t="s">
        <v>195</v>
      </c>
      <c r="D11" s="12" t="s">
        <v>204</v>
      </c>
      <c r="E11" s="12" t="s">
        <v>210</v>
      </c>
      <c r="F11" s="13" t="str">
        <f aca="false">IF(COUNT(EPA_Tasas_Trim!F11:I11)=4,AVERAGE(EPA_Tasas_Trim!F11:I11),"")</f>
        <v/>
      </c>
      <c r="G11" s="13" t="str">
        <f aca="false">IF(COUNT(EPA_Tasas_Trim!J11:M11)=4,AVERAGE(EPA_Tasas_Trim!J11:M11),"")</f>
        <v/>
      </c>
      <c r="H11" s="13" t="str">
        <f aca="false">IF(COUNT(EPA_Tasas_Trim!N11:Q11)=4,AVERAGE(EPA_Tasas_Trim!N11:Q11),"")</f>
        <v/>
      </c>
      <c r="I11" s="13" t="str">
        <f aca="false">IF(COUNT(EPA_Tasas_Trim!R11:U11)=4,AVERAGE(EPA_Tasas_Trim!R11:U11),"")</f>
        <v/>
      </c>
      <c r="J11" s="13" t="str">
        <f aca="false">IF(COUNT(EPA_Tasas_Trim!V11:Y11)=4,AVERAGE(EPA_Tasas_Trim!V11:Y11),"")</f>
        <v/>
      </c>
      <c r="K11" s="13" t="str">
        <f aca="false">IF(COUNT(EPA_Tasas_Trim!Z11:AC11)=4,AVERAGE(EPA_Tasas_Trim!Z11:AC11),"")</f>
        <v/>
      </c>
      <c r="L11" s="13" t="str">
        <f aca="false">IF(COUNT(EPA_Tasas_Trim!AD11:AG11)=4,AVERAGE(EPA_Tasas_Trim!AD11:AG11),"")</f>
        <v/>
      </c>
      <c r="M11" s="13" t="n">
        <f aca="false">IF(COUNT(EPA_Tasas_Trim!AH11:AK11)=4,AVERAGE(EPA_Tasas_Trim!AH11:AK11),"")</f>
        <v>33.275</v>
      </c>
      <c r="N11" s="13" t="n">
        <f aca="false">IF(COUNT(EPA_Tasas_Trim!AL11:AO11)=4,AVERAGE(EPA_Tasas_Trim!AL11:AO11),"")</f>
        <v>36.8875</v>
      </c>
      <c r="O11" s="13" t="n">
        <f aca="false">IF(COUNT(EPA_Tasas_Trim!AP11:AS11)=4,AVERAGE(EPA_Tasas_Trim!AP11:AS11),"")</f>
        <v>42.34</v>
      </c>
      <c r="P11" s="13" t="n">
        <f aca="false">IF(COUNT(EPA_Tasas_Trim!AT11:AW11)=4,AVERAGE(EPA_Tasas_Trim!AT11:AW11),"")</f>
        <v>48.875</v>
      </c>
      <c r="Q11" s="13" t="n">
        <f aca="false">IF(COUNT(EPA_Tasas_Trim!AX11:BA11)=4,AVERAGE(EPA_Tasas_Trim!AX11:BA11),"")</f>
        <v>51.77</v>
      </c>
      <c r="R11" s="13" t="n">
        <f aca="false">IF(COUNT(EPA_Tasas_Trim!BB11:BE11)=4,AVERAGE(EPA_Tasas_Trim!BB11:BE11),"")</f>
        <v>50.3175</v>
      </c>
      <c r="S11" s="13" t="n">
        <f aca="false">IF(COUNT(EPA_Tasas_Trim!BF11:BI11)=4,AVERAGE(EPA_Tasas_Trim!BF11:BI11),"")</f>
        <v>44.6025</v>
      </c>
      <c r="T11" s="13" t="n">
        <f aca="false">IF(COUNT(EPA_Tasas_Trim!BJ11:BM11)=4,AVERAGE(EPA_Tasas_Trim!BJ11:BM11),"")</f>
        <v>41.4225</v>
      </c>
      <c r="U11" s="13" t="n">
        <f aca="false">IF(COUNT(EPA_Tasas_Trim!BN11:BQ11)=4,AVERAGE(EPA_Tasas_Trim!BN11:BQ11),"")</f>
        <v>35.29</v>
      </c>
      <c r="V11" s="13" t="n">
        <f aca="false">IF(COUNT(EPA_Tasas_Trim!BR11:BU11)=4,AVERAGE(EPA_Tasas_Trim!BR11:BU11),"")</f>
        <v>31.055</v>
      </c>
      <c r="W11" s="13" t="n">
        <f aca="false">IF(COUNT(EPA_Tasas_Trim!BV11:BY11)=4,AVERAGE(EPA_Tasas_Trim!BV11:BY11),"")</f>
        <v>29.805</v>
      </c>
      <c r="X11" s="13" t="n">
        <f aca="false">IF(COUNT(EPA_Tasas_Trim!BZ11:CC11)=4,AVERAGE(EPA_Tasas_Trim!BZ11:CC11),"")</f>
        <v>35.1775</v>
      </c>
      <c r="Y11" s="13" t="n">
        <f aca="false">IF(COUNT(EPA_Tasas_Trim!CD11:CG11)=4,AVERAGE(EPA_Tasas_Trim!CD11:CG11),"")</f>
        <v>31.8325</v>
      </c>
      <c r="Z11" s="13" t="n">
        <f aca="false">IF(COUNT(EPA_Tasas_Trim!CH11:CK11)=4,AVERAGE(EPA_Tasas_Trim!CH11:CK11),"")</f>
        <v>26.3375</v>
      </c>
      <c r="AA11" s="13" t="n">
        <f aca="false">IF(COUNT(EPA_Tasas_Trim!CL11:CO11)=4,AVERAGE(EPA_Tasas_Trim!CL11:CO11),"")</f>
        <v>25.665</v>
      </c>
      <c r="AB11" s="13" t="n">
        <f aca="false">IF(COUNT(EPA_Tasas_Trim!CP11:CS11)=4,AVERAGE(EPA_Tasas_Trim!CP11:CS11),"")</f>
        <v>23.36</v>
      </c>
      <c r="AC11" s="13" t="n">
        <f aca="false">IF(COUNT(EPA_Tasas_Trim!CT11:CW11)=4,AVERAGE(EPA_Tasas_Trim!CT11:CW11),"")</f>
        <v>22.4475</v>
      </c>
    </row>
    <row r="12" customFormat="false" ht="15" hidden="false" customHeight="false" outlineLevel="0" collapsed="false">
      <c r="A12" s="12" t="s">
        <v>211</v>
      </c>
      <c r="B12" s="12" t="s">
        <v>194</v>
      </c>
      <c r="C12" s="12" t="s">
        <v>195</v>
      </c>
      <c r="D12" s="12" t="s">
        <v>196</v>
      </c>
      <c r="E12" s="12" t="s">
        <v>212</v>
      </c>
      <c r="F12" s="13" t="n">
        <f aca="false">IF(COUNT(EPA_Tasas_Trim!F12:I12)=4,AVERAGE(EPA_Tasas_Trim!F12:I12),"")</f>
        <v>54.455</v>
      </c>
      <c r="G12" s="13" t="n">
        <f aca="false">IF(COUNT(EPA_Tasas_Trim!J12:M12)=4,AVERAGE(EPA_Tasas_Trim!J12:M12),"")</f>
        <v>55.075</v>
      </c>
      <c r="H12" s="13" t="n">
        <f aca="false">IF(COUNT(EPA_Tasas_Trim!N12:Q12)=4,AVERAGE(EPA_Tasas_Trim!N12:Q12),"")</f>
        <v>56.775</v>
      </c>
      <c r="I12" s="13" t="n">
        <f aca="false">IF(COUNT(EPA_Tasas_Trim!R12:U12)=4,AVERAGE(EPA_Tasas_Trim!R12:U12),"")</f>
        <v>58.9875</v>
      </c>
      <c r="J12" s="13" t="n">
        <f aca="false">IF(COUNT(EPA_Tasas_Trim!V12:Y12)=4,AVERAGE(EPA_Tasas_Trim!V12:Y12),"")</f>
        <v>60.2275</v>
      </c>
      <c r="K12" s="13" t="n">
        <f aca="false">IF(COUNT(EPA_Tasas_Trim!Z12:AC12)=4,AVERAGE(EPA_Tasas_Trim!Z12:AC12),"")</f>
        <v>60.9</v>
      </c>
      <c r="L12" s="13" t="n">
        <f aca="false">IF(COUNT(EPA_Tasas_Trim!AD12:AG12)=4,AVERAGE(EPA_Tasas_Trim!AD12:AG12),"")</f>
        <v>59.885</v>
      </c>
      <c r="M12" s="13" t="n">
        <f aca="false">IF(COUNT(EPA_Tasas_Trim!AH12:AK12)=4,AVERAGE(EPA_Tasas_Trim!AH12:AK12),"")</f>
        <v>56.6625</v>
      </c>
      <c r="N12" s="13" t="n">
        <f aca="false">IF(COUNT(EPA_Tasas_Trim!AL12:AO12)=4,AVERAGE(EPA_Tasas_Trim!AL12:AO12),"")</f>
        <v>55.61</v>
      </c>
      <c r="O12" s="13" t="n">
        <f aca="false">IF(COUNT(EPA_Tasas_Trim!AP12:AS12)=4,AVERAGE(EPA_Tasas_Trim!AP12:AS12),"")</f>
        <v>54.58</v>
      </c>
      <c r="P12" s="13" t="n">
        <f aca="false">IF(COUNT(EPA_Tasas_Trim!AT12:AW12)=4,AVERAGE(EPA_Tasas_Trim!AT12:AW12),"")</f>
        <v>53.22</v>
      </c>
      <c r="Q12" s="13" t="n">
        <f aca="false">IF(COUNT(EPA_Tasas_Trim!AX12:BA12)=4,AVERAGE(EPA_Tasas_Trim!AX12:BA12),"")</f>
        <v>51.72</v>
      </c>
      <c r="R12" s="13" t="n">
        <f aca="false">IF(COUNT(EPA_Tasas_Trim!BB12:BE12)=4,AVERAGE(EPA_Tasas_Trim!BB12:BE12),"")</f>
        <v>51.8925</v>
      </c>
      <c r="S12" s="13" t="n">
        <f aca="false">IF(COUNT(EPA_Tasas_Trim!BF12:BI12)=4,AVERAGE(EPA_Tasas_Trim!BF12:BI12),"")</f>
        <v>53.5575</v>
      </c>
      <c r="T12" s="13" t="n">
        <f aca="false">IF(COUNT(EPA_Tasas_Trim!BJ12:BM12)=4,AVERAGE(EPA_Tasas_Trim!BJ12:BM12),"")</f>
        <v>53.645</v>
      </c>
      <c r="U12" s="13" t="n">
        <f aca="false">IF(COUNT(EPA_Tasas_Trim!BN12:BQ12)=4,AVERAGE(EPA_Tasas_Trim!BN12:BQ12),"")</f>
        <v>54.4825</v>
      </c>
      <c r="V12" s="13" t="n">
        <f aca="false">IF(COUNT(EPA_Tasas_Trim!BR12:BU12)=4,AVERAGE(EPA_Tasas_Trim!BR12:BU12),"")</f>
        <v>55.2075</v>
      </c>
      <c r="W12" s="13" t="n">
        <f aca="false">IF(COUNT(EPA_Tasas_Trim!BV12:BY12)=4,AVERAGE(EPA_Tasas_Trim!BV12:BY12),"")</f>
        <v>56.1575</v>
      </c>
      <c r="X12" s="13" t="n">
        <f aca="false">IF(COUNT(EPA_Tasas_Trim!BZ12:CC12)=4,AVERAGE(EPA_Tasas_Trim!BZ12:CC12),"")</f>
        <v>54.3725</v>
      </c>
      <c r="Y12" s="13" t="n">
        <f aca="false">IF(COUNT(EPA_Tasas_Trim!CD12:CG12)=4,AVERAGE(EPA_Tasas_Trim!CD12:CG12),"")</f>
        <v>55.925</v>
      </c>
      <c r="Z12" s="13" t="n">
        <f aca="false">IF(COUNT(EPA_Tasas_Trim!CH12:CK12)=4,AVERAGE(EPA_Tasas_Trim!CH12:CK12),"")</f>
        <v>56.2</v>
      </c>
      <c r="AA12" s="13" t="n">
        <f aca="false">IF(COUNT(EPA_Tasas_Trim!CL12:CO12)=4,AVERAGE(EPA_Tasas_Trim!CL12:CO12),"")</f>
        <v>56.9525</v>
      </c>
      <c r="AB12" s="13" t="n">
        <f aca="false">IF(COUNT(EPA_Tasas_Trim!CP12:CS12)=4,AVERAGE(EPA_Tasas_Trim!CP12:CS12),"")</f>
        <v>57.48</v>
      </c>
      <c r="AC12" s="13" t="n">
        <f aca="false">IF(COUNT(EPA_Tasas_Trim!CT12:CW12)=4,AVERAGE(EPA_Tasas_Trim!CT12:CW12),"")</f>
        <v>58.23</v>
      </c>
    </row>
    <row r="13" customFormat="false" ht="15" hidden="false" customHeight="false" outlineLevel="0" collapsed="false">
      <c r="A13" s="12" t="s">
        <v>211</v>
      </c>
      <c r="B13" s="12" t="s">
        <v>194</v>
      </c>
      <c r="C13" s="12" t="s">
        <v>195</v>
      </c>
      <c r="D13" s="12" t="s">
        <v>198</v>
      </c>
      <c r="E13" s="12" t="s">
        <v>213</v>
      </c>
      <c r="F13" s="13" t="n">
        <f aca="false">IF(COUNT(EPA_Tasas_Trim!F13:I13)=4,AVERAGE(EPA_Tasas_Trim!F13:I13),"")</f>
        <v>37.9075</v>
      </c>
      <c r="G13" s="13" t="n">
        <f aca="false">IF(COUNT(EPA_Tasas_Trim!J13:M13)=4,AVERAGE(EPA_Tasas_Trim!J13:M13),"")</f>
        <v>37.6625</v>
      </c>
      <c r="H13" s="13" t="n">
        <f aca="false">IF(COUNT(EPA_Tasas_Trim!N13:Q13)=4,AVERAGE(EPA_Tasas_Trim!N13:Q13),"")</f>
        <v>38.2</v>
      </c>
      <c r="I13" s="13" t="n">
        <f aca="false">IF(COUNT(EPA_Tasas_Trim!R13:U13)=4,AVERAGE(EPA_Tasas_Trim!R13:U13),"")</f>
        <v>44.0375</v>
      </c>
      <c r="J13" s="13" t="n">
        <f aca="false">IF(COUNT(EPA_Tasas_Trim!V13:Y13)=4,AVERAGE(EPA_Tasas_Trim!V13:Y13),"")</f>
        <v>46.3125</v>
      </c>
      <c r="K13" s="13" t="n">
        <f aca="false">IF(COUNT(EPA_Tasas_Trim!Z13:AC13)=4,AVERAGE(EPA_Tasas_Trim!Z13:AC13),"")</f>
        <v>45.2325</v>
      </c>
      <c r="L13" s="13" t="n">
        <f aca="false">IF(COUNT(EPA_Tasas_Trim!AD13:AG13)=4,AVERAGE(EPA_Tasas_Trim!AD13:AG13),"")</f>
        <v>42.0425</v>
      </c>
      <c r="M13" s="13" t="n">
        <f aca="false">IF(COUNT(EPA_Tasas_Trim!AH13:AK13)=4,AVERAGE(EPA_Tasas_Trim!AH13:AK13),"")</f>
        <v>32.755</v>
      </c>
      <c r="N13" s="13" t="n">
        <f aca="false">IF(COUNT(EPA_Tasas_Trim!AL13:AO13)=4,AVERAGE(EPA_Tasas_Trim!AL13:AO13),"")</f>
        <v>29.9</v>
      </c>
      <c r="O13" s="13" t="n">
        <f aca="false">IF(COUNT(EPA_Tasas_Trim!AP13:AS13)=4,AVERAGE(EPA_Tasas_Trim!AP13:AS13),"")</f>
        <v>26.005</v>
      </c>
      <c r="P13" s="13" t="n">
        <f aca="false">IF(COUNT(EPA_Tasas_Trim!AT13:AW13)=4,AVERAGE(EPA_Tasas_Trim!AT13:AW13),"")</f>
        <v>21.7</v>
      </c>
      <c r="Q13" s="13" t="n">
        <f aca="false">IF(COUNT(EPA_Tasas_Trim!AX13:BA13)=4,AVERAGE(EPA_Tasas_Trim!AX13:BA13),"")</f>
        <v>21.19</v>
      </c>
      <c r="R13" s="13" t="n">
        <f aca="false">IF(COUNT(EPA_Tasas_Trim!BB13:BE13)=4,AVERAGE(EPA_Tasas_Trim!BB13:BE13),"")</f>
        <v>20.525</v>
      </c>
      <c r="S13" s="13" t="n">
        <f aca="false">IF(COUNT(EPA_Tasas_Trim!BF13:BI13)=4,AVERAGE(EPA_Tasas_Trim!BF13:BI13),"")</f>
        <v>22.9575</v>
      </c>
      <c r="T13" s="13" t="n">
        <f aca="false">IF(COUNT(EPA_Tasas_Trim!BJ13:BM13)=4,AVERAGE(EPA_Tasas_Trim!BJ13:BM13),"")</f>
        <v>22.0925</v>
      </c>
      <c r="U13" s="13" t="n">
        <f aca="false">IF(COUNT(EPA_Tasas_Trim!BN13:BQ13)=4,AVERAGE(EPA_Tasas_Trim!BN13:BQ13),"")</f>
        <v>23.5125</v>
      </c>
      <c r="V13" s="13" t="n">
        <f aca="false">IF(COUNT(EPA_Tasas_Trim!BR13:BU13)=4,AVERAGE(EPA_Tasas_Trim!BR13:BU13),"")</f>
        <v>26.95</v>
      </c>
      <c r="W13" s="13" t="n">
        <f aca="false">IF(COUNT(EPA_Tasas_Trim!BV13:BY13)=4,AVERAGE(EPA_Tasas_Trim!BV13:BY13),"")</f>
        <v>24.925</v>
      </c>
      <c r="X13" s="13" t="n">
        <f aca="false">IF(COUNT(EPA_Tasas_Trim!BZ13:CC13)=4,AVERAGE(EPA_Tasas_Trim!BZ13:CC13),"")</f>
        <v>22.1125</v>
      </c>
      <c r="Y13" s="13" t="n">
        <f aca="false">IF(COUNT(EPA_Tasas_Trim!CD13:CG13)=4,AVERAGE(EPA_Tasas_Trim!CD13:CG13),"")</f>
        <v>26.5075</v>
      </c>
      <c r="Z13" s="13" t="n">
        <f aca="false">IF(COUNT(EPA_Tasas_Trim!CH13:CK13)=4,AVERAGE(EPA_Tasas_Trim!CH13:CK13),"")</f>
        <v>27.4525</v>
      </c>
      <c r="AA13" s="13" t="n">
        <f aca="false">IF(COUNT(EPA_Tasas_Trim!CL13:CO13)=4,AVERAGE(EPA_Tasas_Trim!CL13:CO13),"")</f>
        <v>26.7725</v>
      </c>
      <c r="AB13" s="13" t="n">
        <f aca="false">IF(COUNT(EPA_Tasas_Trim!CP13:CS13)=4,AVERAGE(EPA_Tasas_Trim!CP13:CS13),"")</f>
        <v>29.725</v>
      </c>
      <c r="AC13" s="13" t="n">
        <f aca="false">IF(COUNT(EPA_Tasas_Trim!CT13:CW13)=4,AVERAGE(EPA_Tasas_Trim!CT13:CW13),"")</f>
        <v>30.2875</v>
      </c>
    </row>
    <row r="14" customFormat="false" ht="15" hidden="false" customHeight="false" outlineLevel="0" collapsed="false">
      <c r="A14" s="12" t="s">
        <v>211</v>
      </c>
      <c r="B14" s="12" t="s">
        <v>194</v>
      </c>
      <c r="C14" s="12" t="s">
        <v>195</v>
      </c>
      <c r="D14" s="12" t="s">
        <v>200</v>
      </c>
      <c r="E14" s="12" t="s">
        <v>214</v>
      </c>
      <c r="F14" s="13" t="n">
        <f aca="false">IF(COUNT(EPA_Tasas_Trim!F14:I14)=4,AVERAGE(EPA_Tasas_Trim!F14:I14),"")</f>
        <v>57.3375</v>
      </c>
      <c r="G14" s="13" t="n">
        <f aca="false">IF(COUNT(EPA_Tasas_Trim!J14:M14)=4,AVERAGE(EPA_Tasas_Trim!J14:M14),"")</f>
        <v>57.9675</v>
      </c>
      <c r="H14" s="13" t="n">
        <f aca="false">IF(COUNT(EPA_Tasas_Trim!N14:Q14)=4,AVERAGE(EPA_Tasas_Trim!N14:Q14),"")</f>
        <v>59.695</v>
      </c>
      <c r="I14" s="13" t="n">
        <f aca="false">IF(COUNT(EPA_Tasas_Trim!R14:U14)=4,AVERAGE(EPA_Tasas_Trim!R14:U14),"")</f>
        <v>61.235</v>
      </c>
      <c r="J14" s="13" t="n">
        <f aca="false">IF(COUNT(EPA_Tasas_Trim!V14:Y14)=4,AVERAGE(EPA_Tasas_Trim!V14:Y14),"")</f>
        <v>62.2275</v>
      </c>
      <c r="K14" s="13" t="n">
        <f aca="false">IF(COUNT(EPA_Tasas_Trim!Z14:AC14)=4,AVERAGE(EPA_Tasas_Trim!Z14:AC14),"")</f>
        <v>63.0925</v>
      </c>
      <c r="L14" s="13" t="n">
        <f aca="false">IF(COUNT(EPA_Tasas_Trim!AD14:AG14)=4,AVERAGE(EPA_Tasas_Trim!AD14:AG14),"")</f>
        <v>62.3075</v>
      </c>
      <c r="M14" s="13" t="n">
        <f aca="false">IF(COUNT(EPA_Tasas_Trim!AH14:AK14)=4,AVERAGE(EPA_Tasas_Trim!AH14:AK14),"")</f>
        <v>59.7775</v>
      </c>
      <c r="N14" s="13" t="n">
        <f aca="false">IF(COUNT(EPA_Tasas_Trim!AL14:AO14)=4,AVERAGE(EPA_Tasas_Trim!AL14:AO14),"")</f>
        <v>58.82</v>
      </c>
      <c r="O14" s="13" t="n">
        <f aca="false">IF(COUNT(EPA_Tasas_Trim!AP14:AS14)=4,AVERAGE(EPA_Tasas_Trim!AP14:AS14),"")</f>
        <v>58.0275</v>
      </c>
      <c r="P14" s="13" t="n">
        <f aca="false">IF(COUNT(EPA_Tasas_Trim!AT14:AW14)=4,AVERAGE(EPA_Tasas_Trim!AT14:AW14),"")</f>
        <v>56.9225</v>
      </c>
      <c r="Q14" s="13" t="n">
        <f aca="false">IF(COUNT(EPA_Tasas_Trim!AX14:BA14)=4,AVERAGE(EPA_Tasas_Trim!AX14:BA14),"")</f>
        <v>55.2325</v>
      </c>
      <c r="R14" s="13" t="n">
        <f aca="false">IF(COUNT(EPA_Tasas_Trim!BB14:BE14)=4,AVERAGE(EPA_Tasas_Trim!BB14:BE14),"")</f>
        <v>55.455</v>
      </c>
      <c r="S14" s="13" t="n">
        <f aca="false">IF(COUNT(EPA_Tasas_Trim!BF14:BI14)=4,AVERAGE(EPA_Tasas_Trim!BF14:BI14),"")</f>
        <v>57.0275</v>
      </c>
      <c r="T14" s="13" t="n">
        <f aca="false">IF(COUNT(EPA_Tasas_Trim!BJ14:BM14)=4,AVERAGE(EPA_Tasas_Trim!BJ14:BM14),"")</f>
        <v>57.24</v>
      </c>
      <c r="U14" s="13" t="n">
        <f aca="false">IF(COUNT(EPA_Tasas_Trim!BN14:BQ14)=4,AVERAGE(EPA_Tasas_Trim!BN14:BQ14),"")</f>
        <v>58.0475</v>
      </c>
      <c r="V14" s="13" t="n">
        <f aca="false">IF(COUNT(EPA_Tasas_Trim!BR14:BU14)=4,AVERAGE(EPA_Tasas_Trim!BR14:BU14),"")</f>
        <v>58.535</v>
      </c>
      <c r="W14" s="13" t="n">
        <f aca="false">IF(COUNT(EPA_Tasas_Trim!BV14:BY14)=4,AVERAGE(EPA_Tasas_Trim!BV14:BY14),"")</f>
        <v>59.925</v>
      </c>
      <c r="X14" s="13" t="n">
        <f aca="false">IF(COUNT(EPA_Tasas_Trim!BZ14:CC14)=4,AVERAGE(EPA_Tasas_Trim!BZ14:CC14),"")</f>
        <v>58.3675</v>
      </c>
      <c r="Y14" s="13" t="n">
        <f aca="false">IF(COUNT(EPA_Tasas_Trim!CD14:CG14)=4,AVERAGE(EPA_Tasas_Trim!CD14:CG14),"")</f>
        <v>59.53</v>
      </c>
      <c r="Z14" s="13" t="n">
        <f aca="false">IF(COUNT(EPA_Tasas_Trim!CH14:CK14)=4,AVERAGE(EPA_Tasas_Trim!CH14:CK14),"")</f>
        <v>59.8475</v>
      </c>
      <c r="AA14" s="13" t="n">
        <f aca="false">IF(COUNT(EPA_Tasas_Trim!CL14:CO14)=4,AVERAGE(EPA_Tasas_Trim!CL14:CO14),"")</f>
        <v>60.8325</v>
      </c>
      <c r="AB14" s="13" t="n">
        <f aca="false">IF(COUNT(EPA_Tasas_Trim!CP14:CS14)=4,AVERAGE(EPA_Tasas_Trim!CP14:CS14),"")</f>
        <v>61.195</v>
      </c>
      <c r="AC14" s="13" t="n">
        <f aca="false">IF(COUNT(EPA_Tasas_Trim!CT14:CW14)=4,AVERAGE(EPA_Tasas_Trim!CT14:CW14),"")</f>
        <v>62.015</v>
      </c>
    </row>
    <row r="15" customFormat="false" ht="15" hidden="false" customHeight="false" outlineLevel="0" collapsed="false">
      <c r="A15" s="12" t="s">
        <v>211</v>
      </c>
      <c r="B15" s="12" t="s">
        <v>194</v>
      </c>
      <c r="C15" s="12" t="s">
        <v>195</v>
      </c>
      <c r="D15" s="12" t="s">
        <v>202</v>
      </c>
      <c r="E15" s="12" t="s">
        <v>215</v>
      </c>
      <c r="F15" s="13" t="n">
        <f aca="false">IF(COUNT(EPA_Tasas_Trim!F15:I15)=4,AVERAGE(EPA_Tasas_Trim!F15:I15),"")</f>
        <v>16.36</v>
      </c>
      <c r="G15" s="13" t="n">
        <f aca="false">IF(COUNT(EPA_Tasas_Trim!J15:M15)=4,AVERAGE(EPA_Tasas_Trim!J15:M15),"")</f>
        <v>12.705</v>
      </c>
      <c r="H15" s="13" t="n">
        <f aca="false">IF(COUNT(EPA_Tasas_Trim!N15:Q15)=4,AVERAGE(EPA_Tasas_Trim!N15:Q15),"")</f>
        <v>14.05</v>
      </c>
      <c r="I15" s="13" t="n">
        <f aca="false">IF(COUNT(EPA_Tasas_Trim!R15:U15)=4,AVERAGE(EPA_Tasas_Trim!R15:U15),"")</f>
        <v>21.9375</v>
      </c>
      <c r="J15" s="13" t="n">
        <f aca="false">IF(COUNT(EPA_Tasas_Trim!V15:Y15)=4,AVERAGE(EPA_Tasas_Trim!V15:Y15),"")</f>
        <v>21.2475</v>
      </c>
      <c r="K15" s="13" t="n">
        <f aca="false">IF(COUNT(EPA_Tasas_Trim!Z15:AC15)=4,AVERAGE(EPA_Tasas_Trim!Z15:AC15),"")</f>
        <v>20.6525</v>
      </c>
      <c r="L15" s="13" t="n">
        <f aca="false">IF(COUNT(EPA_Tasas_Trim!AD15:AG15)=4,AVERAGE(EPA_Tasas_Trim!AD15:AG15),"")</f>
        <v>18.5575</v>
      </c>
      <c r="M15" s="13" t="n">
        <f aca="false">IF(COUNT(EPA_Tasas_Trim!AH15:AK15)=4,AVERAGE(EPA_Tasas_Trim!AH15:AK15),"")</f>
        <v>11.0725</v>
      </c>
      <c r="N15" s="13" t="n">
        <f aca="false">IF(COUNT(EPA_Tasas_Trim!AL15:AO15)=4,AVERAGE(EPA_Tasas_Trim!AL15:AO15),"")</f>
        <v>8.0625</v>
      </c>
      <c r="O15" s="13" t="n">
        <f aca="false">IF(COUNT(EPA_Tasas_Trim!AP15:AS15)=4,AVERAGE(EPA_Tasas_Trim!AP15:AS15),"")</f>
        <v>6.6375</v>
      </c>
      <c r="P15" s="13" t="n">
        <f aca="false">IF(COUNT(EPA_Tasas_Trim!AT15:AW15)=4,AVERAGE(EPA_Tasas_Trim!AT15:AW15),"")</f>
        <v>3.4775</v>
      </c>
      <c r="Q15" s="13" t="n">
        <f aca="false">IF(COUNT(EPA_Tasas_Trim!AX15:BA15)=4,AVERAGE(EPA_Tasas_Trim!AX15:BA15),"")</f>
        <v>3.75</v>
      </c>
      <c r="R15" s="13" t="n">
        <f aca="false">IF(COUNT(EPA_Tasas_Trim!BB15:BE15)=4,AVERAGE(EPA_Tasas_Trim!BB15:BE15),"")</f>
        <v>4.505</v>
      </c>
      <c r="S15" s="13" t="n">
        <f aca="false">IF(COUNT(EPA_Tasas_Trim!BF15:BI15)=4,AVERAGE(EPA_Tasas_Trim!BF15:BI15),"")</f>
        <v>4.3225</v>
      </c>
      <c r="T15" s="13" t="n">
        <f aca="false">IF(COUNT(EPA_Tasas_Trim!BJ15:BM15)=4,AVERAGE(EPA_Tasas_Trim!BJ15:BM15),"")</f>
        <v>5.3175</v>
      </c>
      <c r="U15" s="13" t="n">
        <f aca="false">IF(COUNT(EPA_Tasas_Trim!BN15:BQ15)=4,AVERAGE(EPA_Tasas_Trim!BN15:BQ15),"")</f>
        <v>4.435</v>
      </c>
      <c r="V15" s="13" t="n">
        <f aca="false">IF(COUNT(EPA_Tasas_Trim!BR15:BU15)=4,AVERAGE(EPA_Tasas_Trim!BR15:BU15),"")</f>
        <v>5.63</v>
      </c>
      <c r="W15" s="13" t="n">
        <f aca="false">IF(COUNT(EPA_Tasas_Trim!BV15:BY15)=4,AVERAGE(EPA_Tasas_Trim!BV15:BY15),"")</f>
        <v>6.5075</v>
      </c>
      <c r="X15" s="13" t="n">
        <f aca="false">IF(COUNT(EPA_Tasas_Trim!BZ15:CC15)=4,AVERAGE(EPA_Tasas_Trim!BZ15:CC15),"")</f>
        <v>5.535</v>
      </c>
      <c r="Y15" s="13" t="n">
        <f aca="false">IF(COUNT(EPA_Tasas_Trim!CD15:CG15)=4,AVERAGE(EPA_Tasas_Trim!CD15:CG15),"")</f>
        <v>6.5725</v>
      </c>
      <c r="Z15" s="13" t="n">
        <f aca="false">IF(COUNT(EPA_Tasas_Trim!CH15:CK15)=4,AVERAGE(EPA_Tasas_Trim!CH15:CK15),"")</f>
        <v>6.7625</v>
      </c>
      <c r="AA15" s="13" t="n">
        <f aca="false">IF(COUNT(EPA_Tasas_Trim!CL15:CO15)=4,AVERAGE(EPA_Tasas_Trim!CL15:CO15),"")</f>
        <v>6.26</v>
      </c>
      <c r="AB15" s="13" t="n">
        <f aca="false">IF(COUNT(EPA_Tasas_Trim!CP15:CS15)=4,AVERAGE(EPA_Tasas_Trim!CP15:CS15),"")</f>
        <v>7.6725</v>
      </c>
      <c r="AC15" s="13" t="n">
        <f aca="false">IF(COUNT(EPA_Tasas_Trim!CT15:CW15)=4,AVERAGE(EPA_Tasas_Trim!CT15:CW15),"")</f>
        <v>7.9925</v>
      </c>
    </row>
    <row r="16" customFormat="false" ht="15" hidden="false" customHeight="false" outlineLevel="0" collapsed="false">
      <c r="A16" s="12" t="s">
        <v>211</v>
      </c>
      <c r="B16" s="12" t="s">
        <v>194</v>
      </c>
      <c r="C16" s="12" t="s">
        <v>195</v>
      </c>
      <c r="D16" s="12" t="s">
        <v>204</v>
      </c>
      <c r="E16" s="12" t="s">
        <v>216</v>
      </c>
      <c r="F16" s="13" t="str">
        <f aca="false">IF(COUNT(EPA_Tasas_Trim!F16:I16)=4,AVERAGE(EPA_Tasas_Trim!F16:I16),"")</f>
        <v/>
      </c>
      <c r="G16" s="13" t="str">
        <f aca="false">IF(COUNT(EPA_Tasas_Trim!J16:M16)=4,AVERAGE(EPA_Tasas_Trim!J16:M16),"")</f>
        <v/>
      </c>
      <c r="H16" s="13" t="str">
        <f aca="false">IF(COUNT(EPA_Tasas_Trim!N16:Q16)=4,AVERAGE(EPA_Tasas_Trim!N16:Q16),"")</f>
        <v/>
      </c>
      <c r="I16" s="13" t="str">
        <f aca="false">IF(COUNT(EPA_Tasas_Trim!R16:U16)=4,AVERAGE(EPA_Tasas_Trim!R16:U16),"")</f>
        <v/>
      </c>
      <c r="J16" s="13" t="str">
        <f aca="false">IF(COUNT(EPA_Tasas_Trim!V16:Y16)=4,AVERAGE(EPA_Tasas_Trim!V16:Y16),"")</f>
        <v/>
      </c>
      <c r="K16" s="13" t="str">
        <f aca="false">IF(COUNT(EPA_Tasas_Trim!Z16:AC16)=4,AVERAGE(EPA_Tasas_Trim!Z16:AC16),"")</f>
        <v/>
      </c>
      <c r="L16" s="13" t="str">
        <f aca="false">IF(COUNT(EPA_Tasas_Trim!AD16:AG16)=4,AVERAGE(EPA_Tasas_Trim!AD16:AG16),"")</f>
        <v/>
      </c>
      <c r="M16" s="13" t="n">
        <f aca="false">IF(COUNT(EPA_Tasas_Trim!AH16:AK16)=4,AVERAGE(EPA_Tasas_Trim!AH16:AK16),"")</f>
        <v>46.8225</v>
      </c>
      <c r="N16" s="13" t="n">
        <f aca="false">IF(COUNT(EPA_Tasas_Trim!AL16:AO16)=4,AVERAGE(EPA_Tasas_Trim!AL16:AO16),"")</f>
        <v>44.59</v>
      </c>
      <c r="O16" s="13" t="n">
        <f aca="false">IF(COUNT(EPA_Tasas_Trim!AP16:AS16)=4,AVERAGE(EPA_Tasas_Trim!AP16:AS16),"")</f>
        <v>39.375</v>
      </c>
      <c r="P16" s="13" t="n">
        <f aca="false">IF(COUNT(EPA_Tasas_Trim!AT16:AW16)=4,AVERAGE(EPA_Tasas_Trim!AT16:AW16),"")</f>
        <v>34.475</v>
      </c>
      <c r="Q16" s="13" t="n">
        <f aca="false">IF(COUNT(EPA_Tasas_Trim!AX16:BA16)=4,AVERAGE(EPA_Tasas_Trim!AX16:BA16),"")</f>
        <v>33.68</v>
      </c>
      <c r="R16" s="13" t="n">
        <f aca="false">IF(COUNT(EPA_Tasas_Trim!BB16:BE16)=4,AVERAGE(EPA_Tasas_Trim!BB16:BE16),"")</f>
        <v>32.26</v>
      </c>
      <c r="S16" s="13" t="n">
        <f aca="false">IF(COUNT(EPA_Tasas_Trim!BF16:BI16)=4,AVERAGE(EPA_Tasas_Trim!BF16:BI16),"")</f>
        <v>36.93</v>
      </c>
      <c r="T16" s="13" t="n">
        <f aca="false">IF(COUNT(EPA_Tasas_Trim!BJ16:BM16)=4,AVERAGE(EPA_Tasas_Trim!BJ16:BM16),"")</f>
        <v>35.045</v>
      </c>
      <c r="U16" s="13" t="n">
        <f aca="false">IF(COUNT(EPA_Tasas_Trim!BN16:BQ16)=4,AVERAGE(EPA_Tasas_Trim!BN16:BQ16),"")</f>
        <v>38.6</v>
      </c>
      <c r="V16" s="13" t="n">
        <f aca="false">IF(COUNT(EPA_Tasas_Trim!BR16:BU16)=4,AVERAGE(EPA_Tasas_Trim!BR16:BU16),"")</f>
        <v>44.0175</v>
      </c>
      <c r="W16" s="13" t="n">
        <f aca="false">IF(COUNT(EPA_Tasas_Trim!BV16:BY16)=4,AVERAGE(EPA_Tasas_Trim!BV16:BY16),"")</f>
        <v>39.8075</v>
      </c>
      <c r="X16" s="13" t="n">
        <f aca="false">IF(COUNT(EPA_Tasas_Trim!BZ16:CC16)=4,AVERAGE(EPA_Tasas_Trim!BZ16:CC16),"")</f>
        <v>35.475</v>
      </c>
      <c r="Y16" s="13" t="n">
        <f aca="false">IF(COUNT(EPA_Tasas_Trim!CD16:CG16)=4,AVERAGE(EPA_Tasas_Trim!CD16:CG16),"")</f>
        <v>42.225</v>
      </c>
      <c r="Z16" s="13" t="n">
        <f aca="false">IF(COUNT(EPA_Tasas_Trim!CH16:CK16)=4,AVERAGE(EPA_Tasas_Trim!CH16:CK16),"")</f>
        <v>43.815</v>
      </c>
      <c r="AA16" s="13" t="n">
        <f aca="false">IF(COUNT(EPA_Tasas_Trim!CL16:CO16)=4,AVERAGE(EPA_Tasas_Trim!CL16:CO16),"")</f>
        <v>42.06</v>
      </c>
      <c r="AB16" s="13" t="n">
        <f aca="false">IF(COUNT(EPA_Tasas_Trim!CP16:CS16)=4,AVERAGE(EPA_Tasas_Trim!CP16:CS16),"")</f>
        <v>46.5425</v>
      </c>
      <c r="AC16" s="13" t="n">
        <f aca="false">IF(COUNT(EPA_Tasas_Trim!CT16:CW16)=4,AVERAGE(EPA_Tasas_Trim!CT16:CW16),"")</f>
        <v>47.135</v>
      </c>
    </row>
    <row r="17" customFormat="false" ht="15" hidden="false" customHeight="false" outlineLevel="0" collapsed="false">
      <c r="A17" s="12" t="s">
        <v>211</v>
      </c>
      <c r="B17" s="12" t="s">
        <v>65</v>
      </c>
      <c r="C17" s="12" t="s">
        <v>195</v>
      </c>
      <c r="D17" s="12" t="s">
        <v>196</v>
      </c>
      <c r="E17" s="12" t="s">
        <v>217</v>
      </c>
      <c r="F17" s="13" t="n">
        <f aca="false">IF(COUNT(EPA_Tasas_Trim!F17:I17)=4,AVERAGE(EPA_Tasas_Trim!F17:I17),"")</f>
        <v>48.35</v>
      </c>
      <c r="G17" s="13" t="n">
        <f aca="false">IF(COUNT(EPA_Tasas_Trim!J17:M17)=4,AVERAGE(EPA_Tasas_Trim!J17:M17),"")</f>
        <v>49.42</v>
      </c>
      <c r="H17" s="13" t="n">
        <f aca="false">IF(COUNT(EPA_Tasas_Trim!N17:Q17)=4,AVERAGE(EPA_Tasas_Trim!N17:Q17),"")</f>
        <v>50.4925</v>
      </c>
      <c r="I17" s="13" t="n">
        <f aca="false">IF(COUNT(EPA_Tasas_Trim!R17:U17)=4,AVERAGE(EPA_Tasas_Trim!R17:U17),"")</f>
        <v>52.505</v>
      </c>
      <c r="J17" s="13" t="n">
        <f aca="false">IF(COUNT(EPA_Tasas_Trim!V17:Y17)=4,AVERAGE(EPA_Tasas_Trim!V17:Y17),"")</f>
        <v>53.6775</v>
      </c>
      <c r="K17" s="13" t="n">
        <f aca="false">IF(COUNT(EPA_Tasas_Trim!Z17:AC17)=4,AVERAGE(EPA_Tasas_Trim!Z17:AC17),"")</f>
        <v>54.395</v>
      </c>
      <c r="L17" s="13" t="n">
        <f aca="false">IF(COUNT(EPA_Tasas_Trim!AD17:AG17)=4,AVERAGE(EPA_Tasas_Trim!AD17:AG17),"")</f>
        <v>53.3225</v>
      </c>
      <c r="M17" s="13" t="n">
        <f aca="false">IF(COUNT(EPA_Tasas_Trim!AH17:AK17)=4,AVERAGE(EPA_Tasas_Trim!AH17:AK17),"")</f>
        <v>49.435</v>
      </c>
      <c r="N17" s="13" t="n">
        <f aca="false">IF(COUNT(EPA_Tasas_Trim!AL17:AO17)=4,AVERAGE(EPA_Tasas_Trim!AL17:AO17),"")</f>
        <v>48.31</v>
      </c>
      <c r="O17" s="13" t="n">
        <f aca="false">IF(COUNT(EPA_Tasas_Trim!AP17:AS17)=4,AVERAGE(EPA_Tasas_Trim!AP17:AS17),"")</f>
        <v>47.4275</v>
      </c>
      <c r="P17" s="13" t="n">
        <f aca="false">IF(COUNT(EPA_Tasas_Trim!AT17:AW17)=4,AVERAGE(EPA_Tasas_Trim!AT17:AW17),"")</f>
        <v>45.4275</v>
      </c>
      <c r="Q17" s="13" t="n">
        <f aca="false">IF(COUNT(EPA_Tasas_Trim!AX17:BA17)=4,AVERAGE(EPA_Tasas_Trim!AX17:BA17),"")</f>
        <v>44.3575</v>
      </c>
      <c r="R17" s="13" t="n">
        <f aca="false">IF(COUNT(EPA_Tasas_Trim!BB17:BE17)=4,AVERAGE(EPA_Tasas_Trim!BB17:BE17),"")</f>
        <v>45.035</v>
      </c>
      <c r="S17" s="13" t="n">
        <f aca="false">IF(COUNT(EPA_Tasas_Trim!BF17:BI17)=4,AVERAGE(EPA_Tasas_Trim!BF17:BI17),"")</f>
        <v>46.41</v>
      </c>
      <c r="T17" s="13" t="n">
        <f aca="false">IF(COUNT(EPA_Tasas_Trim!BJ17:BM17)=4,AVERAGE(EPA_Tasas_Trim!BJ17:BM17),"")</f>
        <v>47.6025</v>
      </c>
      <c r="U17" s="13" t="n">
        <f aca="false">IF(COUNT(EPA_Tasas_Trim!BN17:BQ17)=4,AVERAGE(EPA_Tasas_Trim!BN17:BQ17),"")</f>
        <v>48.7</v>
      </c>
      <c r="V17" s="13" t="n">
        <f aca="false">IF(COUNT(EPA_Tasas_Trim!BR17:BU17)=4,AVERAGE(EPA_Tasas_Trim!BR17:BU17),"")</f>
        <v>49.7</v>
      </c>
      <c r="W17" s="13" t="n">
        <f aca="false">IF(COUNT(EPA_Tasas_Trim!BV17:BY17)=4,AVERAGE(EPA_Tasas_Trim!BV17:BY17),"")</f>
        <v>50.3675</v>
      </c>
      <c r="X17" s="13" t="n">
        <f aca="false">IF(COUNT(EPA_Tasas_Trim!BZ17:CC17)=4,AVERAGE(EPA_Tasas_Trim!BZ17:CC17),"")</f>
        <v>48.5175</v>
      </c>
      <c r="Y17" s="13" t="n">
        <f aca="false">IF(COUNT(EPA_Tasas_Trim!CD17:CG17)=4,AVERAGE(EPA_Tasas_Trim!CD17:CG17),"")</f>
        <v>49.675</v>
      </c>
      <c r="Z17" s="13" t="n">
        <f aca="false">IF(COUNT(EPA_Tasas_Trim!CH17:CK17)=4,AVERAGE(EPA_Tasas_Trim!CH17:CK17),"")</f>
        <v>50.9</v>
      </c>
      <c r="AA17" s="13" t="n">
        <f aca="false">IF(COUNT(EPA_Tasas_Trim!CL17:CO17)=4,AVERAGE(EPA_Tasas_Trim!CL17:CO17),"")</f>
        <v>51.685</v>
      </c>
      <c r="AB17" s="13" t="n">
        <f aca="false">IF(COUNT(EPA_Tasas_Trim!CP17:CS17)=4,AVERAGE(EPA_Tasas_Trim!CP17:CS17),"")</f>
        <v>52.095</v>
      </c>
      <c r="AC17" s="13" t="n">
        <f aca="false">IF(COUNT(EPA_Tasas_Trim!CT17:CW17)=4,AVERAGE(EPA_Tasas_Trim!CT17:CW17),"")</f>
        <v>52.7675</v>
      </c>
    </row>
    <row r="18" customFormat="false" ht="15" hidden="false" customHeight="false" outlineLevel="0" collapsed="false">
      <c r="A18" s="12" t="s">
        <v>211</v>
      </c>
      <c r="B18" s="12" t="s">
        <v>65</v>
      </c>
      <c r="C18" s="12" t="s">
        <v>195</v>
      </c>
      <c r="D18" s="12" t="s">
        <v>198</v>
      </c>
      <c r="E18" s="12" t="s">
        <v>218</v>
      </c>
      <c r="F18" s="13" t="n">
        <f aca="false">IF(COUNT(EPA_Tasas_Trim!F18:I18)=4,AVERAGE(EPA_Tasas_Trim!F18:I18),"")</f>
        <v>37.395</v>
      </c>
      <c r="G18" s="13" t="n">
        <f aca="false">IF(COUNT(EPA_Tasas_Trim!J18:M18)=4,AVERAGE(EPA_Tasas_Trim!J18:M18),"")</f>
        <v>37.775</v>
      </c>
      <c r="H18" s="13" t="n">
        <f aca="false">IF(COUNT(EPA_Tasas_Trim!N18:Q18)=4,AVERAGE(EPA_Tasas_Trim!N18:Q18),"")</f>
        <v>38.55</v>
      </c>
      <c r="I18" s="13" t="n">
        <f aca="false">IF(COUNT(EPA_Tasas_Trim!R18:U18)=4,AVERAGE(EPA_Tasas_Trim!R18:U18),"")</f>
        <v>42.1125</v>
      </c>
      <c r="J18" s="13" t="n">
        <f aca="false">IF(COUNT(EPA_Tasas_Trim!V18:Y18)=4,AVERAGE(EPA_Tasas_Trim!V18:Y18),"")</f>
        <v>43.2775</v>
      </c>
      <c r="K18" s="13" t="n">
        <f aca="false">IF(COUNT(EPA_Tasas_Trim!Z18:AC18)=4,AVERAGE(EPA_Tasas_Trim!Z18:AC18),"")</f>
        <v>43.005</v>
      </c>
      <c r="L18" s="13" t="n">
        <f aca="false">IF(COUNT(EPA_Tasas_Trim!AD18:AG18)=4,AVERAGE(EPA_Tasas_Trim!AD18:AG18),"")</f>
        <v>39.6125</v>
      </c>
      <c r="M18" s="13" t="n">
        <f aca="false">IF(COUNT(EPA_Tasas_Trim!AH18:AK18)=4,AVERAGE(EPA_Tasas_Trim!AH18:AK18),"")</f>
        <v>30.7925</v>
      </c>
      <c r="N18" s="13" t="n">
        <f aca="false">IF(COUNT(EPA_Tasas_Trim!AL18:AO18)=4,AVERAGE(EPA_Tasas_Trim!AL18:AO18),"")</f>
        <v>27.425</v>
      </c>
      <c r="O18" s="13" t="n">
        <f aca="false">IF(COUNT(EPA_Tasas_Trim!AP18:AS18)=4,AVERAGE(EPA_Tasas_Trim!AP18:AS18),"")</f>
        <v>24.1825</v>
      </c>
      <c r="P18" s="13" t="n">
        <f aca="false">IF(COUNT(EPA_Tasas_Trim!AT18:AW18)=4,AVERAGE(EPA_Tasas_Trim!AT18:AW18),"")</f>
        <v>20.2475</v>
      </c>
      <c r="Q18" s="13" t="n">
        <f aca="false">IF(COUNT(EPA_Tasas_Trim!AX18:BA18)=4,AVERAGE(EPA_Tasas_Trim!AX18:BA18),"")</f>
        <v>18.5675</v>
      </c>
      <c r="R18" s="13" t="n">
        <f aca="false">IF(COUNT(EPA_Tasas_Trim!BB18:BE18)=4,AVERAGE(EPA_Tasas_Trim!BB18:BE18),"")</f>
        <v>18.5325</v>
      </c>
      <c r="S18" s="13" t="n">
        <f aca="false">IF(COUNT(EPA_Tasas_Trim!BF18:BI18)=4,AVERAGE(EPA_Tasas_Trim!BF18:BI18),"")</f>
        <v>20.0325</v>
      </c>
      <c r="T18" s="13" t="n">
        <f aca="false">IF(COUNT(EPA_Tasas_Trim!BJ18:BM18)=4,AVERAGE(EPA_Tasas_Trim!BJ18:BM18),"")</f>
        <v>20.5275</v>
      </c>
      <c r="U18" s="13" t="n">
        <f aca="false">IF(COUNT(EPA_Tasas_Trim!BN18:BQ18)=4,AVERAGE(EPA_Tasas_Trim!BN18:BQ18),"")</f>
        <v>22.9225</v>
      </c>
      <c r="V18" s="13" t="n">
        <f aca="false">IF(COUNT(EPA_Tasas_Trim!BR18:BU18)=4,AVERAGE(EPA_Tasas_Trim!BR18:BU18),"")</f>
        <v>24.2525</v>
      </c>
      <c r="W18" s="13" t="n">
        <f aca="false">IF(COUNT(EPA_Tasas_Trim!BV18:BY18)=4,AVERAGE(EPA_Tasas_Trim!BV18:BY18),"")</f>
        <v>24.8575</v>
      </c>
      <c r="X18" s="13" t="n">
        <f aca="false">IF(COUNT(EPA_Tasas_Trim!BZ18:CC18)=4,AVERAGE(EPA_Tasas_Trim!BZ18:CC18),"")</f>
        <v>20.6575</v>
      </c>
      <c r="Y18" s="13" t="n">
        <f aca="false">IF(COUNT(EPA_Tasas_Trim!CD18:CG18)=4,AVERAGE(EPA_Tasas_Trim!CD18:CG18),"")</f>
        <v>22.905</v>
      </c>
      <c r="Z18" s="13" t="n">
        <f aca="false">IF(COUNT(EPA_Tasas_Trim!CH18:CK18)=4,AVERAGE(EPA_Tasas_Trim!CH18:CK18),"")</f>
        <v>25.6125</v>
      </c>
      <c r="AA18" s="13" t="n">
        <f aca="false">IF(COUNT(EPA_Tasas_Trim!CL18:CO18)=4,AVERAGE(EPA_Tasas_Trim!CL18:CO18),"")</f>
        <v>26.4775</v>
      </c>
      <c r="AB18" s="13" t="n">
        <f aca="false">IF(COUNT(EPA_Tasas_Trim!CP18:CS18)=4,AVERAGE(EPA_Tasas_Trim!CP18:CS18),"")</f>
        <v>27.625</v>
      </c>
      <c r="AC18" s="13" t="n">
        <f aca="false">IF(COUNT(EPA_Tasas_Trim!CT18:CW18)=4,AVERAGE(EPA_Tasas_Trim!CT18:CW18),"")</f>
        <v>28.2625</v>
      </c>
    </row>
    <row r="19" customFormat="false" ht="15" hidden="false" customHeight="false" outlineLevel="0" collapsed="false">
      <c r="A19" s="12" t="s">
        <v>211</v>
      </c>
      <c r="B19" s="12" t="s">
        <v>65</v>
      </c>
      <c r="C19" s="12" t="s">
        <v>195</v>
      </c>
      <c r="D19" s="12" t="s">
        <v>200</v>
      </c>
      <c r="E19" s="12" t="s">
        <v>219</v>
      </c>
      <c r="F19" s="13" t="n">
        <f aca="false">IF(COUNT(EPA_Tasas_Trim!F19:I19)=4,AVERAGE(EPA_Tasas_Trim!F19:I19),"")</f>
        <v>50.2575</v>
      </c>
      <c r="G19" s="13" t="n">
        <f aca="false">IF(COUNT(EPA_Tasas_Trim!J19:M19)=4,AVERAGE(EPA_Tasas_Trim!J19:M19),"")</f>
        <v>51.35</v>
      </c>
      <c r="H19" s="13" t="n">
        <f aca="false">IF(COUNT(EPA_Tasas_Trim!N19:Q19)=4,AVERAGE(EPA_Tasas_Trim!N19:Q19),"")</f>
        <v>52.3775</v>
      </c>
      <c r="I19" s="13" t="n">
        <f aca="false">IF(COUNT(EPA_Tasas_Trim!R19:U19)=4,AVERAGE(EPA_Tasas_Trim!R19:U19),"")</f>
        <v>54.08</v>
      </c>
      <c r="J19" s="13" t="n">
        <f aca="false">IF(COUNT(EPA_Tasas_Trim!V19:Y19)=4,AVERAGE(EPA_Tasas_Trim!V19:Y19),"")</f>
        <v>55.1925</v>
      </c>
      <c r="K19" s="13" t="n">
        <f aca="false">IF(COUNT(EPA_Tasas_Trim!Z19:AC19)=4,AVERAGE(EPA_Tasas_Trim!Z19:AC19),"")</f>
        <v>56.005</v>
      </c>
      <c r="L19" s="13" t="n">
        <f aca="false">IF(COUNT(EPA_Tasas_Trim!AD19:AG19)=4,AVERAGE(EPA_Tasas_Trim!AD19:AG19),"")</f>
        <v>55.2075</v>
      </c>
      <c r="M19" s="13" t="n">
        <f aca="false">IF(COUNT(EPA_Tasas_Trim!AH19:AK19)=4,AVERAGE(EPA_Tasas_Trim!AH19:AK19),"")</f>
        <v>51.915</v>
      </c>
      <c r="N19" s="13" t="n">
        <f aca="false">IF(COUNT(EPA_Tasas_Trim!AL19:AO19)=4,AVERAGE(EPA_Tasas_Trim!AL19:AO19),"")</f>
        <v>50.99</v>
      </c>
      <c r="O19" s="13" t="n">
        <f aca="false">IF(COUNT(EPA_Tasas_Trim!AP19:AS19)=4,AVERAGE(EPA_Tasas_Trim!AP19:AS19),"")</f>
        <v>50.3225</v>
      </c>
      <c r="P19" s="13" t="n">
        <f aca="false">IF(COUNT(EPA_Tasas_Trim!AT19:AW19)=4,AVERAGE(EPA_Tasas_Trim!AT19:AW19),"")</f>
        <v>48.49</v>
      </c>
      <c r="Q19" s="13" t="n">
        <f aca="false">IF(COUNT(EPA_Tasas_Trim!AX19:BA19)=4,AVERAGE(EPA_Tasas_Trim!AX19:BA19),"")</f>
        <v>47.43</v>
      </c>
      <c r="R19" s="13" t="n">
        <f aca="false">IF(COUNT(EPA_Tasas_Trim!BB19:BE19)=4,AVERAGE(EPA_Tasas_Trim!BB19:BE19),"")</f>
        <v>48.1375</v>
      </c>
      <c r="S19" s="13" t="n">
        <f aca="false">IF(COUNT(EPA_Tasas_Trim!BF19:BI19)=4,AVERAGE(EPA_Tasas_Trim!BF19:BI19),"")</f>
        <v>49.4725</v>
      </c>
      <c r="T19" s="13" t="n">
        <f aca="false">IF(COUNT(EPA_Tasas_Trim!BJ19:BM19)=4,AVERAGE(EPA_Tasas_Trim!BJ19:BM19),"")</f>
        <v>50.7325</v>
      </c>
      <c r="U19" s="13" t="n">
        <f aca="false">IF(COUNT(EPA_Tasas_Trim!BN19:BQ19)=4,AVERAGE(EPA_Tasas_Trim!BN19:BQ19),"")</f>
        <v>51.69</v>
      </c>
      <c r="V19" s="13" t="n">
        <f aca="false">IF(COUNT(EPA_Tasas_Trim!BR19:BU19)=4,AVERAGE(EPA_Tasas_Trim!BR19:BU19),"")</f>
        <v>52.685</v>
      </c>
      <c r="W19" s="13" t="n">
        <f aca="false">IF(COUNT(EPA_Tasas_Trim!BV19:BY19)=4,AVERAGE(EPA_Tasas_Trim!BV19:BY19),"")</f>
        <v>53.405</v>
      </c>
      <c r="X19" s="13" t="n">
        <f aca="false">IF(COUNT(EPA_Tasas_Trim!BZ19:CC19)=4,AVERAGE(EPA_Tasas_Trim!BZ19:CC19),"")</f>
        <v>51.8925</v>
      </c>
      <c r="Y19" s="13" t="n">
        <f aca="false">IF(COUNT(EPA_Tasas_Trim!CD19:CG19)=4,AVERAGE(EPA_Tasas_Trim!CD19:CG19),"")</f>
        <v>52.9</v>
      </c>
      <c r="Z19" s="13" t="n">
        <f aca="false">IF(COUNT(EPA_Tasas_Trim!CH19:CK19)=4,AVERAGE(EPA_Tasas_Trim!CH19:CK19),"")</f>
        <v>54.0125</v>
      </c>
      <c r="AA19" s="13" t="n">
        <f aca="false">IF(COUNT(EPA_Tasas_Trim!CL19:CO19)=4,AVERAGE(EPA_Tasas_Trim!CL19:CO19),"")</f>
        <v>54.8475</v>
      </c>
      <c r="AB19" s="13" t="n">
        <f aca="false">IF(COUNT(EPA_Tasas_Trim!CP19:CS19)=4,AVERAGE(EPA_Tasas_Trim!CP19:CS19),"")</f>
        <v>55.2475</v>
      </c>
      <c r="AC19" s="13" t="n">
        <f aca="false">IF(COUNT(EPA_Tasas_Trim!CT19:CW19)=4,AVERAGE(EPA_Tasas_Trim!CT19:CW19),"")</f>
        <v>55.9525</v>
      </c>
    </row>
    <row r="20" customFormat="false" ht="15" hidden="false" customHeight="false" outlineLevel="0" collapsed="false">
      <c r="A20" s="12" t="s">
        <v>211</v>
      </c>
      <c r="B20" s="12" t="s">
        <v>65</v>
      </c>
      <c r="C20" s="12" t="s">
        <v>195</v>
      </c>
      <c r="D20" s="12" t="s">
        <v>202</v>
      </c>
      <c r="E20" s="12" t="s">
        <v>220</v>
      </c>
      <c r="F20" s="13" t="n">
        <f aca="false">IF(COUNT(EPA_Tasas_Trim!F20:I20)=4,AVERAGE(EPA_Tasas_Trim!F20:I20),"")</f>
        <v>18.0325</v>
      </c>
      <c r="G20" s="13" t="n">
        <f aca="false">IF(COUNT(EPA_Tasas_Trim!J20:M20)=4,AVERAGE(EPA_Tasas_Trim!J20:M20),"")</f>
        <v>17.1825</v>
      </c>
      <c r="H20" s="13" t="n">
        <f aca="false">IF(COUNT(EPA_Tasas_Trim!N20:Q20)=4,AVERAGE(EPA_Tasas_Trim!N20:Q20),"")</f>
        <v>17.715</v>
      </c>
      <c r="I20" s="13" t="n">
        <f aca="false">IF(COUNT(EPA_Tasas_Trim!R20:U20)=4,AVERAGE(EPA_Tasas_Trim!R20:U20),"")</f>
        <v>20.545</v>
      </c>
      <c r="J20" s="13" t="n">
        <f aca="false">IF(COUNT(EPA_Tasas_Trim!V20:Y20)=4,AVERAGE(EPA_Tasas_Trim!V20:Y20),"")</f>
        <v>20.77</v>
      </c>
      <c r="K20" s="13" t="n">
        <f aca="false">IF(COUNT(EPA_Tasas_Trim!Z20:AC20)=4,AVERAGE(EPA_Tasas_Trim!Z20:AC20),"")</f>
        <v>21.3025</v>
      </c>
      <c r="L20" s="13" t="n">
        <f aca="false">IF(COUNT(EPA_Tasas_Trim!AD20:AG20)=4,AVERAGE(EPA_Tasas_Trim!AD20:AG20),"")</f>
        <v>17.65</v>
      </c>
      <c r="M20" s="13" t="n">
        <f aca="false">IF(COUNT(EPA_Tasas_Trim!AH20:AK20)=4,AVERAGE(EPA_Tasas_Trim!AH20:AK20),"")</f>
        <v>11.0525</v>
      </c>
      <c r="N20" s="13" t="n">
        <f aca="false">IF(COUNT(EPA_Tasas_Trim!AL20:AO20)=4,AVERAGE(EPA_Tasas_Trim!AL20:AO20),"")</f>
        <v>8.3275</v>
      </c>
      <c r="O20" s="13" t="n">
        <f aca="false">IF(COUNT(EPA_Tasas_Trim!AP20:AS20)=4,AVERAGE(EPA_Tasas_Trim!AP20:AS20),"")</f>
        <v>6.94</v>
      </c>
      <c r="P20" s="13" t="n">
        <f aca="false">IF(COUNT(EPA_Tasas_Trim!AT20:AW20)=4,AVERAGE(EPA_Tasas_Trim!AT20:AW20),"")</f>
        <v>4.785</v>
      </c>
      <c r="Q20" s="13" t="n">
        <f aca="false">IF(COUNT(EPA_Tasas_Trim!AX20:BA20)=4,AVERAGE(EPA_Tasas_Trim!AX20:BA20),"")</f>
        <v>4.3175</v>
      </c>
      <c r="R20" s="13" t="n">
        <f aca="false">IF(COUNT(EPA_Tasas_Trim!BB20:BE20)=4,AVERAGE(EPA_Tasas_Trim!BB20:BE20),"")</f>
        <v>4.6425</v>
      </c>
      <c r="S20" s="13" t="n">
        <f aca="false">IF(COUNT(EPA_Tasas_Trim!BF20:BI20)=4,AVERAGE(EPA_Tasas_Trim!BF20:BI20),"")</f>
        <v>4.875</v>
      </c>
      <c r="T20" s="13" t="n">
        <f aca="false">IF(COUNT(EPA_Tasas_Trim!BJ20:BM20)=4,AVERAGE(EPA_Tasas_Trim!BJ20:BM20),"")</f>
        <v>5.485</v>
      </c>
      <c r="U20" s="13" t="n">
        <f aca="false">IF(COUNT(EPA_Tasas_Trim!BN20:BQ20)=4,AVERAGE(EPA_Tasas_Trim!BN20:BQ20),"")</f>
        <v>6.625</v>
      </c>
      <c r="V20" s="13" t="n">
        <f aca="false">IF(COUNT(EPA_Tasas_Trim!BR20:BU20)=4,AVERAGE(EPA_Tasas_Trim!BR20:BU20),"")</f>
        <v>7.35</v>
      </c>
      <c r="W20" s="13" t="n">
        <f aca="false">IF(COUNT(EPA_Tasas_Trim!BV20:BY20)=4,AVERAGE(EPA_Tasas_Trim!BV20:BY20),"")</f>
        <v>8.02</v>
      </c>
      <c r="X20" s="13" t="n">
        <f aca="false">IF(COUNT(EPA_Tasas_Trim!BZ20:CC20)=4,AVERAGE(EPA_Tasas_Trim!BZ20:CC20),"")</f>
        <v>5.5425</v>
      </c>
      <c r="Y20" s="13" t="n">
        <f aca="false">IF(COUNT(EPA_Tasas_Trim!CD20:CG20)=4,AVERAGE(EPA_Tasas_Trim!CD20:CG20),"")</f>
        <v>6.5725</v>
      </c>
      <c r="Z20" s="13" t="n">
        <f aca="false">IF(COUNT(EPA_Tasas_Trim!CH20:CK20)=4,AVERAGE(EPA_Tasas_Trim!CH20:CK20),"")</f>
        <v>7.9775</v>
      </c>
      <c r="AA20" s="13" t="n">
        <f aca="false">IF(COUNT(EPA_Tasas_Trim!CL20:CO20)=4,AVERAGE(EPA_Tasas_Trim!CL20:CO20),"")</f>
        <v>8.24</v>
      </c>
      <c r="AB20" s="13" t="n">
        <f aca="false">IF(COUNT(EPA_Tasas_Trim!CP20:CS20)=4,AVERAGE(EPA_Tasas_Trim!CP20:CS20),"")</f>
        <v>9.1225</v>
      </c>
      <c r="AC20" s="13" t="n">
        <f aca="false">IF(COUNT(EPA_Tasas_Trim!CT20:CW20)=4,AVERAGE(EPA_Tasas_Trim!CT20:CW20),"")</f>
        <v>8.8275</v>
      </c>
    </row>
    <row r="21" customFormat="false" ht="15" hidden="false" customHeight="false" outlineLevel="0" collapsed="false">
      <c r="A21" s="12" t="s">
        <v>211</v>
      </c>
      <c r="B21" s="12" t="s">
        <v>65</v>
      </c>
      <c r="C21" s="12" t="s">
        <v>195</v>
      </c>
      <c r="D21" s="12" t="s">
        <v>204</v>
      </c>
      <c r="E21" s="12" t="s">
        <v>221</v>
      </c>
      <c r="F21" s="13" t="str">
        <f aca="false">IF(COUNT(EPA_Tasas_Trim!F21:I21)=4,AVERAGE(EPA_Tasas_Trim!F21:I21),"")</f>
        <v/>
      </c>
      <c r="G21" s="13" t="str">
        <f aca="false">IF(COUNT(EPA_Tasas_Trim!J21:M21)=4,AVERAGE(EPA_Tasas_Trim!J21:M21),"")</f>
        <v/>
      </c>
      <c r="H21" s="13" t="str">
        <f aca="false">IF(COUNT(EPA_Tasas_Trim!N21:Q21)=4,AVERAGE(EPA_Tasas_Trim!N21:Q21),"")</f>
        <v/>
      </c>
      <c r="I21" s="13" t="str">
        <f aca="false">IF(COUNT(EPA_Tasas_Trim!R21:U21)=4,AVERAGE(EPA_Tasas_Trim!R21:U21),"")</f>
        <v/>
      </c>
      <c r="J21" s="13" t="str">
        <f aca="false">IF(COUNT(EPA_Tasas_Trim!V21:Y21)=4,AVERAGE(EPA_Tasas_Trim!V21:Y21),"")</f>
        <v/>
      </c>
      <c r="K21" s="13" t="str">
        <f aca="false">IF(COUNT(EPA_Tasas_Trim!Z21:AC21)=4,AVERAGE(EPA_Tasas_Trim!Z21:AC21),"")</f>
        <v/>
      </c>
      <c r="L21" s="13" t="str">
        <f aca="false">IF(COUNT(EPA_Tasas_Trim!AD21:AG21)=4,AVERAGE(EPA_Tasas_Trim!AD21:AG21),"")</f>
        <v/>
      </c>
      <c r="M21" s="13" t="n">
        <f aca="false">IF(COUNT(EPA_Tasas_Trim!AH21:AK21)=4,AVERAGE(EPA_Tasas_Trim!AH21:AK21),"")</f>
        <v>44.365</v>
      </c>
      <c r="N21" s="13" t="n">
        <f aca="false">IF(COUNT(EPA_Tasas_Trim!AL21:AO21)=4,AVERAGE(EPA_Tasas_Trim!AL21:AO21),"")</f>
        <v>40.8125</v>
      </c>
      <c r="O21" s="13" t="n">
        <f aca="false">IF(COUNT(EPA_Tasas_Trim!AP21:AS21)=4,AVERAGE(EPA_Tasas_Trim!AP21:AS21),"")</f>
        <v>36.4225</v>
      </c>
      <c r="P21" s="13" t="n">
        <f aca="false">IF(COUNT(EPA_Tasas_Trim!AT21:AW21)=4,AVERAGE(EPA_Tasas_Trim!AT21:AW21),"")</f>
        <v>31.2925</v>
      </c>
      <c r="Q21" s="13" t="n">
        <f aca="false">IF(COUNT(EPA_Tasas_Trim!AX21:BA21)=4,AVERAGE(EPA_Tasas_Trim!AX21:BA21),"")</f>
        <v>28.8275</v>
      </c>
      <c r="R21" s="13" t="n">
        <f aca="false">IF(COUNT(EPA_Tasas_Trim!BB21:BE21)=4,AVERAGE(EPA_Tasas_Trim!BB21:BE21),"")</f>
        <v>28.725</v>
      </c>
      <c r="S21" s="13" t="n">
        <f aca="false">IF(COUNT(EPA_Tasas_Trim!BF21:BI21)=4,AVERAGE(EPA_Tasas_Trim!BF21:BI21),"")</f>
        <v>31.435</v>
      </c>
      <c r="T21" s="13" t="n">
        <f aca="false">IF(COUNT(EPA_Tasas_Trim!BJ21:BM21)=4,AVERAGE(EPA_Tasas_Trim!BJ21:BM21),"")</f>
        <v>32.1875</v>
      </c>
      <c r="U21" s="13" t="n">
        <f aca="false">IF(COUNT(EPA_Tasas_Trim!BN21:BQ21)=4,AVERAGE(EPA_Tasas_Trim!BN21:BQ21),"")</f>
        <v>35.885</v>
      </c>
      <c r="V21" s="13" t="n">
        <f aca="false">IF(COUNT(EPA_Tasas_Trim!BR21:BU21)=4,AVERAGE(EPA_Tasas_Trim!BR21:BU21),"")</f>
        <v>37.9075</v>
      </c>
      <c r="W21" s="13" t="n">
        <f aca="false">IF(COUNT(EPA_Tasas_Trim!BV21:BY21)=4,AVERAGE(EPA_Tasas_Trim!BV21:BY21),"")</f>
        <v>38.5825</v>
      </c>
      <c r="X21" s="13" t="n">
        <f aca="false">IF(COUNT(EPA_Tasas_Trim!BZ21:CC21)=4,AVERAGE(EPA_Tasas_Trim!BZ21:CC21),"")</f>
        <v>32.965</v>
      </c>
      <c r="Y21" s="13" t="n">
        <f aca="false">IF(COUNT(EPA_Tasas_Trim!CD21:CG21)=4,AVERAGE(EPA_Tasas_Trim!CD21:CG21),"")</f>
        <v>36.125</v>
      </c>
      <c r="Z21" s="13" t="n">
        <f aca="false">IF(COUNT(EPA_Tasas_Trim!CH21:CK21)=4,AVERAGE(EPA_Tasas_Trim!CH21:CK21),"")</f>
        <v>39.9475</v>
      </c>
      <c r="AA21" s="13" t="n">
        <f aca="false">IF(COUNT(EPA_Tasas_Trim!CL21:CO21)=4,AVERAGE(EPA_Tasas_Trim!CL21:CO21),"")</f>
        <v>41.0775</v>
      </c>
      <c r="AB21" s="13" t="n">
        <f aca="false">IF(COUNT(EPA_Tasas_Trim!CP21:CS21)=4,AVERAGE(EPA_Tasas_Trim!CP21:CS21),"")</f>
        <v>42.5825</v>
      </c>
      <c r="AC21" s="13" t="n">
        <f aca="false">IF(COUNT(EPA_Tasas_Trim!CT21:CW21)=4,AVERAGE(EPA_Tasas_Trim!CT21:CW21),"")</f>
        <v>43.6525</v>
      </c>
    </row>
    <row r="22" customFormat="false" ht="15" hidden="false" customHeight="false" outlineLevel="0" collapsed="false">
      <c r="A22" s="12" t="s">
        <v>222</v>
      </c>
      <c r="B22" s="12" t="s">
        <v>194</v>
      </c>
      <c r="C22" s="12" t="s">
        <v>195</v>
      </c>
      <c r="D22" s="12" t="s">
        <v>196</v>
      </c>
      <c r="E22" s="12" t="s">
        <v>223</v>
      </c>
      <c r="F22" s="13" t="n">
        <f aca="false">IF(COUNT(EPA_Tasas_Trim!F22:I22)=4,AVERAGE(EPA_Tasas_Trim!F22:I22),"")</f>
        <v>58.74</v>
      </c>
      <c r="G22" s="13" t="n">
        <f aca="false">IF(COUNT(EPA_Tasas_Trim!J22:M22)=4,AVERAGE(EPA_Tasas_Trim!J22:M22),"")</f>
        <v>59.455</v>
      </c>
      <c r="H22" s="13" t="n">
        <f aca="false">IF(COUNT(EPA_Tasas_Trim!N22:Q22)=4,AVERAGE(EPA_Tasas_Trim!N22:Q22),"")</f>
        <v>60.875</v>
      </c>
      <c r="I22" s="13" t="n">
        <f aca="false">IF(COUNT(EPA_Tasas_Trim!R22:U22)=4,AVERAGE(EPA_Tasas_Trim!R22:U22),"")</f>
        <v>63.3125</v>
      </c>
      <c r="J22" s="13" t="n">
        <f aca="false">IF(COUNT(EPA_Tasas_Trim!V22:Y22)=4,AVERAGE(EPA_Tasas_Trim!V22:Y22),"")</f>
        <v>64.275</v>
      </c>
      <c r="K22" s="13" t="n">
        <f aca="false">IF(COUNT(EPA_Tasas_Trim!Z22:AC22)=4,AVERAGE(EPA_Tasas_Trim!Z22:AC22),"")</f>
        <v>64.955</v>
      </c>
      <c r="L22" s="13" t="n">
        <f aca="false">IF(COUNT(EPA_Tasas_Trim!AD22:AG22)=4,AVERAGE(EPA_Tasas_Trim!AD22:AG22),"")</f>
        <v>65.525</v>
      </c>
      <c r="M22" s="13" t="n">
        <f aca="false">IF(COUNT(EPA_Tasas_Trim!AH22:AK22)=4,AVERAGE(EPA_Tasas_Trim!AH22:AK22),"")</f>
        <v>65.775</v>
      </c>
      <c r="N22" s="13" t="n">
        <f aca="false">IF(COUNT(EPA_Tasas_Trim!AL22:AO22)=4,AVERAGE(EPA_Tasas_Trim!AL22:AO22),"")</f>
        <v>66.0775</v>
      </c>
      <c r="O22" s="13" t="n">
        <f aca="false">IF(COUNT(EPA_Tasas_Trim!AP22:AS22)=4,AVERAGE(EPA_Tasas_Trim!AP22:AS22),"")</f>
        <v>65.2375</v>
      </c>
      <c r="P22" s="13" t="n">
        <f aca="false">IF(COUNT(EPA_Tasas_Trim!AT22:AW22)=4,AVERAGE(EPA_Tasas_Trim!AT22:AW22),"")</f>
        <v>65.325</v>
      </c>
      <c r="Q22" s="13" t="n">
        <f aca="false">IF(COUNT(EPA_Tasas_Trim!AX22:BA22)=4,AVERAGE(EPA_Tasas_Trim!AX22:BA22),"")</f>
        <v>64.4625</v>
      </c>
      <c r="R22" s="13" t="n">
        <f aca="false">IF(COUNT(EPA_Tasas_Trim!BB22:BE22)=4,AVERAGE(EPA_Tasas_Trim!BB22:BE22),"")</f>
        <v>63.86</v>
      </c>
      <c r="S22" s="13" t="n">
        <f aca="false">IF(COUNT(EPA_Tasas_Trim!BF22:BI22)=4,AVERAGE(EPA_Tasas_Trim!BF22:BI22),"")</f>
        <v>64.575</v>
      </c>
      <c r="T22" s="13" t="n">
        <f aca="false">IF(COUNT(EPA_Tasas_Trim!BJ22:BM22)=4,AVERAGE(EPA_Tasas_Trim!BJ22:BM22),"")</f>
        <v>63.65</v>
      </c>
      <c r="U22" s="13" t="n">
        <f aca="false">IF(COUNT(EPA_Tasas_Trim!BN22:BQ22)=4,AVERAGE(EPA_Tasas_Trim!BN22:BQ22),"")</f>
        <v>62.87</v>
      </c>
      <c r="V22" s="13" t="n">
        <f aca="false">IF(COUNT(EPA_Tasas_Trim!BR22:BU22)=4,AVERAGE(EPA_Tasas_Trim!BR22:BU22),"")</f>
        <v>62.895</v>
      </c>
      <c r="W22" s="13" t="n">
        <f aca="false">IF(COUNT(EPA_Tasas_Trim!BV22:BY22)=4,AVERAGE(EPA_Tasas_Trim!BV22:BY22),"")</f>
        <v>62.835</v>
      </c>
      <c r="X22" s="13" t="n">
        <f aca="false">IF(COUNT(EPA_Tasas_Trim!BZ22:CC22)=4,AVERAGE(EPA_Tasas_Trim!BZ22:CC22),"")</f>
        <v>62.14</v>
      </c>
      <c r="Y22" s="13" t="n">
        <f aca="false">IF(COUNT(EPA_Tasas_Trim!CD22:CG22)=4,AVERAGE(EPA_Tasas_Trim!CD22:CG22),"")</f>
        <v>63.3275</v>
      </c>
      <c r="Z22" s="13" t="n">
        <f aca="false">IF(COUNT(EPA_Tasas_Trim!CH22:CK22)=4,AVERAGE(EPA_Tasas_Trim!CH22:CK22),"")</f>
        <v>63.3025</v>
      </c>
      <c r="AA22" s="13" t="n">
        <f aca="false">IF(COUNT(EPA_Tasas_Trim!CL22:CO22)=4,AVERAGE(EPA_Tasas_Trim!CL22:CO22),"")</f>
        <v>63.245</v>
      </c>
      <c r="AB22" s="13" t="n">
        <f aca="false">IF(COUNT(EPA_Tasas_Trim!CP22:CS22)=4,AVERAGE(EPA_Tasas_Trim!CP22:CS22),"")</f>
        <v>63.1475</v>
      </c>
      <c r="AC22" s="13" t="n">
        <f aca="false">IF(COUNT(EPA_Tasas_Trim!CT22:CW22)=4,AVERAGE(EPA_Tasas_Trim!CT22:CW22),"")</f>
        <v>63.2725</v>
      </c>
    </row>
    <row r="23" customFormat="false" ht="15" hidden="false" customHeight="false" outlineLevel="0" collapsed="false">
      <c r="A23" s="12" t="s">
        <v>222</v>
      </c>
      <c r="B23" s="12" t="s">
        <v>194</v>
      </c>
      <c r="C23" s="12" t="s">
        <v>195</v>
      </c>
      <c r="D23" s="12" t="s">
        <v>198</v>
      </c>
      <c r="E23" s="12" t="s">
        <v>224</v>
      </c>
      <c r="F23" s="13" t="n">
        <f aca="false">IF(COUNT(EPA_Tasas_Trim!F23:I23)=4,AVERAGE(EPA_Tasas_Trim!F23:I23),"")</f>
        <v>44.5775</v>
      </c>
      <c r="G23" s="13" t="n">
        <f aca="false">IF(COUNT(EPA_Tasas_Trim!J23:M23)=4,AVERAGE(EPA_Tasas_Trim!J23:M23),"")</f>
        <v>45.275</v>
      </c>
      <c r="H23" s="13" t="n">
        <f aca="false">IF(COUNT(EPA_Tasas_Trim!N23:Q23)=4,AVERAGE(EPA_Tasas_Trim!N23:Q23),"")</f>
        <v>45.315</v>
      </c>
      <c r="I23" s="13" t="n">
        <f aca="false">IF(COUNT(EPA_Tasas_Trim!R23:U23)=4,AVERAGE(EPA_Tasas_Trim!R23:U23),"")</f>
        <v>52.8325</v>
      </c>
      <c r="J23" s="13" t="n">
        <f aca="false">IF(COUNT(EPA_Tasas_Trim!V23:Y23)=4,AVERAGE(EPA_Tasas_Trim!V23:Y23),"")</f>
        <v>54.2875</v>
      </c>
      <c r="K23" s="13" t="n">
        <f aca="false">IF(COUNT(EPA_Tasas_Trim!Z23:AC23)=4,AVERAGE(EPA_Tasas_Trim!Z23:AC23),"")</f>
        <v>54.3325</v>
      </c>
      <c r="L23" s="13" t="n">
        <f aca="false">IF(COUNT(EPA_Tasas_Trim!AD23:AG23)=4,AVERAGE(EPA_Tasas_Trim!AD23:AG23),"")</f>
        <v>53.0525</v>
      </c>
      <c r="M23" s="13" t="n">
        <f aca="false">IF(COUNT(EPA_Tasas_Trim!AH23:AK23)=4,AVERAGE(EPA_Tasas_Trim!AH23:AK23),"")</f>
        <v>49.7875</v>
      </c>
      <c r="N23" s="13" t="n">
        <f aca="false">IF(COUNT(EPA_Tasas_Trim!AL23:AO23)=4,AVERAGE(EPA_Tasas_Trim!AL23:AO23),"")</f>
        <v>47.5425</v>
      </c>
      <c r="O23" s="13" t="n">
        <f aca="false">IF(COUNT(EPA_Tasas_Trim!AP23:AS23)=4,AVERAGE(EPA_Tasas_Trim!AP23:AS23),"")</f>
        <v>43.9725</v>
      </c>
      <c r="P23" s="13" t="n">
        <f aca="false">IF(COUNT(EPA_Tasas_Trim!AT23:AW23)=4,AVERAGE(EPA_Tasas_Trim!AT23:AW23),"")</f>
        <v>41.7675</v>
      </c>
      <c r="Q23" s="13" t="n">
        <f aca="false">IF(COUNT(EPA_Tasas_Trim!AX23:BA23)=4,AVERAGE(EPA_Tasas_Trim!AX23:BA23),"")</f>
        <v>41.4</v>
      </c>
      <c r="R23" s="13" t="n">
        <f aca="false">IF(COUNT(EPA_Tasas_Trim!BB23:BE23)=4,AVERAGE(EPA_Tasas_Trim!BB23:BE23),"")</f>
        <v>40.24</v>
      </c>
      <c r="S23" s="13" t="n">
        <f aca="false">IF(COUNT(EPA_Tasas_Trim!BF23:BI23)=4,AVERAGE(EPA_Tasas_Trim!BF23:BI23),"")</f>
        <v>41.1175</v>
      </c>
      <c r="T23" s="13" t="n">
        <f aca="false">IF(COUNT(EPA_Tasas_Trim!BJ23:BM23)=4,AVERAGE(EPA_Tasas_Trim!BJ23:BM23),"")</f>
        <v>37.23</v>
      </c>
      <c r="U23" s="13" t="n">
        <f aca="false">IF(COUNT(EPA_Tasas_Trim!BN23:BQ23)=4,AVERAGE(EPA_Tasas_Trim!BN23:BQ23),"")</f>
        <v>35.985</v>
      </c>
      <c r="V23" s="13" t="n">
        <f aca="false">IF(COUNT(EPA_Tasas_Trim!BR23:BU23)=4,AVERAGE(EPA_Tasas_Trim!BR23:BU23),"")</f>
        <v>37.1525</v>
      </c>
      <c r="W23" s="13" t="n">
        <f aca="false">IF(COUNT(EPA_Tasas_Trim!BV23:BY23)=4,AVERAGE(EPA_Tasas_Trim!BV23:BY23),"")</f>
        <v>35.14</v>
      </c>
      <c r="X23" s="13" t="n">
        <f aca="false">IF(COUNT(EPA_Tasas_Trim!BZ23:CC23)=4,AVERAGE(EPA_Tasas_Trim!BZ23:CC23),"")</f>
        <v>32.39</v>
      </c>
      <c r="Y23" s="13" t="n">
        <f aca="false">IF(COUNT(EPA_Tasas_Trim!CD23:CG23)=4,AVERAGE(EPA_Tasas_Trim!CD23:CG23),"")</f>
        <v>37.6125</v>
      </c>
      <c r="Z23" s="13" t="n">
        <f aca="false">IF(COUNT(EPA_Tasas_Trim!CH23:CK23)=4,AVERAGE(EPA_Tasas_Trim!CH23:CK23),"")</f>
        <v>38.02</v>
      </c>
      <c r="AA23" s="13" t="n">
        <f aca="false">IF(COUNT(EPA_Tasas_Trim!CL23:CO23)=4,AVERAGE(EPA_Tasas_Trim!CL23:CO23),"")</f>
        <v>36.89</v>
      </c>
      <c r="AB23" s="13" t="n">
        <f aca="false">IF(COUNT(EPA_Tasas_Trim!CP23:CS23)=4,AVERAGE(EPA_Tasas_Trim!CP23:CS23),"")</f>
        <v>37.3425</v>
      </c>
      <c r="AC23" s="13" t="n">
        <f aca="false">IF(COUNT(EPA_Tasas_Trim!CT23:CW23)=4,AVERAGE(EPA_Tasas_Trim!CT23:CW23),"")</f>
        <v>37.535</v>
      </c>
    </row>
    <row r="24" customFormat="false" ht="15" hidden="false" customHeight="false" outlineLevel="0" collapsed="false">
      <c r="A24" s="12" t="s">
        <v>222</v>
      </c>
      <c r="B24" s="12" t="s">
        <v>194</v>
      </c>
      <c r="C24" s="12" t="s">
        <v>195</v>
      </c>
      <c r="D24" s="12" t="s">
        <v>200</v>
      </c>
      <c r="E24" s="12" t="s">
        <v>225</v>
      </c>
      <c r="F24" s="13" t="n">
        <f aca="false">IF(COUNT(EPA_Tasas_Trim!F24:I24)=4,AVERAGE(EPA_Tasas_Trim!F24:I24),"")</f>
        <v>61.2075</v>
      </c>
      <c r="G24" s="13" t="n">
        <f aca="false">IF(COUNT(EPA_Tasas_Trim!J24:M24)=4,AVERAGE(EPA_Tasas_Trim!J24:M24),"")</f>
        <v>61.815</v>
      </c>
      <c r="H24" s="13" t="n">
        <f aca="false">IF(COUNT(EPA_Tasas_Trim!N24:Q24)=4,AVERAGE(EPA_Tasas_Trim!N24:Q24),"")</f>
        <v>63.325</v>
      </c>
      <c r="I24" s="13" t="n">
        <f aca="false">IF(COUNT(EPA_Tasas_Trim!R24:U24)=4,AVERAGE(EPA_Tasas_Trim!R24:U24),"")</f>
        <v>64.89</v>
      </c>
      <c r="J24" s="13" t="n">
        <f aca="false">IF(COUNT(EPA_Tasas_Trim!V24:Y24)=4,AVERAGE(EPA_Tasas_Trim!V24:Y24),"")</f>
        <v>65.7175</v>
      </c>
      <c r="K24" s="13" t="n">
        <f aca="false">IF(COUNT(EPA_Tasas_Trim!Z24:AC24)=4,AVERAGE(EPA_Tasas_Trim!Z24:AC24),"")</f>
        <v>66.44</v>
      </c>
      <c r="L24" s="13" t="n">
        <f aca="false">IF(COUNT(EPA_Tasas_Trim!AD24:AG24)=4,AVERAGE(EPA_Tasas_Trim!AD24:AG24),"")</f>
        <v>67.215</v>
      </c>
      <c r="M24" s="13" t="n">
        <f aca="false">IF(COUNT(EPA_Tasas_Trim!AH24:AK24)=4,AVERAGE(EPA_Tasas_Trim!AH24:AK24),"")</f>
        <v>67.8575</v>
      </c>
      <c r="N24" s="13" t="n">
        <f aca="false">IF(COUNT(EPA_Tasas_Trim!AL24:AO24)=4,AVERAGE(EPA_Tasas_Trim!AL24:AO24),"")</f>
        <v>68.3975</v>
      </c>
      <c r="O24" s="13" t="n">
        <f aca="false">IF(COUNT(EPA_Tasas_Trim!AP24:AS24)=4,AVERAGE(EPA_Tasas_Trim!AP24:AS24),"")</f>
        <v>67.7975</v>
      </c>
      <c r="P24" s="13" t="n">
        <f aca="false">IF(COUNT(EPA_Tasas_Trim!AT24:AW24)=4,AVERAGE(EPA_Tasas_Trim!AT24:AW24),"")</f>
        <v>68.0925</v>
      </c>
      <c r="Q24" s="13" t="n">
        <f aca="false">IF(COUNT(EPA_Tasas_Trim!AX24:BA24)=4,AVERAGE(EPA_Tasas_Trim!AX24:BA24),"")</f>
        <v>67.115</v>
      </c>
      <c r="R24" s="13" t="n">
        <f aca="false">IF(COUNT(EPA_Tasas_Trim!BB24:BE24)=4,AVERAGE(EPA_Tasas_Trim!BB24:BE24),"")</f>
        <v>66.5425</v>
      </c>
      <c r="S24" s="13" t="n">
        <f aca="false">IF(COUNT(EPA_Tasas_Trim!BF24:BI24)=4,AVERAGE(EPA_Tasas_Trim!BF24:BI24),"")</f>
        <v>67.235</v>
      </c>
      <c r="T24" s="13" t="n">
        <f aca="false">IF(COUNT(EPA_Tasas_Trim!BJ24:BM24)=4,AVERAGE(EPA_Tasas_Trim!BJ24:BM24),"")</f>
        <v>66.6625</v>
      </c>
      <c r="U24" s="13" t="n">
        <f aca="false">IF(COUNT(EPA_Tasas_Trim!BN24:BQ24)=4,AVERAGE(EPA_Tasas_Trim!BN24:BQ24),"")</f>
        <v>65.9675</v>
      </c>
      <c r="V24" s="13" t="n">
        <f aca="false">IF(COUNT(EPA_Tasas_Trim!BR24:BU24)=4,AVERAGE(EPA_Tasas_Trim!BR24:BU24),"")</f>
        <v>65.9225</v>
      </c>
      <c r="W24" s="13" t="n">
        <f aca="false">IF(COUNT(EPA_Tasas_Trim!BV24:BY24)=4,AVERAGE(EPA_Tasas_Trim!BV24:BY24),"")</f>
        <v>66.1725</v>
      </c>
      <c r="X24" s="13" t="n">
        <f aca="false">IF(COUNT(EPA_Tasas_Trim!BZ24:CC24)=4,AVERAGE(EPA_Tasas_Trim!BZ24:CC24),"")</f>
        <v>65.82</v>
      </c>
      <c r="Y24" s="13" t="n">
        <f aca="false">IF(COUNT(EPA_Tasas_Trim!CD24:CG24)=4,AVERAGE(EPA_Tasas_Trim!CD24:CG24),"")</f>
        <v>66.48</v>
      </c>
      <c r="Z24" s="13" t="n">
        <f aca="false">IF(COUNT(EPA_Tasas_Trim!CH24:CK24)=4,AVERAGE(EPA_Tasas_Trim!CH24:CK24),"")</f>
        <v>66.5075</v>
      </c>
      <c r="AA24" s="13" t="n">
        <f aca="false">IF(COUNT(EPA_Tasas_Trim!CL24:CO24)=4,AVERAGE(EPA_Tasas_Trim!CL24:CO24),"")</f>
        <v>66.6375</v>
      </c>
      <c r="AB24" s="13" t="n">
        <f aca="false">IF(COUNT(EPA_Tasas_Trim!CP24:CS24)=4,AVERAGE(EPA_Tasas_Trim!CP24:CS24),"")</f>
        <v>66.605</v>
      </c>
      <c r="AC24" s="13" t="n">
        <f aca="false">IF(COUNT(EPA_Tasas_Trim!CT24:CW24)=4,AVERAGE(EPA_Tasas_Trim!CT24:CW24),"")</f>
        <v>66.7575</v>
      </c>
    </row>
    <row r="25" customFormat="false" ht="15" hidden="false" customHeight="false" outlineLevel="0" collapsed="false">
      <c r="A25" s="12" t="s">
        <v>222</v>
      </c>
      <c r="B25" s="12" t="s">
        <v>194</v>
      </c>
      <c r="C25" s="12" t="s">
        <v>195</v>
      </c>
      <c r="D25" s="12" t="s">
        <v>202</v>
      </c>
      <c r="E25" s="12" t="s">
        <v>226</v>
      </c>
      <c r="F25" s="13" t="n">
        <f aca="false">IF(COUNT(EPA_Tasas_Trim!F25:I25)=4,AVERAGE(EPA_Tasas_Trim!F25:I25),"")</f>
        <v>21.15</v>
      </c>
      <c r="G25" s="13" t="n">
        <f aca="false">IF(COUNT(EPA_Tasas_Trim!J25:M25)=4,AVERAGE(EPA_Tasas_Trim!J25:M25),"")</f>
        <v>16.655</v>
      </c>
      <c r="H25" s="13" t="n">
        <f aca="false">IF(COUNT(EPA_Tasas_Trim!N25:Q25)=4,AVERAGE(EPA_Tasas_Trim!N25:Q25),"")</f>
        <v>18.99</v>
      </c>
      <c r="I25" s="13" t="n">
        <f aca="false">IF(COUNT(EPA_Tasas_Trim!R25:U25)=4,AVERAGE(EPA_Tasas_Trim!R25:U25),"")</f>
        <v>29.3775</v>
      </c>
      <c r="J25" s="13" t="n">
        <f aca="false">IF(COUNT(EPA_Tasas_Trim!V25:Y25)=4,AVERAGE(EPA_Tasas_Trim!V25:Y25),"")</f>
        <v>30.18</v>
      </c>
      <c r="K25" s="13" t="n">
        <f aca="false">IF(COUNT(EPA_Tasas_Trim!Z25:AC25)=4,AVERAGE(EPA_Tasas_Trim!Z25:AC25),"")</f>
        <v>28.86</v>
      </c>
      <c r="L25" s="13" t="n">
        <f aca="false">IF(COUNT(EPA_Tasas_Trim!AD25:AG25)=4,AVERAGE(EPA_Tasas_Trim!AD25:AG25),"")</f>
        <v>28.8225</v>
      </c>
      <c r="M25" s="13" t="n">
        <f aca="false">IF(COUNT(EPA_Tasas_Trim!AH25:AK25)=4,AVERAGE(EPA_Tasas_Trim!AH25:AK25),"")</f>
        <v>23.28</v>
      </c>
      <c r="N25" s="13" t="n">
        <f aca="false">IF(COUNT(EPA_Tasas_Trim!AL25:AO25)=4,AVERAGE(EPA_Tasas_Trim!AL25:AO25),"")</f>
        <v>19.5</v>
      </c>
      <c r="O25" s="13" t="n">
        <f aca="false">IF(COUNT(EPA_Tasas_Trim!AP25:AS25)=4,AVERAGE(EPA_Tasas_Trim!AP25:AS25),"")</f>
        <v>17.85</v>
      </c>
      <c r="P25" s="13" t="n">
        <f aca="false">IF(COUNT(EPA_Tasas_Trim!AT25:AW25)=4,AVERAGE(EPA_Tasas_Trim!AT25:AW25),"")</f>
        <v>15.6125</v>
      </c>
      <c r="Q25" s="13" t="n">
        <f aca="false">IF(COUNT(EPA_Tasas_Trim!AX25:BA25)=4,AVERAGE(EPA_Tasas_Trim!AX25:BA25),"")</f>
        <v>14.235</v>
      </c>
      <c r="R25" s="13" t="n">
        <f aca="false">IF(COUNT(EPA_Tasas_Trim!BB25:BE25)=4,AVERAGE(EPA_Tasas_Trim!BB25:BE25),"")</f>
        <v>14.4375</v>
      </c>
      <c r="S25" s="13" t="n">
        <f aca="false">IF(COUNT(EPA_Tasas_Trim!BF25:BI25)=4,AVERAGE(EPA_Tasas_Trim!BF25:BI25),"")</f>
        <v>13.7575</v>
      </c>
      <c r="T25" s="13" t="n">
        <f aca="false">IF(COUNT(EPA_Tasas_Trim!BJ25:BM25)=4,AVERAGE(EPA_Tasas_Trim!BJ25:BM25),"")</f>
        <v>13.1675</v>
      </c>
      <c r="U25" s="13" t="n">
        <f aca="false">IF(COUNT(EPA_Tasas_Trim!BN25:BQ25)=4,AVERAGE(EPA_Tasas_Trim!BN25:BQ25),"")</f>
        <v>11.18</v>
      </c>
      <c r="V25" s="13" t="n">
        <f aca="false">IF(COUNT(EPA_Tasas_Trim!BR25:BU25)=4,AVERAGE(EPA_Tasas_Trim!BR25:BU25),"")</f>
        <v>11.6025</v>
      </c>
      <c r="W25" s="13" t="n">
        <f aca="false">IF(COUNT(EPA_Tasas_Trim!BV25:BY25)=4,AVERAGE(EPA_Tasas_Trim!BV25:BY25),"")</f>
        <v>12.1125</v>
      </c>
      <c r="X25" s="13" t="n">
        <f aca="false">IF(COUNT(EPA_Tasas_Trim!BZ25:CC25)=4,AVERAGE(EPA_Tasas_Trim!BZ25:CC25),"")</f>
        <v>10.5875</v>
      </c>
      <c r="Y25" s="13" t="n">
        <f aca="false">IF(COUNT(EPA_Tasas_Trim!CD25:CG25)=4,AVERAGE(EPA_Tasas_Trim!CD25:CG25),"")</f>
        <v>13.865</v>
      </c>
      <c r="Z25" s="13" t="n">
        <f aca="false">IF(COUNT(EPA_Tasas_Trim!CH25:CK25)=4,AVERAGE(EPA_Tasas_Trim!CH25:CK25),"")</f>
        <v>13.1325</v>
      </c>
      <c r="AA25" s="13" t="n">
        <f aca="false">IF(COUNT(EPA_Tasas_Trim!CL25:CO25)=4,AVERAGE(EPA_Tasas_Trim!CL25:CO25),"")</f>
        <v>11.2175</v>
      </c>
      <c r="AB25" s="13" t="n">
        <f aca="false">IF(COUNT(EPA_Tasas_Trim!CP25:CS25)=4,AVERAGE(EPA_Tasas_Trim!CP25:CS25),"")</f>
        <v>11.4975</v>
      </c>
      <c r="AC25" s="13" t="n">
        <f aca="false">IF(COUNT(EPA_Tasas_Trim!CT25:CW25)=4,AVERAGE(EPA_Tasas_Trim!CT25:CW25),"")</f>
        <v>11.5975</v>
      </c>
    </row>
    <row r="26" customFormat="false" ht="15" hidden="false" customHeight="false" outlineLevel="0" collapsed="false">
      <c r="A26" s="12" t="s">
        <v>222</v>
      </c>
      <c r="B26" s="12" t="s">
        <v>194</v>
      </c>
      <c r="C26" s="12" t="s">
        <v>195</v>
      </c>
      <c r="D26" s="12" t="s">
        <v>204</v>
      </c>
      <c r="E26" s="12" t="s">
        <v>227</v>
      </c>
      <c r="F26" s="13" t="str">
        <f aca="false">IF(COUNT(EPA_Tasas_Trim!F26:I26)=4,AVERAGE(EPA_Tasas_Trim!F26:I26),"")</f>
        <v/>
      </c>
      <c r="G26" s="13" t="str">
        <f aca="false">IF(COUNT(EPA_Tasas_Trim!J26:M26)=4,AVERAGE(EPA_Tasas_Trim!J26:M26),"")</f>
        <v/>
      </c>
      <c r="H26" s="13" t="str">
        <f aca="false">IF(COUNT(EPA_Tasas_Trim!N26:Q26)=4,AVERAGE(EPA_Tasas_Trim!N26:Q26),"")</f>
        <v/>
      </c>
      <c r="I26" s="13" t="str">
        <f aca="false">IF(COUNT(EPA_Tasas_Trim!R26:U26)=4,AVERAGE(EPA_Tasas_Trim!R26:U26),"")</f>
        <v/>
      </c>
      <c r="J26" s="13" t="str">
        <f aca="false">IF(COUNT(EPA_Tasas_Trim!V26:Y26)=4,AVERAGE(EPA_Tasas_Trim!V26:Y26),"")</f>
        <v/>
      </c>
      <c r="K26" s="13" t="str">
        <f aca="false">IF(COUNT(EPA_Tasas_Trim!Z26:AC26)=4,AVERAGE(EPA_Tasas_Trim!Z26:AC26),"")</f>
        <v/>
      </c>
      <c r="L26" s="13" t="str">
        <f aca="false">IF(COUNT(EPA_Tasas_Trim!AD26:AG26)=4,AVERAGE(EPA_Tasas_Trim!AD26:AG26),"")</f>
        <v/>
      </c>
      <c r="M26" s="13" t="n">
        <f aca="false">IF(COUNT(EPA_Tasas_Trim!AH26:AK26)=4,AVERAGE(EPA_Tasas_Trim!AH26:AK26),"")</f>
        <v>66.9925</v>
      </c>
      <c r="N26" s="13" t="n">
        <f aca="false">IF(COUNT(EPA_Tasas_Trim!AL26:AO26)=4,AVERAGE(EPA_Tasas_Trim!AL26:AO26),"")</f>
        <v>66.41</v>
      </c>
      <c r="O26" s="13" t="n">
        <f aca="false">IF(COUNT(EPA_Tasas_Trim!AP26:AS26)=4,AVERAGE(EPA_Tasas_Trim!AP26:AS26),"")</f>
        <v>62.01</v>
      </c>
      <c r="P26" s="13" t="n">
        <f aca="false">IF(COUNT(EPA_Tasas_Trim!AT26:AW26)=4,AVERAGE(EPA_Tasas_Trim!AT26:AW26),"")</f>
        <v>60.1075</v>
      </c>
      <c r="Q26" s="13" t="n">
        <f aca="false">IF(COUNT(EPA_Tasas_Trim!AX26:BA26)=4,AVERAGE(EPA_Tasas_Trim!AX26:BA26),"")</f>
        <v>60.8475</v>
      </c>
      <c r="R26" s="13" t="n">
        <f aca="false">IF(COUNT(EPA_Tasas_Trim!BB26:BE26)=4,AVERAGE(EPA_Tasas_Trim!BB26:BE26),"")</f>
        <v>59.1375</v>
      </c>
      <c r="S26" s="13" t="n">
        <f aca="false">IF(COUNT(EPA_Tasas_Trim!BF26:BI26)=4,AVERAGE(EPA_Tasas_Trim!BF26:BI26),"")</f>
        <v>61.6125</v>
      </c>
      <c r="T26" s="13" t="n">
        <f aca="false">IF(COUNT(EPA_Tasas_Trim!BJ26:BM26)=4,AVERAGE(EPA_Tasas_Trim!BJ26:BM26),"")</f>
        <v>55.815</v>
      </c>
      <c r="U26" s="13" t="n">
        <f aca="false">IF(COUNT(EPA_Tasas_Trim!BN26:BQ26)=4,AVERAGE(EPA_Tasas_Trim!BN26:BQ26),"")</f>
        <v>55.6</v>
      </c>
      <c r="V26" s="13" t="n">
        <f aca="false">IF(COUNT(EPA_Tasas_Trim!BR26:BU26)=4,AVERAGE(EPA_Tasas_Trim!BR26:BU26),"")</f>
        <v>57.615</v>
      </c>
      <c r="W26" s="13" t="n">
        <f aca="false">IF(COUNT(EPA_Tasas_Trim!BV26:BY26)=4,AVERAGE(EPA_Tasas_Trim!BV26:BY26),"")</f>
        <v>53.7525</v>
      </c>
      <c r="X26" s="13" t="n">
        <f aca="false">IF(COUNT(EPA_Tasas_Trim!BZ26:CC26)=4,AVERAGE(EPA_Tasas_Trim!BZ26:CC26),"")</f>
        <v>49.975</v>
      </c>
      <c r="Y26" s="13" t="n">
        <f aca="false">IF(COUNT(EPA_Tasas_Trim!CD26:CG26)=4,AVERAGE(EPA_Tasas_Trim!CD26:CG26),"")</f>
        <v>56.3375</v>
      </c>
      <c r="Z26" s="13" t="n">
        <f aca="false">IF(COUNT(EPA_Tasas_Trim!CH26:CK26)=4,AVERAGE(EPA_Tasas_Trim!CH26:CK26),"")</f>
        <v>57.7125</v>
      </c>
      <c r="AA26" s="13" t="n">
        <f aca="false">IF(COUNT(EPA_Tasas_Trim!CL26:CO26)=4,AVERAGE(EPA_Tasas_Trim!CL26:CO26),"")</f>
        <v>56.0275</v>
      </c>
      <c r="AB26" s="13" t="n">
        <f aca="false">IF(COUNT(EPA_Tasas_Trim!CP26:CS26)=4,AVERAGE(EPA_Tasas_Trim!CP26:CS26),"")</f>
        <v>57.06</v>
      </c>
      <c r="AC26" s="13" t="n">
        <f aca="false">IF(COUNT(EPA_Tasas_Trim!CT26:CW26)=4,AVERAGE(EPA_Tasas_Trim!CT26:CW26),"")</f>
        <v>57.1375</v>
      </c>
    </row>
    <row r="27" customFormat="false" ht="15" hidden="false" customHeight="false" outlineLevel="0" collapsed="false">
      <c r="A27" s="12" t="s">
        <v>222</v>
      </c>
      <c r="B27" s="12" t="s">
        <v>65</v>
      </c>
      <c r="C27" s="12" t="s">
        <v>195</v>
      </c>
      <c r="D27" s="12" t="s">
        <v>196</v>
      </c>
      <c r="E27" s="12" t="s">
        <v>228</v>
      </c>
      <c r="F27" s="13" t="n">
        <f aca="false">IF(COUNT(EPA_Tasas_Trim!F27:I27)=4,AVERAGE(EPA_Tasas_Trim!F27:I27),"")</f>
        <v>54.6025</v>
      </c>
      <c r="G27" s="13" t="n">
        <f aca="false">IF(COUNT(EPA_Tasas_Trim!J27:M27)=4,AVERAGE(EPA_Tasas_Trim!J27:M27),"")</f>
        <v>55.8325</v>
      </c>
      <c r="H27" s="13" t="n">
        <f aca="false">IF(COUNT(EPA_Tasas_Trim!N27:Q27)=4,AVERAGE(EPA_Tasas_Trim!N27:Q27),"")</f>
        <v>56.71</v>
      </c>
      <c r="I27" s="13" t="n">
        <f aca="false">IF(COUNT(EPA_Tasas_Trim!R27:U27)=4,AVERAGE(EPA_Tasas_Trim!R27:U27),"")</f>
        <v>57.795</v>
      </c>
      <c r="J27" s="13" t="n">
        <f aca="false">IF(COUNT(EPA_Tasas_Trim!V27:Y27)=4,AVERAGE(EPA_Tasas_Trim!V27:Y27),"")</f>
        <v>58.6375</v>
      </c>
      <c r="K27" s="13" t="n">
        <f aca="false">IF(COUNT(EPA_Tasas_Trim!Z27:AC27)=4,AVERAGE(EPA_Tasas_Trim!Z27:AC27),"")</f>
        <v>59.275</v>
      </c>
      <c r="L27" s="13" t="n">
        <f aca="false">IF(COUNT(EPA_Tasas_Trim!AD27:AG27)=4,AVERAGE(EPA_Tasas_Trim!AD27:AG27),"")</f>
        <v>60.08</v>
      </c>
      <c r="M27" s="13" t="n">
        <f aca="false">IF(COUNT(EPA_Tasas_Trim!AH27:AK27)=4,AVERAGE(EPA_Tasas_Trim!AH27:AK27),"")</f>
        <v>60.1825</v>
      </c>
      <c r="N27" s="13" t="n">
        <f aca="false">IF(COUNT(EPA_Tasas_Trim!AL27:AO27)=4,AVERAGE(EPA_Tasas_Trim!AL27:AO27),"")</f>
        <v>60.28</v>
      </c>
      <c r="O27" s="13" t="n">
        <f aca="false">IF(COUNT(EPA_Tasas_Trim!AP27:AS27)=4,AVERAGE(EPA_Tasas_Trim!AP27:AS27),"")</f>
        <v>60.3325</v>
      </c>
      <c r="P27" s="13" t="n">
        <f aca="false">IF(COUNT(EPA_Tasas_Trim!AT27:AW27)=4,AVERAGE(EPA_Tasas_Trim!AT27:AW27),"")</f>
        <v>60.3975</v>
      </c>
      <c r="Q27" s="13" t="n">
        <f aca="false">IF(COUNT(EPA_Tasas_Trim!AX27:BA27)=4,AVERAGE(EPA_Tasas_Trim!AX27:BA27),"")</f>
        <v>60.02</v>
      </c>
      <c r="R27" s="13" t="n">
        <f aca="false">IF(COUNT(EPA_Tasas_Trim!BB27:BE27)=4,AVERAGE(EPA_Tasas_Trim!BB27:BE27),"")</f>
        <v>59.5975</v>
      </c>
      <c r="S27" s="13" t="n">
        <f aca="false">IF(COUNT(EPA_Tasas_Trim!BF27:BI27)=4,AVERAGE(EPA_Tasas_Trim!BF27:BI27),"")</f>
        <v>59.5425</v>
      </c>
      <c r="T27" s="13" t="n">
        <f aca="false">IF(COUNT(EPA_Tasas_Trim!BJ27:BM27)=4,AVERAGE(EPA_Tasas_Trim!BJ27:BM27),"")</f>
        <v>59.2325</v>
      </c>
      <c r="U27" s="13" t="n">
        <f aca="false">IF(COUNT(EPA_Tasas_Trim!BN27:BQ27)=4,AVERAGE(EPA_Tasas_Trim!BN27:BQ27),"")</f>
        <v>58.835</v>
      </c>
      <c r="V27" s="13" t="n">
        <f aca="false">IF(COUNT(EPA_Tasas_Trim!BR27:BU27)=4,AVERAGE(EPA_Tasas_Trim!BR27:BU27),"")</f>
        <v>58.65</v>
      </c>
      <c r="W27" s="13" t="n">
        <f aca="false">IF(COUNT(EPA_Tasas_Trim!BV27:BY27)=4,AVERAGE(EPA_Tasas_Trim!BV27:BY27),"")</f>
        <v>58.6375</v>
      </c>
      <c r="X27" s="13" t="n">
        <f aca="false">IF(COUNT(EPA_Tasas_Trim!BZ27:CC27)=4,AVERAGE(EPA_Tasas_Trim!BZ27:CC27),"")</f>
        <v>57.435</v>
      </c>
      <c r="Y27" s="13" t="n">
        <f aca="false">IF(COUNT(EPA_Tasas_Trim!CD27:CG27)=4,AVERAGE(EPA_Tasas_Trim!CD27:CG27),"")</f>
        <v>58.38</v>
      </c>
      <c r="Z27" s="13" t="n">
        <f aca="false">IF(COUNT(EPA_Tasas_Trim!CH27:CK27)=4,AVERAGE(EPA_Tasas_Trim!CH27:CK27),"")</f>
        <v>58.53</v>
      </c>
      <c r="AA27" s="13" t="n">
        <f aca="false">IF(COUNT(EPA_Tasas_Trim!CL27:CO27)=4,AVERAGE(EPA_Tasas_Trim!CL27:CO27),"")</f>
        <v>58.8525</v>
      </c>
      <c r="AB27" s="13" t="n">
        <f aca="false">IF(COUNT(EPA_Tasas_Trim!CP27:CS27)=4,AVERAGE(EPA_Tasas_Trim!CP27:CS27),"")</f>
        <v>58.765</v>
      </c>
      <c r="AC27" s="13" t="n">
        <f aca="false">IF(COUNT(EPA_Tasas_Trim!CT27:CW27)=4,AVERAGE(EPA_Tasas_Trim!CT27:CW27),"")</f>
        <v>58.96</v>
      </c>
    </row>
    <row r="28" customFormat="false" ht="15" hidden="false" customHeight="false" outlineLevel="0" collapsed="false">
      <c r="A28" s="12" t="s">
        <v>222</v>
      </c>
      <c r="B28" s="12" t="s">
        <v>65</v>
      </c>
      <c r="C28" s="12" t="s">
        <v>195</v>
      </c>
      <c r="D28" s="12" t="s">
        <v>198</v>
      </c>
      <c r="E28" s="12" t="s">
        <v>229</v>
      </c>
      <c r="F28" s="13" t="n">
        <f aca="false">IF(COUNT(EPA_Tasas_Trim!F28:I28)=4,AVERAGE(EPA_Tasas_Trim!F28:I28),"")</f>
        <v>48.0625</v>
      </c>
      <c r="G28" s="13" t="n">
        <f aca="false">IF(COUNT(EPA_Tasas_Trim!J28:M28)=4,AVERAGE(EPA_Tasas_Trim!J28:M28),"")</f>
        <v>48.86</v>
      </c>
      <c r="H28" s="13" t="n">
        <f aca="false">IF(COUNT(EPA_Tasas_Trim!N28:Q28)=4,AVERAGE(EPA_Tasas_Trim!N28:Q28),"")</f>
        <v>49.415</v>
      </c>
      <c r="I28" s="13" t="n">
        <f aca="false">IF(COUNT(EPA_Tasas_Trim!R28:U28)=4,AVERAGE(EPA_Tasas_Trim!R28:U28),"")</f>
        <v>52.3975</v>
      </c>
      <c r="J28" s="13" t="n">
        <f aca="false">IF(COUNT(EPA_Tasas_Trim!V28:Y28)=4,AVERAGE(EPA_Tasas_Trim!V28:Y28),"")</f>
        <v>52.71</v>
      </c>
      <c r="K28" s="13" t="n">
        <f aca="false">IF(COUNT(EPA_Tasas_Trim!Z28:AC28)=4,AVERAGE(EPA_Tasas_Trim!Z28:AC28),"")</f>
        <v>52.5025</v>
      </c>
      <c r="L28" s="13" t="n">
        <f aca="false">IF(COUNT(EPA_Tasas_Trim!AD28:AG28)=4,AVERAGE(EPA_Tasas_Trim!AD28:AG28),"")</f>
        <v>52.4425</v>
      </c>
      <c r="M28" s="13" t="n">
        <f aca="false">IF(COUNT(EPA_Tasas_Trim!AH28:AK28)=4,AVERAGE(EPA_Tasas_Trim!AH28:AK28),"")</f>
        <v>49.455</v>
      </c>
      <c r="N28" s="13" t="n">
        <f aca="false">IF(COUNT(EPA_Tasas_Trim!AL28:AO28)=4,AVERAGE(EPA_Tasas_Trim!AL28:AO28),"")</f>
        <v>46.87</v>
      </c>
      <c r="O28" s="13" t="n">
        <f aca="false">IF(COUNT(EPA_Tasas_Trim!AP28:AS28)=4,AVERAGE(EPA_Tasas_Trim!AP28:AS28),"")</f>
        <v>44.95</v>
      </c>
      <c r="P28" s="13" t="n">
        <f aca="false">IF(COUNT(EPA_Tasas_Trim!AT28:AW28)=4,AVERAGE(EPA_Tasas_Trim!AT28:AW28),"")</f>
        <v>42.955</v>
      </c>
      <c r="Q28" s="13" t="n">
        <f aca="false">IF(COUNT(EPA_Tasas_Trim!AX28:BA28)=4,AVERAGE(EPA_Tasas_Trim!AX28:BA28),"")</f>
        <v>41.695</v>
      </c>
      <c r="R28" s="13" t="n">
        <f aca="false">IF(COUNT(EPA_Tasas_Trim!BB28:BE28)=4,AVERAGE(EPA_Tasas_Trim!BB28:BE28),"")</f>
        <v>39.5925</v>
      </c>
      <c r="S28" s="13" t="n">
        <f aca="false">IF(COUNT(EPA_Tasas_Trim!BF28:BI28)=4,AVERAGE(EPA_Tasas_Trim!BF28:BI28),"")</f>
        <v>38.7625</v>
      </c>
      <c r="T28" s="13" t="n">
        <f aca="false">IF(COUNT(EPA_Tasas_Trim!BJ28:BM28)=4,AVERAGE(EPA_Tasas_Trim!BJ28:BM28),"")</f>
        <v>36.945</v>
      </c>
      <c r="U28" s="13" t="n">
        <f aca="false">IF(COUNT(EPA_Tasas_Trim!BN28:BQ28)=4,AVERAGE(EPA_Tasas_Trim!BN28:BQ28),"")</f>
        <v>37.315</v>
      </c>
      <c r="V28" s="13" t="n">
        <f aca="false">IF(COUNT(EPA_Tasas_Trim!BR28:BU28)=4,AVERAGE(EPA_Tasas_Trim!BR28:BU28),"")</f>
        <v>36.945</v>
      </c>
      <c r="W28" s="13" t="n">
        <f aca="false">IF(COUNT(EPA_Tasas_Trim!BV28:BY28)=4,AVERAGE(EPA_Tasas_Trim!BV28:BY28),"")</f>
        <v>36.8525</v>
      </c>
      <c r="X28" s="13" t="n">
        <f aca="false">IF(COUNT(EPA_Tasas_Trim!BZ28:CC28)=4,AVERAGE(EPA_Tasas_Trim!BZ28:CC28),"")</f>
        <v>33.455</v>
      </c>
      <c r="Y28" s="13" t="n">
        <f aca="false">IF(COUNT(EPA_Tasas_Trim!CD28:CG28)=4,AVERAGE(EPA_Tasas_Trim!CD28:CG28),"")</f>
        <v>35.25</v>
      </c>
      <c r="Z28" s="13" t="n">
        <f aca="false">IF(COUNT(EPA_Tasas_Trim!CH28:CK28)=4,AVERAGE(EPA_Tasas_Trim!CH28:CK28),"")</f>
        <v>36.42</v>
      </c>
      <c r="AA28" s="13" t="n">
        <f aca="false">IF(COUNT(EPA_Tasas_Trim!CL28:CO28)=4,AVERAGE(EPA_Tasas_Trim!CL28:CO28),"")</f>
        <v>37.1225</v>
      </c>
      <c r="AB28" s="13" t="n">
        <f aca="false">IF(COUNT(EPA_Tasas_Trim!CP28:CS28)=4,AVERAGE(EPA_Tasas_Trim!CP28:CS28),"")</f>
        <v>37.605</v>
      </c>
      <c r="AC28" s="13" t="n">
        <f aca="false">IF(COUNT(EPA_Tasas_Trim!CT28:CW28)=4,AVERAGE(EPA_Tasas_Trim!CT28:CW28),"")</f>
        <v>37.62</v>
      </c>
    </row>
    <row r="29" customFormat="false" ht="15" hidden="false" customHeight="false" outlineLevel="0" collapsed="false">
      <c r="A29" s="12" t="s">
        <v>222</v>
      </c>
      <c r="B29" s="12" t="s">
        <v>65</v>
      </c>
      <c r="C29" s="12" t="s">
        <v>195</v>
      </c>
      <c r="D29" s="12" t="s">
        <v>200</v>
      </c>
      <c r="E29" s="12" t="s">
        <v>230</v>
      </c>
      <c r="F29" s="13" t="n">
        <f aca="false">IF(COUNT(EPA_Tasas_Trim!F29:I29)=4,AVERAGE(EPA_Tasas_Trim!F29:I29),"")</f>
        <v>55.74</v>
      </c>
      <c r="G29" s="13" t="n">
        <f aca="false">IF(COUNT(EPA_Tasas_Trim!J29:M29)=4,AVERAGE(EPA_Tasas_Trim!J29:M29),"")</f>
        <v>56.99</v>
      </c>
      <c r="H29" s="13" t="n">
        <f aca="false">IF(COUNT(EPA_Tasas_Trim!N29:Q29)=4,AVERAGE(EPA_Tasas_Trim!N29:Q29),"")</f>
        <v>57.8625</v>
      </c>
      <c r="I29" s="13" t="n">
        <f aca="false">IF(COUNT(EPA_Tasas_Trim!R29:U29)=4,AVERAGE(EPA_Tasas_Trim!R29:U29),"")</f>
        <v>58.61</v>
      </c>
      <c r="J29" s="13" t="n">
        <f aca="false">IF(COUNT(EPA_Tasas_Trim!V29:Y29)=4,AVERAGE(EPA_Tasas_Trim!V29:Y29),"")</f>
        <v>59.5</v>
      </c>
      <c r="K29" s="13" t="n">
        <f aca="false">IF(COUNT(EPA_Tasas_Trim!Z29:AC29)=4,AVERAGE(EPA_Tasas_Trim!Z29:AC29),"")</f>
        <v>60.2325</v>
      </c>
      <c r="L29" s="13" t="n">
        <f aca="false">IF(COUNT(EPA_Tasas_Trim!AD29:AG29)=4,AVERAGE(EPA_Tasas_Trim!AD29:AG29),"")</f>
        <v>61.13</v>
      </c>
      <c r="M29" s="13" t="n">
        <f aca="false">IF(COUNT(EPA_Tasas_Trim!AH29:AK29)=4,AVERAGE(EPA_Tasas_Trim!AH29:AK29),"")</f>
        <v>61.605</v>
      </c>
      <c r="N29" s="13" t="n">
        <f aca="false">IF(COUNT(EPA_Tasas_Trim!AL29:AO29)=4,AVERAGE(EPA_Tasas_Trim!AL29:AO29),"")</f>
        <v>62.0025</v>
      </c>
      <c r="O29" s="13" t="n">
        <f aca="false">IF(COUNT(EPA_Tasas_Trim!AP29:AS29)=4,AVERAGE(EPA_Tasas_Trim!AP29:AS29),"")</f>
        <v>62.2475</v>
      </c>
      <c r="P29" s="13" t="n">
        <f aca="false">IF(COUNT(EPA_Tasas_Trim!AT29:AW29)=4,AVERAGE(EPA_Tasas_Trim!AT29:AW29),"")</f>
        <v>62.5225</v>
      </c>
      <c r="Q29" s="13" t="n">
        <f aca="false">IF(COUNT(EPA_Tasas_Trim!AX29:BA29)=4,AVERAGE(EPA_Tasas_Trim!AX29:BA29),"")</f>
        <v>62.2025</v>
      </c>
      <c r="R29" s="13" t="n">
        <f aca="false">IF(COUNT(EPA_Tasas_Trim!BB29:BE29)=4,AVERAGE(EPA_Tasas_Trim!BB29:BE29),"")</f>
        <v>61.945</v>
      </c>
      <c r="S29" s="13" t="n">
        <f aca="false">IF(COUNT(EPA_Tasas_Trim!BF29:BI29)=4,AVERAGE(EPA_Tasas_Trim!BF29:BI29),"")</f>
        <v>61.9575</v>
      </c>
      <c r="T29" s="13" t="n">
        <f aca="false">IF(COUNT(EPA_Tasas_Trim!BJ29:BM29)=4,AVERAGE(EPA_Tasas_Trim!BJ29:BM29),"")</f>
        <v>61.8125</v>
      </c>
      <c r="U29" s="13" t="n">
        <f aca="false">IF(COUNT(EPA_Tasas_Trim!BN29:BQ29)=4,AVERAGE(EPA_Tasas_Trim!BN29:BQ29),"")</f>
        <v>61.33</v>
      </c>
      <c r="V29" s="13" t="n">
        <f aca="false">IF(COUNT(EPA_Tasas_Trim!BR29:BU29)=4,AVERAGE(EPA_Tasas_Trim!BR29:BU29),"")</f>
        <v>61.19</v>
      </c>
      <c r="W29" s="13" t="n">
        <f aca="false">IF(COUNT(EPA_Tasas_Trim!BV29:BY29)=4,AVERAGE(EPA_Tasas_Trim!BV29:BY29),"")</f>
        <v>61.23</v>
      </c>
      <c r="X29" s="13" t="n">
        <f aca="false">IF(COUNT(EPA_Tasas_Trim!BZ29:CC29)=4,AVERAGE(EPA_Tasas_Trim!BZ29:CC29),"")</f>
        <v>60.345</v>
      </c>
      <c r="Y29" s="13" t="n">
        <f aca="false">IF(COUNT(EPA_Tasas_Trim!CD29:CG29)=4,AVERAGE(EPA_Tasas_Trim!CD29:CG29),"")</f>
        <v>61.17</v>
      </c>
      <c r="Z29" s="13" t="n">
        <f aca="false">IF(COUNT(EPA_Tasas_Trim!CH29:CK29)=4,AVERAGE(EPA_Tasas_Trim!CH29:CK29),"")</f>
        <v>61.25</v>
      </c>
      <c r="AA29" s="13" t="n">
        <f aca="false">IF(COUNT(EPA_Tasas_Trim!CL29:CO29)=4,AVERAGE(EPA_Tasas_Trim!CL29:CO29),"")</f>
        <v>61.58</v>
      </c>
      <c r="AB29" s="13" t="n">
        <f aca="false">IF(COUNT(EPA_Tasas_Trim!CP29:CS29)=4,AVERAGE(EPA_Tasas_Trim!CP29:CS29),"")</f>
        <v>61.4875</v>
      </c>
      <c r="AC29" s="13" t="n">
        <f aca="false">IF(COUNT(EPA_Tasas_Trim!CT29:CW29)=4,AVERAGE(EPA_Tasas_Trim!CT29:CW29),"")</f>
        <v>61.7375</v>
      </c>
    </row>
    <row r="30" customFormat="false" ht="15" hidden="false" customHeight="false" outlineLevel="0" collapsed="false">
      <c r="A30" s="12" t="s">
        <v>222</v>
      </c>
      <c r="B30" s="12" t="s">
        <v>65</v>
      </c>
      <c r="C30" s="12" t="s">
        <v>195</v>
      </c>
      <c r="D30" s="12" t="s">
        <v>202</v>
      </c>
      <c r="E30" s="12" t="s">
        <v>231</v>
      </c>
      <c r="F30" s="13" t="n">
        <f aca="false">IF(COUNT(EPA_Tasas_Trim!F30:I30)=4,AVERAGE(EPA_Tasas_Trim!F30:I30),"")</f>
        <v>25.72</v>
      </c>
      <c r="G30" s="13" t="n">
        <f aca="false">IF(COUNT(EPA_Tasas_Trim!J30:M30)=4,AVERAGE(EPA_Tasas_Trim!J30:M30),"")</f>
        <v>25.59</v>
      </c>
      <c r="H30" s="13" t="n">
        <f aca="false">IF(COUNT(EPA_Tasas_Trim!N30:Q30)=4,AVERAGE(EPA_Tasas_Trim!N30:Q30),"")</f>
        <v>25.55</v>
      </c>
      <c r="I30" s="13" t="n">
        <f aca="false">IF(COUNT(EPA_Tasas_Trim!R30:U30)=4,AVERAGE(EPA_Tasas_Trim!R30:U30),"")</f>
        <v>29.0075</v>
      </c>
      <c r="J30" s="13" t="n">
        <f aca="false">IF(COUNT(EPA_Tasas_Trim!V30:Y30)=4,AVERAGE(EPA_Tasas_Trim!V30:Y30),"")</f>
        <v>29.2975</v>
      </c>
      <c r="K30" s="13" t="n">
        <f aca="false">IF(COUNT(EPA_Tasas_Trim!Z30:AC30)=4,AVERAGE(EPA_Tasas_Trim!Z30:AC30),"")</f>
        <v>29.88</v>
      </c>
      <c r="L30" s="13" t="n">
        <f aca="false">IF(COUNT(EPA_Tasas_Trim!AD30:AG30)=4,AVERAGE(EPA_Tasas_Trim!AD30:AG30),"")</f>
        <v>29.12</v>
      </c>
      <c r="M30" s="13" t="n">
        <f aca="false">IF(COUNT(EPA_Tasas_Trim!AH30:AK30)=4,AVERAGE(EPA_Tasas_Trim!AH30:AK30),"")</f>
        <v>24.6925</v>
      </c>
      <c r="N30" s="13" t="n">
        <f aca="false">IF(COUNT(EPA_Tasas_Trim!AL30:AO30)=4,AVERAGE(EPA_Tasas_Trim!AL30:AO30),"")</f>
        <v>21.495</v>
      </c>
      <c r="O30" s="13" t="n">
        <f aca="false">IF(COUNT(EPA_Tasas_Trim!AP30:AS30)=4,AVERAGE(EPA_Tasas_Trim!AP30:AS30),"")</f>
        <v>19.2925</v>
      </c>
      <c r="P30" s="13" t="n">
        <f aca="false">IF(COUNT(EPA_Tasas_Trim!AT30:AW30)=4,AVERAGE(EPA_Tasas_Trim!AT30:AW30),"")</f>
        <v>17.435</v>
      </c>
      <c r="Q30" s="13" t="n">
        <f aca="false">IF(COUNT(EPA_Tasas_Trim!AX30:BA30)=4,AVERAGE(EPA_Tasas_Trim!AX30:BA30),"")</f>
        <v>16.6025</v>
      </c>
      <c r="R30" s="13" t="n">
        <f aca="false">IF(COUNT(EPA_Tasas_Trim!BB30:BE30)=4,AVERAGE(EPA_Tasas_Trim!BB30:BE30),"")</f>
        <v>14.765</v>
      </c>
      <c r="S30" s="13" t="n">
        <f aca="false">IF(COUNT(EPA_Tasas_Trim!BF30:BI30)=4,AVERAGE(EPA_Tasas_Trim!BF30:BI30),"")</f>
        <v>14.885</v>
      </c>
      <c r="T30" s="13" t="n">
        <f aca="false">IF(COUNT(EPA_Tasas_Trim!BJ30:BM30)=4,AVERAGE(EPA_Tasas_Trim!BJ30:BM30),"")</f>
        <v>13.7275</v>
      </c>
      <c r="U30" s="13" t="n">
        <f aca="false">IF(COUNT(EPA_Tasas_Trim!BN30:BQ30)=4,AVERAGE(EPA_Tasas_Trim!BN30:BQ30),"")</f>
        <v>14.5775</v>
      </c>
      <c r="V30" s="13" t="n">
        <f aca="false">IF(COUNT(EPA_Tasas_Trim!BR30:BU30)=4,AVERAGE(EPA_Tasas_Trim!BR30:BU30),"")</f>
        <v>14.6275</v>
      </c>
      <c r="W30" s="13" t="n">
        <f aca="false">IF(COUNT(EPA_Tasas_Trim!BV30:BY30)=4,AVERAGE(EPA_Tasas_Trim!BV30:BY30),"")</f>
        <v>14.6475</v>
      </c>
      <c r="X30" s="13" t="n">
        <f aca="false">IF(COUNT(EPA_Tasas_Trim!BZ30:CC30)=4,AVERAGE(EPA_Tasas_Trim!BZ30:CC30),"")</f>
        <v>12.13</v>
      </c>
      <c r="Y30" s="13" t="n">
        <f aca="false">IF(COUNT(EPA_Tasas_Trim!CD30:CG30)=4,AVERAGE(EPA_Tasas_Trim!CD30:CG30),"")</f>
        <v>13.3775</v>
      </c>
      <c r="Z30" s="13" t="n">
        <f aca="false">IF(COUNT(EPA_Tasas_Trim!CH30:CK30)=4,AVERAGE(EPA_Tasas_Trim!CH30:CK30),"")</f>
        <v>14.5075</v>
      </c>
      <c r="AA30" s="13" t="n">
        <f aca="false">IF(COUNT(EPA_Tasas_Trim!CL30:CO30)=4,AVERAGE(EPA_Tasas_Trim!CL30:CO30),"")</f>
        <v>14.4825</v>
      </c>
      <c r="AB30" s="13" t="n">
        <f aca="false">IF(COUNT(EPA_Tasas_Trim!CP30:CS30)=4,AVERAGE(EPA_Tasas_Trim!CP30:CS30),"")</f>
        <v>15.3675</v>
      </c>
      <c r="AC30" s="13" t="n">
        <f aca="false">IF(COUNT(EPA_Tasas_Trim!CT30:CW30)=4,AVERAGE(EPA_Tasas_Trim!CT30:CW30),"")</f>
        <v>14.055</v>
      </c>
    </row>
    <row r="31" customFormat="false" ht="15" hidden="false" customHeight="false" outlineLevel="0" collapsed="false">
      <c r="A31" s="12" t="s">
        <v>222</v>
      </c>
      <c r="B31" s="12" t="s">
        <v>65</v>
      </c>
      <c r="C31" s="12" t="s">
        <v>195</v>
      </c>
      <c r="D31" s="12" t="s">
        <v>204</v>
      </c>
      <c r="E31" s="12" t="s">
        <v>232</v>
      </c>
      <c r="F31" s="13" t="str">
        <f aca="false">IF(COUNT(EPA_Tasas_Trim!F31:I31)=4,AVERAGE(EPA_Tasas_Trim!F31:I31),"")</f>
        <v/>
      </c>
      <c r="G31" s="13" t="str">
        <f aca="false">IF(COUNT(EPA_Tasas_Trim!J31:M31)=4,AVERAGE(EPA_Tasas_Trim!J31:M31),"")</f>
        <v/>
      </c>
      <c r="H31" s="13" t="str">
        <f aca="false">IF(COUNT(EPA_Tasas_Trim!N31:Q31)=4,AVERAGE(EPA_Tasas_Trim!N31:Q31),"")</f>
        <v/>
      </c>
      <c r="I31" s="13" t="str">
        <f aca="false">IF(COUNT(EPA_Tasas_Trim!R31:U31)=4,AVERAGE(EPA_Tasas_Trim!R31:U31),"")</f>
        <v/>
      </c>
      <c r="J31" s="13" t="str">
        <f aca="false">IF(COUNT(EPA_Tasas_Trim!V31:Y31)=4,AVERAGE(EPA_Tasas_Trim!V31:Y31),"")</f>
        <v/>
      </c>
      <c r="K31" s="13" t="str">
        <f aca="false">IF(COUNT(EPA_Tasas_Trim!Z31:AC31)=4,AVERAGE(EPA_Tasas_Trim!Z31:AC31),"")</f>
        <v/>
      </c>
      <c r="L31" s="13" t="str">
        <f aca="false">IF(COUNT(EPA_Tasas_Trim!AD31:AG31)=4,AVERAGE(EPA_Tasas_Trim!AD31:AG31),"")</f>
        <v/>
      </c>
      <c r="M31" s="13" t="n">
        <f aca="false">IF(COUNT(EPA_Tasas_Trim!AH31:AK31)=4,AVERAGE(EPA_Tasas_Trim!AH31:AK31),"")</f>
        <v>66.495</v>
      </c>
      <c r="N31" s="13" t="n">
        <f aca="false">IF(COUNT(EPA_Tasas_Trim!AL31:AO31)=4,AVERAGE(EPA_Tasas_Trim!AL31:AO31),"")</f>
        <v>64.655</v>
      </c>
      <c r="O31" s="13" t="n">
        <f aca="false">IF(COUNT(EPA_Tasas_Trim!AP31:AS31)=4,AVERAGE(EPA_Tasas_Trim!AP31:AS31),"")</f>
        <v>63.155</v>
      </c>
      <c r="P31" s="13" t="n">
        <f aca="false">IF(COUNT(EPA_Tasas_Trim!AT31:AW31)=4,AVERAGE(EPA_Tasas_Trim!AT31:AW31),"")</f>
        <v>61.18</v>
      </c>
      <c r="Q31" s="13" t="n">
        <f aca="false">IF(COUNT(EPA_Tasas_Trim!AX31:BA31)=4,AVERAGE(EPA_Tasas_Trim!AX31:BA31),"")</f>
        <v>59.765</v>
      </c>
      <c r="R31" s="13" t="n">
        <f aca="false">IF(COUNT(EPA_Tasas_Trim!BB31:BE31)=4,AVERAGE(EPA_Tasas_Trim!BB31:BE31),"")</f>
        <v>57.81</v>
      </c>
      <c r="S31" s="13" t="n">
        <f aca="false">IF(COUNT(EPA_Tasas_Trim!BF31:BI31)=4,AVERAGE(EPA_Tasas_Trim!BF31:BI31),"")</f>
        <v>56.7225</v>
      </c>
      <c r="T31" s="13" t="n">
        <f aca="false">IF(COUNT(EPA_Tasas_Trim!BJ31:BM31)=4,AVERAGE(EPA_Tasas_Trim!BJ31:BM31),"")</f>
        <v>54.94</v>
      </c>
      <c r="U31" s="13" t="n">
        <f aca="false">IF(COUNT(EPA_Tasas_Trim!BN31:BQ31)=4,AVERAGE(EPA_Tasas_Trim!BN31:BQ31),"")</f>
        <v>55.395</v>
      </c>
      <c r="V31" s="13" t="n">
        <f aca="false">IF(COUNT(EPA_Tasas_Trim!BR31:BU31)=4,AVERAGE(EPA_Tasas_Trim!BR31:BU31),"")</f>
        <v>54.965</v>
      </c>
      <c r="W31" s="13" t="n">
        <f aca="false">IF(COUNT(EPA_Tasas_Trim!BV31:BY31)=4,AVERAGE(EPA_Tasas_Trim!BV31:BY31),"")</f>
        <v>54.945</v>
      </c>
      <c r="X31" s="13" t="n">
        <f aca="false">IF(COUNT(EPA_Tasas_Trim!BZ31:CC31)=4,AVERAGE(EPA_Tasas_Trim!BZ31:CC31),"")</f>
        <v>50.82</v>
      </c>
      <c r="Y31" s="13" t="n">
        <f aca="false">IF(COUNT(EPA_Tasas_Trim!CD31:CG31)=4,AVERAGE(EPA_Tasas_Trim!CD31:CG31),"")</f>
        <v>52.9475</v>
      </c>
      <c r="Z31" s="13" t="n">
        <f aca="false">IF(COUNT(EPA_Tasas_Trim!CH31:CK31)=4,AVERAGE(EPA_Tasas_Trim!CH31:CK31),"")</f>
        <v>54.2375</v>
      </c>
      <c r="AA31" s="13" t="n">
        <f aca="false">IF(COUNT(EPA_Tasas_Trim!CL31:CO31)=4,AVERAGE(EPA_Tasas_Trim!CL31:CO31),"")</f>
        <v>55.2425</v>
      </c>
      <c r="AB31" s="13" t="n">
        <f aca="false">IF(COUNT(EPA_Tasas_Trim!CP31:CS31)=4,AVERAGE(EPA_Tasas_Trim!CP31:CS31),"")</f>
        <v>55.57</v>
      </c>
      <c r="AC31" s="13" t="n">
        <f aca="false">IF(COUNT(EPA_Tasas_Trim!CT31:CW31)=4,AVERAGE(EPA_Tasas_Trim!CT31:CW31),"")</f>
        <v>56.28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4" t="s">
        <v>92</v>
      </c>
      <c r="B1" s="4" t="s">
        <v>95</v>
      </c>
      <c r="C1" s="4" t="s">
        <v>93</v>
      </c>
      <c r="D1" s="4" t="s">
        <v>94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80</v>
      </c>
    </row>
    <row r="2" customFormat="false" ht="15" hidden="false" customHeight="false" outlineLevel="0" collapsed="false">
      <c r="A2" s="12" t="s">
        <v>65</v>
      </c>
      <c r="B2" s="12" t="s">
        <v>256</v>
      </c>
      <c r="C2" s="12" t="s">
        <v>195</v>
      </c>
      <c r="D2" s="12" t="s">
        <v>257</v>
      </c>
      <c r="E2" s="19" t="n">
        <v>8.45</v>
      </c>
      <c r="F2" s="19" t="n">
        <v>8.23</v>
      </c>
      <c r="G2" s="19" t="n">
        <v>11.25</v>
      </c>
      <c r="H2" s="19" t="n">
        <v>17.86</v>
      </c>
      <c r="I2" s="19" t="n">
        <v>19.86</v>
      </c>
      <c r="J2" s="19" t="n">
        <v>21.39</v>
      </c>
      <c r="K2" s="19" t="n">
        <v>24.79</v>
      </c>
      <c r="L2" s="19" t="n">
        <v>26.09</v>
      </c>
      <c r="M2" s="19" t="n">
        <v>24.44</v>
      </c>
      <c r="N2" s="19" t="n">
        <v>22.06</v>
      </c>
      <c r="O2" s="19" t="n">
        <v>19.63</v>
      </c>
      <c r="P2" s="19" t="n">
        <v>17.22</v>
      </c>
      <c r="Q2" s="19" t="n">
        <v>15.25</v>
      </c>
      <c r="R2" s="19" t="n">
        <v>14.1</v>
      </c>
      <c r="S2" s="19" t="n">
        <v>15.53</v>
      </c>
      <c r="T2" s="19" t="n">
        <v>14.91</v>
      </c>
      <c r="U2" s="19" t="n">
        <v>13.03</v>
      </c>
      <c r="V2" s="19" t="n">
        <v>12.18</v>
      </c>
      <c r="W2" s="19" t="n">
        <v>11.34</v>
      </c>
      <c r="X2" s="19" t="n">
        <v>10.5</v>
      </c>
    </row>
    <row r="3" customFormat="false" ht="15" hidden="false" customHeight="false" outlineLevel="0" collapsed="false">
      <c r="A3" s="12" t="s">
        <v>65</v>
      </c>
      <c r="B3" s="12" t="s">
        <v>258</v>
      </c>
      <c r="C3" s="12" t="s">
        <v>195</v>
      </c>
      <c r="D3" s="12" t="s">
        <v>259</v>
      </c>
      <c r="E3" s="19" t="n">
        <v>17.89</v>
      </c>
      <c r="F3" s="19" t="n">
        <v>18.09</v>
      </c>
      <c r="G3" s="19" t="n">
        <v>24.45</v>
      </c>
      <c r="H3" s="19" t="n">
        <v>37.73</v>
      </c>
      <c r="I3" s="19" t="n">
        <v>41.48</v>
      </c>
      <c r="J3" s="19" t="n">
        <v>46.19</v>
      </c>
      <c r="K3" s="19" t="n">
        <v>52.86</v>
      </c>
      <c r="L3" s="19" t="n">
        <v>55.48</v>
      </c>
      <c r="M3" s="19" t="n">
        <v>53.2</v>
      </c>
      <c r="N3" s="19" t="n">
        <v>48.33</v>
      </c>
      <c r="O3" s="19" t="n">
        <v>44.44</v>
      </c>
      <c r="P3" s="19" t="n">
        <v>38.57</v>
      </c>
      <c r="Q3" s="19" t="n">
        <v>34.34</v>
      </c>
      <c r="R3" s="19" t="n">
        <v>32.53</v>
      </c>
      <c r="S3" s="19" t="n">
        <v>38.26</v>
      </c>
      <c r="T3" s="19" t="n">
        <v>35</v>
      </c>
      <c r="U3" s="19" t="n">
        <v>29.67</v>
      </c>
      <c r="V3" s="19" t="n">
        <v>28.67</v>
      </c>
      <c r="W3" s="19" t="n">
        <v>26.52</v>
      </c>
      <c r="X3" s="19" t="n">
        <v>24.87</v>
      </c>
    </row>
    <row r="4" customFormat="false" ht="15" hidden="false" customHeight="false" outlineLevel="0" collapsed="false">
      <c r="A4" s="12" t="s">
        <v>65</v>
      </c>
      <c r="B4" s="12" t="s">
        <v>260</v>
      </c>
      <c r="C4" s="12" t="s">
        <v>195</v>
      </c>
      <c r="D4" s="12" t="s">
        <v>200</v>
      </c>
      <c r="E4" s="19" t="n">
        <v>7.24</v>
      </c>
      <c r="F4" s="19" t="n">
        <v>7.02</v>
      </c>
      <c r="G4" s="19" t="n">
        <v>9.7</v>
      </c>
      <c r="H4" s="19" t="n">
        <v>15.74</v>
      </c>
      <c r="I4" s="19" t="n">
        <v>17.76</v>
      </c>
      <c r="J4" s="19" t="n">
        <v>19.16</v>
      </c>
      <c r="K4" s="19" t="n">
        <v>22.44</v>
      </c>
      <c r="L4" s="19" t="n">
        <v>23.75</v>
      </c>
      <c r="M4" s="19" t="n">
        <v>22.29</v>
      </c>
      <c r="N4" s="19" t="n">
        <v>20.15</v>
      </c>
      <c r="O4" s="19" t="n">
        <v>17.92</v>
      </c>
      <c r="P4" s="19" t="n">
        <v>15.72</v>
      </c>
      <c r="Q4" s="19" t="n">
        <v>13.9</v>
      </c>
      <c r="R4" s="19" t="n">
        <v>12.78</v>
      </c>
      <c r="S4" s="19" t="n">
        <v>14</v>
      </c>
      <c r="T4" s="19" t="n">
        <v>13.52</v>
      </c>
      <c r="U4" s="19" t="n">
        <v>11.82</v>
      </c>
      <c r="V4" s="19" t="n">
        <v>10.93</v>
      </c>
      <c r="W4" s="19" t="n">
        <v>10.15</v>
      </c>
      <c r="X4" s="19" t="n">
        <v>9.37</v>
      </c>
    </row>
    <row r="5" customFormat="false" ht="15" hidden="false" customHeight="false" outlineLevel="0" collapsed="false">
      <c r="A5" s="12" t="s">
        <v>65</v>
      </c>
      <c r="B5" s="12" t="s">
        <v>261</v>
      </c>
      <c r="C5" s="12" t="s">
        <v>195</v>
      </c>
      <c r="D5" s="12" t="s">
        <v>202</v>
      </c>
      <c r="E5" s="19" t="n">
        <v>29.11</v>
      </c>
      <c r="F5" s="19" t="n">
        <v>28.72</v>
      </c>
      <c r="G5" s="19" t="n">
        <v>39.38</v>
      </c>
      <c r="H5" s="19" t="n">
        <v>55.23</v>
      </c>
      <c r="I5" s="19" t="n">
        <v>61.26</v>
      </c>
      <c r="J5" s="19" t="n">
        <v>64.02</v>
      </c>
      <c r="K5" s="19" t="n">
        <v>72.55</v>
      </c>
      <c r="L5" s="19" t="n">
        <v>73.98</v>
      </c>
      <c r="M5" s="19" t="n">
        <v>68.56</v>
      </c>
      <c r="N5" s="19" t="n">
        <v>67.27</v>
      </c>
      <c r="O5" s="19" t="n">
        <v>60.01</v>
      </c>
      <c r="P5" s="19" t="n">
        <v>54.54</v>
      </c>
      <c r="Q5" s="19" t="n">
        <v>49.74</v>
      </c>
      <c r="R5" s="19" t="n">
        <v>45.23</v>
      </c>
      <c r="S5" s="19" t="n">
        <v>54.33</v>
      </c>
      <c r="T5" s="19" t="n">
        <v>50.85</v>
      </c>
      <c r="U5" s="19" t="n">
        <v>44.97</v>
      </c>
      <c r="V5" s="19" t="n">
        <v>43.1</v>
      </c>
      <c r="W5" s="19" t="n">
        <v>40.64</v>
      </c>
      <c r="X5" s="19" t="n">
        <v>37.2</v>
      </c>
    </row>
    <row r="6" customFormat="false" ht="15" hidden="false" customHeight="false" outlineLevel="0" collapsed="false">
      <c r="A6" s="12" t="s">
        <v>65</v>
      </c>
      <c r="B6" s="12" t="s">
        <v>262</v>
      </c>
      <c r="C6" s="12" t="s">
        <v>195</v>
      </c>
      <c r="D6" s="12" t="s">
        <v>204</v>
      </c>
      <c r="E6" s="19" t="n">
        <v>14.74</v>
      </c>
      <c r="F6" s="19" t="n">
        <v>14.97</v>
      </c>
      <c r="G6" s="19" t="n">
        <v>20.16</v>
      </c>
      <c r="H6" s="19" t="n">
        <v>33.26</v>
      </c>
      <c r="I6" s="19" t="n">
        <v>36.87</v>
      </c>
      <c r="J6" s="19" t="n">
        <v>42.33</v>
      </c>
      <c r="K6" s="19" t="n">
        <v>48.85</v>
      </c>
      <c r="L6" s="19" t="n">
        <v>51.78</v>
      </c>
      <c r="M6" s="19" t="n">
        <v>50.32</v>
      </c>
      <c r="N6" s="19" t="n">
        <v>44.59</v>
      </c>
      <c r="O6" s="19" t="n">
        <v>41.42</v>
      </c>
      <c r="P6" s="19" t="n">
        <v>35.22</v>
      </c>
      <c r="Q6" s="19" t="n">
        <v>31.03</v>
      </c>
      <c r="R6" s="19" t="n">
        <v>29.77</v>
      </c>
      <c r="S6" s="19" t="n">
        <v>35.14</v>
      </c>
      <c r="T6" s="19" t="n">
        <v>31.76</v>
      </c>
      <c r="U6" s="19" t="n">
        <v>26.34</v>
      </c>
      <c r="V6" s="19" t="n">
        <v>25.64</v>
      </c>
      <c r="W6" s="19" t="n">
        <v>23.36</v>
      </c>
      <c r="X6" s="19" t="n">
        <v>22.43</v>
      </c>
    </row>
    <row r="7" customFormat="false" ht="15" hidden="false" customHeight="false" outlineLevel="0" collapsed="false">
      <c r="A7" s="12" t="s">
        <v>65</v>
      </c>
      <c r="B7" s="12" t="s">
        <v>263</v>
      </c>
      <c r="C7" s="12" t="s">
        <v>195</v>
      </c>
      <c r="D7" s="12" t="s">
        <v>264</v>
      </c>
      <c r="E7" s="19" t="n">
        <v>7.47</v>
      </c>
      <c r="F7" s="19" t="n">
        <v>7.2</v>
      </c>
      <c r="G7" s="19" t="n">
        <v>10.07</v>
      </c>
      <c r="H7" s="19" t="n">
        <v>16.34</v>
      </c>
      <c r="I7" s="19" t="n">
        <v>18.37</v>
      </c>
      <c r="J7" s="19" t="n">
        <v>19.88</v>
      </c>
      <c r="K7" s="19" t="n">
        <v>23.26</v>
      </c>
      <c r="L7" s="19" t="n">
        <v>24.46</v>
      </c>
      <c r="M7" s="19" t="n">
        <v>22.8</v>
      </c>
      <c r="N7" s="19" t="n">
        <v>20.56</v>
      </c>
      <c r="O7" s="19" t="n">
        <v>18.21</v>
      </c>
      <c r="P7" s="19" t="n">
        <v>15.92</v>
      </c>
      <c r="Q7" s="19" t="n">
        <v>14.04</v>
      </c>
      <c r="R7" s="19" t="n">
        <v>12.91</v>
      </c>
      <c r="S7" s="19" t="n">
        <v>14.48</v>
      </c>
      <c r="T7" s="19" t="n">
        <v>13.69</v>
      </c>
      <c r="U7" s="19" t="n">
        <v>11.93</v>
      </c>
      <c r="V7" s="19" t="n">
        <v>10.9</v>
      </c>
      <c r="W7" s="19" t="n">
        <v>10.12</v>
      </c>
      <c r="X7" s="19" t="n">
        <v>9.27</v>
      </c>
    </row>
    <row r="8" customFormat="false" ht="15" hidden="false" customHeight="false" outlineLevel="0" collapsed="false">
      <c r="A8" s="12" t="s">
        <v>65</v>
      </c>
      <c r="B8" s="12" t="s">
        <v>265</v>
      </c>
      <c r="C8" s="12" t="s">
        <v>195</v>
      </c>
      <c r="D8" s="12" t="s">
        <v>266</v>
      </c>
      <c r="E8" s="19" t="n">
        <v>5.5</v>
      </c>
      <c r="F8" s="19" t="n">
        <v>5.7</v>
      </c>
      <c r="G8" s="19" t="n">
        <v>7.06</v>
      </c>
      <c r="H8" s="19" t="n">
        <v>11.53</v>
      </c>
      <c r="I8" s="19" t="n">
        <v>13.54</v>
      </c>
      <c r="J8" s="19" t="n">
        <v>14.39</v>
      </c>
      <c r="K8" s="19" t="n">
        <v>17.25</v>
      </c>
      <c r="L8" s="19" t="n">
        <v>19.36</v>
      </c>
      <c r="M8" s="19" t="n">
        <v>19.31</v>
      </c>
      <c r="N8" s="19" t="n">
        <v>17.92</v>
      </c>
      <c r="O8" s="19" t="n">
        <v>16.43</v>
      </c>
      <c r="P8" s="19" t="n">
        <v>14.76</v>
      </c>
      <c r="Q8" s="19" t="n">
        <v>13.28</v>
      </c>
      <c r="R8" s="19" t="n">
        <v>12.24</v>
      </c>
      <c r="S8" s="19" t="n">
        <v>12.06</v>
      </c>
      <c r="T8" s="19" t="n">
        <v>12.86</v>
      </c>
      <c r="U8" s="19" t="n">
        <v>11.38</v>
      </c>
      <c r="V8" s="19" t="n">
        <v>11.05</v>
      </c>
      <c r="W8" s="19" t="n">
        <v>10.24</v>
      </c>
      <c r="X8" s="19" t="n">
        <v>9.67</v>
      </c>
    </row>
    <row r="9" customFormat="false" ht="15" hidden="false" customHeight="false" outlineLevel="0" collapsed="false">
      <c r="A9" s="12" t="s">
        <v>65</v>
      </c>
      <c r="B9" s="12" t="s">
        <v>267</v>
      </c>
      <c r="C9" s="12" t="s">
        <v>268</v>
      </c>
      <c r="D9" s="12" t="s">
        <v>257</v>
      </c>
      <c r="E9" s="19" t="n">
        <v>6.35</v>
      </c>
      <c r="F9" s="19" t="n">
        <v>6.41</v>
      </c>
      <c r="G9" s="19" t="n">
        <v>10.05</v>
      </c>
      <c r="H9" s="19" t="n">
        <v>17.64</v>
      </c>
      <c r="I9" s="19" t="n">
        <v>19.57</v>
      </c>
      <c r="J9" s="19" t="n">
        <v>21.04</v>
      </c>
      <c r="K9" s="19" t="n">
        <v>24.58</v>
      </c>
      <c r="L9" s="19" t="n">
        <v>25.6</v>
      </c>
      <c r="M9" s="19" t="n">
        <v>23.6</v>
      </c>
      <c r="N9" s="19" t="n">
        <v>20.77</v>
      </c>
      <c r="O9" s="19" t="n">
        <v>18.12</v>
      </c>
      <c r="P9" s="19" t="n">
        <v>15.66</v>
      </c>
      <c r="Q9" s="19" t="n">
        <v>13.72</v>
      </c>
      <c r="R9" s="19" t="n">
        <v>12.45</v>
      </c>
      <c r="S9" s="19" t="n">
        <v>13.87</v>
      </c>
      <c r="T9" s="19" t="n">
        <v>13.22</v>
      </c>
      <c r="U9" s="19" t="n">
        <v>11.39</v>
      </c>
      <c r="V9" s="19" t="n">
        <v>10.66</v>
      </c>
      <c r="W9" s="19" t="n">
        <v>10.15</v>
      </c>
      <c r="X9" s="19" t="n">
        <v>9.26</v>
      </c>
    </row>
    <row r="10" customFormat="false" ht="15" hidden="false" customHeight="false" outlineLevel="0" collapsed="false">
      <c r="A10" s="12" t="s">
        <v>65</v>
      </c>
      <c r="B10" s="12" t="s">
        <v>269</v>
      </c>
      <c r="C10" s="12" t="s">
        <v>268</v>
      </c>
      <c r="D10" s="12" t="s">
        <v>259</v>
      </c>
      <c r="E10" s="19" t="n">
        <v>14.99</v>
      </c>
      <c r="F10" s="19" t="n">
        <v>15.22</v>
      </c>
      <c r="G10" s="19" t="n">
        <v>23.59</v>
      </c>
      <c r="H10" s="19" t="n">
        <v>39.06</v>
      </c>
      <c r="I10" s="19" t="n">
        <v>43.08</v>
      </c>
      <c r="J10" s="19" t="n">
        <v>48.15</v>
      </c>
      <c r="K10" s="19" t="n">
        <v>54.12</v>
      </c>
      <c r="L10" s="19" t="n">
        <v>56.22</v>
      </c>
      <c r="M10" s="19" t="n">
        <v>53.43</v>
      </c>
      <c r="N10" s="19" t="n">
        <v>48.65</v>
      </c>
      <c r="O10" s="19" t="n">
        <v>44.04</v>
      </c>
      <c r="P10" s="19" t="n">
        <v>39.55</v>
      </c>
      <c r="Q10" s="19" t="n">
        <v>35.25</v>
      </c>
      <c r="R10" s="19" t="n">
        <v>30.92</v>
      </c>
      <c r="S10" s="19" t="n">
        <v>37.09</v>
      </c>
      <c r="T10" s="19" t="n">
        <v>34.01</v>
      </c>
      <c r="U10" s="19" t="n">
        <v>28.65</v>
      </c>
      <c r="V10" s="19" t="n">
        <v>28.82</v>
      </c>
      <c r="W10" s="19" t="n">
        <v>26.04</v>
      </c>
      <c r="X10" s="19" t="n">
        <v>24.05</v>
      </c>
    </row>
    <row r="11" customFormat="false" ht="15" hidden="false" customHeight="false" outlineLevel="0" collapsed="false">
      <c r="A11" s="12" t="s">
        <v>65</v>
      </c>
      <c r="B11" s="12" t="s">
        <v>270</v>
      </c>
      <c r="C11" s="12" t="s">
        <v>268</v>
      </c>
      <c r="D11" s="12" t="s">
        <v>200</v>
      </c>
      <c r="E11" s="19" t="n">
        <v>5.29</v>
      </c>
      <c r="F11" s="19" t="n">
        <v>5.36</v>
      </c>
      <c r="G11" s="19" t="n">
        <v>8.51</v>
      </c>
      <c r="H11" s="19" t="n">
        <v>15.42</v>
      </c>
      <c r="I11" s="19" t="n">
        <v>17.35</v>
      </c>
      <c r="J11" s="19" t="n">
        <v>18.7</v>
      </c>
      <c r="K11" s="19" t="n">
        <v>22.18</v>
      </c>
      <c r="L11" s="19" t="n">
        <v>23.18</v>
      </c>
      <c r="M11" s="19" t="n">
        <v>21.38</v>
      </c>
      <c r="N11" s="19" t="n">
        <v>18.76</v>
      </c>
      <c r="O11" s="19" t="n">
        <v>16.31</v>
      </c>
      <c r="P11" s="19" t="n">
        <v>13.96</v>
      </c>
      <c r="Q11" s="19" t="n">
        <v>12.17</v>
      </c>
      <c r="R11" s="19" t="n">
        <v>11.09</v>
      </c>
      <c r="S11" s="19" t="n">
        <v>12.24</v>
      </c>
      <c r="T11" s="19" t="n">
        <v>11.74</v>
      </c>
      <c r="U11" s="19" t="n">
        <v>10.1</v>
      </c>
      <c r="V11" s="19" t="n">
        <v>9.24</v>
      </c>
      <c r="W11" s="19" t="n">
        <v>8.84</v>
      </c>
      <c r="X11" s="19" t="n">
        <v>8.05</v>
      </c>
    </row>
    <row r="12" customFormat="false" ht="15" hidden="false" customHeight="false" outlineLevel="0" collapsed="false">
      <c r="A12" s="12" t="s">
        <v>65</v>
      </c>
      <c r="B12" s="12" t="s">
        <v>271</v>
      </c>
      <c r="C12" s="12" t="s">
        <v>268</v>
      </c>
      <c r="D12" s="12" t="s">
        <v>202</v>
      </c>
      <c r="E12" s="19" t="n">
        <v>23.83</v>
      </c>
      <c r="F12" s="19" t="n">
        <v>23.94</v>
      </c>
      <c r="G12" s="19" t="n">
        <v>35.77</v>
      </c>
      <c r="H12" s="19" t="n">
        <v>54.76</v>
      </c>
      <c r="I12" s="19" t="n">
        <v>60.12</v>
      </c>
      <c r="J12" s="19" t="n">
        <v>64.41</v>
      </c>
      <c r="K12" s="19" t="n">
        <v>72.03</v>
      </c>
      <c r="L12" s="19" t="n">
        <v>72.29</v>
      </c>
      <c r="M12" s="19" t="n">
        <v>65.75</v>
      </c>
      <c r="N12" s="19" t="n">
        <v>64.72</v>
      </c>
      <c r="O12" s="19" t="n">
        <v>58.81</v>
      </c>
      <c r="P12" s="19" t="n">
        <v>54.14</v>
      </c>
      <c r="Q12" s="19" t="n">
        <v>49.72</v>
      </c>
      <c r="R12" s="19" t="n">
        <v>42.82</v>
      </c>
      <c r="S12" s="19" t="n">
        <v>50.11</v>
      </c>
      <c r="T12" s="19" t="n">
        <v>49.64</v>
      </c>
      <c r="U12" s="19" t="n">
        <v>45.36</v>
      </c>
      <c r="V12" s="19" t="n">
        <v>43.32</v>
      </c>
      <c r="W12" s="19" t="n">
        <v>37.94</v>
      </c>
      <c r="X12" s="19" t="n">
        <v>35.62</v>
      </c>
    </row>
    <row r="13" customFormat="false" ht="15" hidden="false" customHeight="false" outlineLevel="0" collapsed="false">
      <c r="A13" s="12" t="s">
        <v>65</v>
      </c>
      <c r="B13" s="12" t="s">
        <v>272</v>
      </c>
      <c r="C13" s="12" t="s">
        <v>268</v>
      </c>
      <c r="D13" s="12" t="s">
        <v>204</v>
      </c>
      <c r="E13" s="19" t="n">
        <v>12.31</v>
      </c>
      <c r="F13" s="19" t="n">
        <v>12.41</v>
      </c>
      <c r="G13" s="19" t="n">
        <v>19.84</v>
      </c>
      <c r="H13" s="19" t="n">
        <v>34.54</v>
      </c>
      <c r="I13" s="19" t="n">
        <v>38.67</v>
      </c>
      <c r="J13" s="19" t="n">
        <v>44.29</v>
      </c>
      <c r="K13" s="19" t="n">
        <v>50.21</v>
      </c>
      <c r="L13" s="19" t="n">
        <v>52.71</v>
      </c>
      <c r="M13" s="19" t="n">
        <v>50.97</v>
      </c>
      <c r="N13" s="19" t="n">
        <v>45.19</v>
      </c>
      <c r="O13" s="19" t="n">
        <v>40.94</v>
      </c>
      <c r="P13" s="19" t="n">
        <v>36.16</v>
      </c>
      <c r="Q13" s="19" t="n">
        <v>31.97</v>
      </c>
      <c r="R13" s="19" t="n">
        <v>28.18</v>
      </c>
      <c r="S13" s="19" t="n">
        <v>34.23</v>
      </c>
      <c r="T13" s="19" t="n">
        <v>30.67</v>
      </c>
      <c r="U13" s="19" t="n">
        <v>24.9</v>
      </c>
      <c r="V13" s="19" t="n">
        <v>25.62</v>
      </c>
      <c r="W13" s="19" t="n">
        <v>23.22</v>
      </c>
      <c r="X13" s="19" t="n">
        <v>21.68</v>
      </c>
    </row>
    <row r="14" customFormat="false" ht="15" hidden="false" customHeight="false" outlineLevel="0" collapsed="false">
      <c r="A14" s="12" t="s">
        <v>65</v>
      </c>
      <c r="B14" s="12" t="s">
        <v>273</v>
      </c>
      <c r="C14" s="12" t="s">
        <v>268</v>
      </c>
      <c r="D14" s="12" t="s">
        <v>264</v>
      </c>
      <c r="E14" s="19" t="n">
        <v>5.38</v>
      </c>
      <c r="F14" s="19" t="n">
        <v>5.45</v>
      </c>
      <c r="G14" s="19" t="n">
        <v>8.9</v>
      </c>
      <c r="H14" s="19" t="n">
        <v>16.15</v>
      </c>
      <c r="I14" s="19" t="n">
        <v>17.92</v>
      </c>
      <c r="J14" s="19" t="n">
        <v>19.36</v>
      </c>
      <c r="K14" s="19" t="n">
        <v>23.01</v>
      </c>
      <c r="L14" s="19" t="n">
        <v>23.81</v>
      </c>
      <c r="M14" s="19" t="n">
        <v>21.7</v>
      </c>
      <c r="N14" s="19" t="n">
        <v>18.94</v>
      </c>
      <c r="O14" s="19" t="n">
        <v>16.34</v>
      </c>
      <c r="P14" s="19" t="n">
        <v>13.89</v>
      </c>
      <c r="Q14" s="19" t="n">
        <v>12.15</v>
      </c>
      <c r="R14" s="19" t="n">
        <v>11.05</v>
      </c>
      <c r="S14" s="19" t="n">
        <v>12.56</v>
      </c>
      <c r="T14" s="19" t="n">
        <v>11.87</v>
      </c>
      <c r="U14" s="19" t="n">
        <v>10.12</v>
      </c>
      <c r="V14" s="19" t="n">
        <v>9.18</v>
      </c>
      <c r="W14" s="19" t="n">
        <v>8.85</v>
      </c>
      <c r="X14" s="19" t="n">
        <v>8.01</v>
      </c>
    </row>
    <row r="15" customFormat="false" ht="15" hidden="false" customHeight="false" outlineLevel="0" collapsed="false">
      <c r="A15" s="12" t="s">
        <v>65</v>
      </c>
      <c r="B15" s="12" t="s">
        <v>274</v>
      </c>
      <c r="C15" s="12" t="s">
        <v>268</v>
      </c>
      <c r="D15" s="12" t="s">
        <v>266</v>
      </c>
      <c r="E15" s="19" t="n">
        <v>4.72</v>
      </c>
      <c r="F15" s="19" t="n">
        <v>4.76</v>
      </c>
      <c r="G15" s="19" t="n">
        <v>6.15</v>
      </c>
      <c r="H15" s="19" t="n">
        <v>10.87</v>
      </c>
      <c r="I15" s="19" t="n">
        <v>13.82</v>
      </c>
      <c r="J15" s="19" t="n">
        <v>14.67</v>
      </c>
      <c r="K15" s="19" t="n">
        <v>17.34</v>
      </c>
      <c r="L15" s="19" t="n">
        <v>19.59</v>
      </c>
      <c r="M15" s="19" t="n">
        <v>19.67</v>
      </c>
      <c r="N15" s="19" t="n">
        <v>17.83</v>
      </c>
      <c r="O15" s="19" t="n">
        <v>16.2</v>
      </c>
      <c r="P15" s="19" t="n">
        <v>14.26</v>
      </c>
      <c r="Q15" s="19" t="n">
        <v>12.26</v>
      </c>
      <c r="R15" s="19" t="n">
        <v>11.26</v>
      </c>
      <c r="S15" s="19" t="n">
        <v>11</v>
      </c>
      <c r="T15" s="19" t="n">
        <v>11.26</v>
      </c>
      <c r="U15" s="19" t="n">
        <v>9.99</v>
      </c>
      <c r="V15" s="19" t="n">
        <v>9.46</v>
      </c>
      <c r="W15" s="19" t="n">
        <v>8.8</v>
      </c>
      <c r="X15" s="19" t="n">
        <v>8.2</v>
      </c>
    </row>
    <row r="16" customFormat="false" ht="15" hidden="false" customHeight="false" outlineLevel="0" collapsed="false">
      <c r="A16" s="12" t="s">
        <v>65</v>
      </c>
      <c r="B16" s="12" t="s">
        <v>275</v>
      </c>
      <c r="C16" s="12" t="s">
        <v>276</v>
      </c>
      <c r="D16" s="12" t="s">
        <v>257</v>
      </c>
      <c r="E16" s="19" t="n">
        <v>11.34</v>
      </c>
      <c r="F16" s="19" t="n">
        <v>10.7</v>
      </c>
      <c r="G16" s="19" t="n">
        <v>12.84</v>
      </c>
      <c r="H16" s="19" t="n">
        <v>18.13</v>
      </c>
      <c r="I16" s="19" t="n">
        <v>20.22</v>
      </c>
      <c r="J16" s="19" t="n">
        <v>21.81</v>
      </c>
      <c r="K16" s="19" t="n">
        <v>25.03</v>
      </c>
      <c r="L16" s="19" t="n">
        <v>26.67</v>
      </c>
      <c r="M16" s="19" t="n">
        <v>25.43</v>
      </c>
      <c r="N16" s="19" t="n">
        <v>23.55</v>
      </c>
      <c r="O16" s="19" t="n">
        <v>21.38</v>
      </c>
      <c r="P16" s="19" t="n">
        <v>19.03</v>
      </c>
      <c r="Q16" s="19" t="n">
        <v>17.02</v>
      </c>
      <c r="R16" s="19" t="n">
        <v>15.99</v>
      </c>
      <c r="S16" s="19" t="n">
        <v>17.43</v>
      </c>
      <c r="T16" s="19" t="n">
        <v>16.83</v>
      </c>
      <c r="U16" s="19" t="n">
        <v>14.89</v>
      </c>
      <c r="V16" s="19" t="n">
        <v>13.87</v>
      </c>
      <c r="W16" s="19" t="n">
        <v>12.68</v>
      </c>
      <c r="X16" s="19" t="n">
        <v>11.89</v>
      </c>
    </row>
    <row r="17" customFormat="false" ht="15" hidden="false" customHeight="false" outlineLevel="0" collapsed="false">
      <c r="A17" s="12" t="s">
        <v>65</v>
      </c>
      <c r="B17" s="12" t="s">
        <v>277</v>
      </c>
      <c r="C17" s="12" t="s">
        <v>276</v>
      </c>
      <c r="D17" s="12" t="s">
        <v>259</v>
      </c>
      <c r="E17" s="19" t="n">
        <v>21.5</v>
      </c>
      <c r="F17" s="19" t="n">
        <v>21.71</v>
      </c>
      <c r="G17" s="19" t="n">
        <v>25.52</v>
      </c>
      <c r="H17" s="19" t="n">
        <v>36.12</v>
      </c>
      <c r="I17" s="19" t="n">
        <v>39.61</v>
      </c>
      <c r="J17" s="19" t="n">
        <v>43.99</v>
      </c>
      <c r="K17" s="19" t="n">
        <v>51.44</v>
      </c>
      <c r="L17" s="19" t="n">
        <v>54.62</v>
      </c>
      <c r="M17" s="19" t="n">
        <v>52.93</v>
      </c>
      <c r="N17" s="19" t="n">
        <v>47.97</v>
      </c>
      <c r="O17" s="19" t="n">
        <v>44.9</v>
      </c>
      <c r="P17" s="19" t="n">
        <v>37.42</v>
      </c>
      <c r="Q17" s="19" t="n">
        <v>33.26</v>
      </c>
      <c r="R17" s="19" t="n">
        <v>34.47</v>
      </c>
      <c r="S17" s="19" t="n">
        <v>39.72</v>
      </c>
      <c r="T17" s="19" t="n">
        <v>36.18</v>
      </c>
      <c r="U17" s="19" t="n">
        <v>30.88</v>
      </c>
      <c r="V17" s="19" t="n">
        <v>28.49</v>
      </c>
      <c r="W17" s="19" t="n">
        <v>27.12</v>
      </c>
      <c r="X17" s="19" t="n">
        <v>25.84</v>
      </c>
    </row>
    <row r="18" customFormat="false" ht="15" hidden="false" customHeight="false" outlineLevel="0" collapsed="false">
      <c r="A18" s="12" t="s">
        <v>65</v>
      </c>
      <c r="B18" s="12" t="s">
        <v>278</v>
      </c>
      <c r="C18" s="12" t="s">
        <v>276</v>
      </c>
      <c r="D18" s="12" t="s">
        <v>200</v>
      </c>
      <c r="E18" s="19" t="n">
        <v>9.95</v>
      </c>
      <c r="F18" s="19" t="n">
        <v>9.28</v>
      </c>
      <c r="G18" s="19" t="n">
        <v>11.28</v>
      </c>
      <c r="H18" s="19" t="n">
        <v>16.14</v>
      </c>
      <c r="I18" s="19" t="n">
        <v>18.27</v>
      </c>
      <c r="J18" s="19" t="n">
        <v>19.72</v>
      </c>
      <c r="K18" s="19" t="n">
        <v>22.75</v>
      </c>
      <c r="L18" s="19" t="n">
        <v>24.41</v>
      </c>
      <c r="M18" s="19" t="n">
        <v>23.35</v>
      </c>
      <c r="N18" s="19" t="n">
        <v>21.76</v>
      </c>
      <c r="O18" s="19" t="n">
        <v>19.77</v>
      </c>
      <c r="P18" s="19" t="n">
        <v>17.74</v>
      </c>
      <c r="Q18" s="19" t="n">
        <v>15.9</v>
      </c>
      <c r="R18" s="19" t="n">
        <v>14.71</v>
      </c>
      <c r="S18" s="19" t="n">
        <v>16</v>
      </c>
      <c r="T18" s="19" t="n">
        <v>15.52</v>
      </c>
      <c r="U18" s="19" t="n">
        <v>13.75</v>
      </c>
      <c r="V18" s="19" t="n">
        <v>12.81</v>
      </c>
      <c r="W18" s="19" t="n">
        <v>11.6</v>
      </c>
      <c r="X18" s="19" t="n">
        <v>10.82</v>
      </c>
    </row>
    <row r="19" customFormat="false" ht="15" hidden="false" customHeight="false" outlineLevel="0" collapsed="false">
      <c r="A19" s="12" t="s">
        <v>65</v>
      </c>
      <c r="B19" s="12" t="s">
        <v>279</v>
      </c>
      <c r="C19" s="12" t="s">
        <v>276</v>
      </c>
      <c r="D19" s="12" t="s">
        <v>202</v>
      </c>
      <c r="E19" s="19" t="n">
        <v>36.66</v>
      </c>
      <c r="F19" s="19" t="n">
        <v>35.92</v>
      </c>
      <c r="G19" s="19" t="n">
        <v>44.4</v>
      </c>
      <c r="H19" s="19" t="n">
        <v>55.94</v>
      </c>
      <c r="I19" s="19" t="n">
        <v>62.89</v>
      </c>
      <c r="J19" s="19" t="n">
        <v>63.5</v>
      </c>
      <c r="K19" s="19" t="n">
        <v>73.21</v>
      </c>
      <c r="L19" s="19" t="n">
        <v>76.26</v>
      </c>
      <c r="M19" s="19" t="n">
        <v>72.18</v>
      </c>
      <c r="N19" s="19" t="n">
        <v>70.71</v>
      </c>
      <c r="O19" s="19" t="n">
        <v>61.64</v>
      </c>
      <c r="P19" s="19" t="n">
        <v>55.12</v>
      </c>
      <c r="Q19" s="19" t="n">
        <v>49.76</v>
      </c>
      <c r="R19" s="19" t="n">
        <v>48.47</v>
      </c>
      <c r="S19" s="19" t="n">
        <v>60.97</v>
      </c>
      <c r="T19" s="19" t="n">
        <v>52.38</v>
      </c>
      <c r="U19" s="19" t="n">
        <v>44.46</v>
      </c>
      <c r="V19" s="19" t="n">
        <v>42.82</v>
      </c>
      <c r="W19" s="19" t="n">
        <v>44.35</v>
      </c>
      <c r="X19" s="19" t="n">
        <v>39.2</v>
      </c>
    </row>
    <row r="20" customFormat="false" ht="15" hidden="false" customHeight="false" outlineLevel="0" collapsed="false">
      <c r="A20" s="12" t="s">
        <v>65</v>
      </c>
      <c r="B20" s="12" t="s">
        <v>280</v>
      </c>
      <c r="C20" s="12" t="s">
        <v>276</v>
      </c>
      <c r="D20" s="12" t="s">
        <v>204</v>
      </c>
      <c r="E20" s="19" t="n">
        <v>17.65</v>
      </c>
      <c r="F20" s="19" t="n">
        <v>18.05</v>
      </c>
      <c r="G20" s="19" t="n">
        <v>20.53</v>
      </c>
      <c r="H20" s="19" t="n">
        <v>31.79</v>
      </c>
      <c r="I20" s="19" t="n">
        <v>34.86</v>
      </c>
      <c r="J20" s="19" t="n">
        <v>40.2</v>
      </c>
      <c r="K20" s="19" t="n">
        <v>47.37</v>
      </c>
      <c r="L20" s="19" t="n">
        <v>50.74</v>
      </c>
      <c r="M20" s="19" t="n">
        <v>49.58</v>
      </c>
      <c r="N20" s="19" t="n">
        <v>43.93</v>
      </c>
      <c r="O20" s="19" t="n">
        <v>41.96</v>
      </c>
      <c r="P20" s="19" t="n">
        <v>34.17</v>
      </c>
      <c r="Q20" s="19" t="n">
        <v>29.93</v>
      </c>
      <c r="R20" s="19" t="n">
        <v>31.65</v>
      </c>
      <c r="S20" s="19" t="n">
        <v>36.22</v>
      </c>
      <c r="T20" s="19" t="n">
        <v>33.02</v>
      </c>
      <c r="U20" s="19" t="n">
        <v>28.05</v>
      </c>
      <c r="V20" s="19" t="n">
        <v>25.66</v>
      </c>
      <c r="W20" s="19" t="n">
        <v>23.53</v>
      </c>
      <c r="X20" s="19" t="n">
        <v>23.31</v>
      </c>
    </row>
    <row r="21" customFormat="false" ht="15" hidden="false" customHeight="false" outlineLevel="0" collapsed="false">
      <c r="A21" s="12" t="s">
        <v>65</v>
      </c>
      <c r="B21" s="12" t="s">
        <v>281</v>
      </c>
      <c r="C21" s="12" t="s">
        <v>276</v>
      </c>
      <c r="D21" s="12" t="s">
        <v>264</v>
      </c>
      <c r="E21" s="19" t="n">
        <v>10.27</v>
      </c>
      <c r="F21" s="19" t="n">
        <v>9.49</v>
      </c>
      <c r="G21" s="19" t="n">
        <v>11.58</v>
      </c>
      <c r="H21" s="19" t="n">
        <v>16.58</v>
      </c>
      <c r="I21" s="19" t="n">
        <v>18.92</v>
      </c>
      <c r="J21" s="19" t="n">
        <v>20.5</v>
      </c>
      <c r="K21" s="19" t="n">
        <v>23.56</v>
      </c>
      <c r="L21" s="19" t="n">
        <v>25.22</v>
      </c>
      <c r="M21" s="19" t="n">
        <v>24.06</v>
      </c>
      <c r="N21" s="19" t="n">
        <v>22.41</v>
      </c>
      <c r="O21" s="19" t="n">
        <v>20.34</v>
      </c>
      <c r="P21" s="19" t="n">
        <v>18.2</v>
      </c>
      <c r="Q21" s="19" t="n">
        <v>16.17</v>
      </c>
      <c r="R21" s="19" t="n">
        <v>14.99</v>
      </c>
      <c r="S21" s="19" t="n">
        <v>16.63</v>
      </c>
      <c r="T21" s="19" t="n">
        <v>15.71</v>
      </c>
      <c r="U21" s="19" t="n">
        <v>13.95</v>
      </c>
      <c r="V21" s="19" t="n">
        <v>12.79</v>
      </c>
      <c r="W21" s="19" t="n">
        <v>11.52</v>
      </c>
      <c r="X21" s="19" t="n">
        <v>10.67</v>
      </c>
    </row>
    <row r="22" customFormat="false" ht="15" hidden="false" customHeight="false" outlineLevel="0" collapsed="false">
      <c r="A22" s="12" t="s">
        <v>65</v>
      </c>
      <c r="B22" s="12" t="s">
        <v>282</v>
      </c>
      <c r="C22" s="12" t="s">
        <v>276</v>
      </c>
      <c r="D22" s="12" t="s">
        <v>266</v>
      </c>
      <c r="E22" s="19" t="n">
        <v>7.01</v>
      </c>
      <c r="F22" s="19" t="n">
        <v>7.43</v>
      </c>
      <c r="G22" s="19" t="n">
        <v>8.69</v>
      </c>
      <c r="H22" s="19" t="n">
        <v>12.6</v>
      </c>
      <c r="I22" s="19" t="n">
        <v>13.11</v>
      </c>
      <c r="J22" s="19" t="n">
        <v>13.99</v>
      </c>
      <c r="K22" s="19" t="n">
        <v>17.13</v>
      </c>
      <c r="L22" s="19" t="n">
        <v>19.05</v>
      </c>
      <c r="M22" s="19" t="n">
        <v>18.83</v>
      </c>
      <c r="N22" s="19" t="n">
        <v>18.04</v>
      </c>
      <c r="O22" s="19" t="n">
        <v>16.72</v>
      </c>
      <c r="P22" s="19" t="n">
        <v>15.38</v>
      </c>
      <c r="Q22" s="19" t="n">
        <v>14.56</v>
      </c>
      <c r="R22" s="19" t="n">
        <v>13.45</v>
      </c>
      <c r="S22" s="19" t="n">
        <v>13.34</v>
      </c>
      <c r="T22" s="19" t="n">
        <v>14.75</v>
      </c>
      <c r="U22" s="19" t="n">
        <v>13.01</v>
      </c>
      <c r="V22" s="19" t="n">
        <v>12.89</v>
      </c>
      <c r="W22" s="19" t="n">
        <v>11.9</v>
      </c>
      <c r="X22" s="19" t="n">
        <v>11.32</v>
      </c>
    </row>
    <row r="23" customFormat="false" ht="15" hidden="false" customHeight="false" outlineLevel="0" collapsed="false">
      <c r="A23" s="12" t="s">
        <v>194</v>
      </c>
      <c r="B23" s="12" t="s">
        <v>283</v>
      </c>
      <c r="C23" s="12" t="s">
        <v>195</v>
      </c>
      <c r="D23" s="12" t="s">
        <v>257</v>
      </c>
      <c r="E23" s="19" t="n">
        <v>6.3</v>
      </c>
      <c r="F23" s="19" t="n">
        <v>6.24</v>
      </c>
      <c r="G23" s="19" t="n">
        <v>8.61</v>
      </c>
      <c r="H23" s="19" t="n">
        <v>13.86</v>
      </c>
      <c r="I23" s="19" t="n">
        <v>15.84</v>
      </c>
      <c r="J23" s="19" t="n">
        <v>16.33</v>
      </c>
      <c r="K23" s="19" t="n">
        <v>18.53</v>
      </c>
      <c r="L23" s="19" t="n">
        <v>19.76</v>
      </c>
      <c r="M23" s="19" t="n">
        <v>18.74</v>
      </c>
      <c r="N23" s="19" t="n">
        <v>17.06</v>
      </c>
      <c r="O23" s="19" t="n">
        <v>15.72</v>
      </c>
      <c r="P23" s="19" t="n">
        <v>13.34</v>
      </c>
      <c r="Q23" s="19" t="n">
        <v>12.22</v>
      </c>
      <c r="R23" s="19" t="n">
        <v>10.62</v>
      </c>
      <c r="S23" s="19" t="n">
        <v>12.49</v>
      </c>
      <c r="T23" s="19" t="n">
        <v>11.69</v>
      </c>
      <c r="U23" s="19" t="n">
        <v>11.22</v>
      </c>
      <c r="V23" s="19" t="n">
        <v>9.95</v>
      </c>
      <c r="W23" s="19" t="n">
        <v>8.97</v>
      </c>
      <c r="X23" s="19" t="n">
        <v>7.97</v>
      </c>
    </row>
    <row r="24" customFormat="false" ht="15" hidden="false" customHeight="false" outlineLevel="0" collapsed="false">
      <c r="A24" s="12" t="s">
        <v>194</v>
      </c>
      <c r="B24" s="12" t="s">
        <v>284</v>
      </c>
      <c r="C24" s="12" t="s">
        <v>195</v>
      </c>
      <c r="D24" s="12" t="s">
        <v>259</v>
      </c>
      <c r="E24" s="19" t="n">
        <v>14.69</v>
      </c>
      <c r="F24" s="19" t="n">
        <v>16.75</v>
      </c>
      <c r="G24" s="19" t="n">
        <v>20.75</v>
      </c>
      <c r="H24" s="19" t="n">
        <v>34.19</v>
      </c>
      <c r="I24" s="19" t="n">
        <v>37.09</v>
      </c>
      <c r="J24" s="19" t="n">
        <v>40.84</v>
      </c>
      <c r="K24" s="19" t="n">
        <v>48.05</v>
      </c>
      <c r="L24" s="19" t="n">
        <v>48.8</v>
      </c>
      <c r="M24" s="19" t="n">
        <v>48.99</v>
      </c>
      <c r="N24" s="19" t="n">
        <v>44.16</v>
      </c>
      <c r="O24" s="19" t="n">
        <v>40.65</v>
      </c>
      <c r="P24" s="19" t="n">
        <v>34.66</v>
      </c>
      <c r="Q24" s="19" t="n">
        <v>27.49</v>
      </c>
      <c r="R24" s="19" t="n">
        <v>29.03</v>
      </c>
      <c r="S24" s="19" t="n">
        <v>31.76</v>
      </c>
      <c r="T24" s="19" t="n">
        <v>29.52</v>
      </c>
      <c r="U24" s="19" t="n">
        <v>27.84</v>
      </c>
      <c r="V24" s="19" t="n">
        <v>27.43</v>
      </c>
      <c r="W24" s="19" t="n">
        <v>20.41</v>
      </c>
      <c r="X24" s="19" t="n">
        <v>19.29</v>
      </c>
    </row>
    <row r="25" customFormat="false" ht="15" hidden="false" customHeight="false" outlineLevel="0" collapsed="false">
      <c r="A25" s="12" t="s">
        <v>194</v>
      </c>
      <c r="B25" s="12" t="s">
        <v>285</v>
      </c>
      <c r="C25" s="12" t="s">
        <v>195</v>
      </c>
      <c r="D25" s="12" t="s">
        <v>200</v>
      </c>
      <c r="E25" s="19" t="n">
        <v>5.31</v>
      </c>
      <c r="F25" s="19" t="n">
        <v>5.04</v>
      </c>
      <c r="G25" s="19" t="n">
        <v>7.31</v>
      </c>
      <c r="H25" s="19" t="n">
        <v>11.91</v>
      </c>
      <c r="I25" s="19" t="n">
        <v>14</v>
      </c>
      <c r="J25" s="19" t="n">
        <v>14.42</v>
      </c>
      <c r="K25" s="19" t="n">
        <v>16.4</v>
      </c>
      <c r="L25" s="19" t="n">
        <v>17.7</v>
      </c>
      <c r="M25" s="19" t="n">
        <v>16.66</v>
      </c>
      <c r="N25" s="19" t="n">
        <v>15.18</v>
      </c>
      <c r="O25" s="19" t="n">
        <v>14.13</v>
      </c>
      <c r="P25" s="19" t="n">
        <v>12</v>
      </c>
      <c r="Q25" s="19" t="n">
        <v>11.2</v>
      </c>
      <c r="R25" s="19" t="n">
        <v>9.44</v>
      </c>
      <c r="S25" s="19" t="n">
        <v>11.32</v>
      </c>
      <c r="T25" s="19" t="n">
        <v>10.45</v>
      </c>
      <c r="U25" s="19" t="n">
        <v>10.01</v>
      </c>
      <c r="V25" s="19" t="n">
        <v>8.71</v>
      </c>
      <c r="W25" s="19" t="n">
        <v>8.12</v>
      </c>
      <c r="X25" s="19" t="n">
        <v>7.11</v>
      </c>
    </row>
    <row r="26" customFormat="false" ht="15" hidden="false" customHeight="false" outlineLevel="0" collapsed="false">
      <c r="A26" s="12" t="s">
        <v>194</v>
      </c>
      <c r="B26" s="12" t="s">
        <v>286</v>
      </c>
      <c r="C26" s="12" t="s">
        <v>195</v>
      </c>
      <c r="D26" s="12" t="s">
        <v>202</v>
      </c>
      <c r="E26" s="19" t="n">
        <v>29.6</v>
      </c>
      <c r="F26" s="19" t="n">
        <v>28.44</v>
      </c>
      <c r="G26" s="19" t="n">
        <v>35.61</v>
      </c>
      <c r="H26" s="19" t="n">
        <v>52.42</v>
      </c>
      <c r="I26" s="19" t="n">
        <v>58.63</v>
      </c>
      <c r="J26" s="19" t="n">
        <v>62.81</v>
      </c>
      <c r="K26" s="19" t="n">
        <v>77.73</v>
      </c>
      <c r="L26" s="19" t="n">
        <v>73.64</v>
      </c>
      <c r="M26" s="19" t="n">
        <v>68.78</v>
      </c>
      <c r="N26" s="19" t="n">
        <v>68.61</v>
      </c>
      <c r="O26" s="19" t="n">
        <v>59.56</v>
      </c>
      <c r="P26" s="19" t="n">
        <v>60.34</v>
      </c>
      <c r="Q26" s="19" t="n">
        <v>51.43</v>
      </c>
      <c r="R26" s="19" t="n">
        <v>46.28</v>
      </c>
      <c r="S26" s="19" t="n">
        <v>47.74</v>
      </c>
      <c r="T26" s="19" t="n">
        <v>52.64</v>
      </c>
      <c r="U26" s="19" t="n">
        <v>48.52</v>
      </c>
      <c r="V26" s="19" t="n">
        <v>44.19</v>
      </c>
      <c r="W26" s="19" t="n">
        <v>33.31</v>
      </c>
      <c r="X26" s="19" t="n">
        <v>30.99</v>
      </c>
    </row>
    <row r="27" customFormat="false" ht="15" hidden="false" customHeight="false" outlineLevel="0" collapsed="false">
      <c r="A27" s="12" t="s">
        <v>194</v>
      </c>
      <c r="B27" s="12" t="s">
        <v>287</v>
      </c>
      <c r="C27" s="12" t="s">
        <v>195</v>
      </c>
      <c r="D27" s="12" t="s">
        <v>204</v>
      </c>
      <c r="E27" s="19" t="n">
        <v>10.71</v>
      </c>
      <c r="F27" s="19" t="n">
        <v>13.78</v>
      </c>
      <c r="G27" s="19" t="n">
        <v>16.81</v>
      </c>
      <c r="H27" s="19" t="n">
        <v>30.08</v>
      </c>
      <c r="I27" s="19" t="n">
        <v>32.83</v>
      </c>
      <c r="J27" s="19" t="n">
        <v>36.47</v>
      </c>
      <c r="K27" s="19" t="n">
        <v>42.64</v>
      </c>
      <c r="L27" s="19" t="n">
        <v>44.64</v>
      </c>
      <c r="M27" s="19" t="n">
        <v>45.46</v>
      </c>
      <c r="N27" s="19" t="n">
        <v>40.07</v>
      </c>
      <c r="O27" s="19" t="n">
        <v>37.21</v>
      </c>
      <c r="P27" s="19" t="n">
        <v>30.58</v>
      </c>
      <c r="Q27" s="19" t="n">
        <v>23.61</v>
      </c>
      <c r="R27" s="19" t="n">
        <v>25.89</v>
      </c>
      <c r="S27" s="19" t="n">
        <v>29.02</v>
      </c>
      <c r="T27" s="19" t="n">
        <v>25.04</v>
      </c>
      <c r="U27" s="19" t="n">
        <v>24.11</v>
      </c>
      <c r="V27" s="19" t="n">
        <v>24.93</v>
      </c>
      <c r="W27" s="19" t="n">
        <v>18.42</v>
      </c>
      <c r="X27" s="19" t="n">
        <v>17.5</v>
      </c>
    </row>
    <row r="28" customFormat="false" ht="15" hidden="false" customHeight="false" outlineLevel="0" collapsed="false">
      <c r="A28" s="12" t="s">
        <v>194</v>
      </c>
      <c r="B28" s="12" t="s">
        <v>288</v>
      </c>
      <c r="C28" s="12" t="s">
        <v>195</v>
      </c>
      <c r="D28" s="12" t="s">
        <v>264</v>
      </c>
      <c r="E28" s="19" t="n">
        <v>5.41</v>
      </c>
      <c r="F28" s="19" t="n">
        <v>5.1</v>
      </c>
      <c r="G28" s="19" t="n">
        <v>7.34</v>
      </c>
      <c r="H28" s="19" t="n">
        <v>12.02</v>
      </c>
      <c r="I28" s="19" t="n">
        <v>14.56</v>
      </c>
      <c r="J28" s="19" t="n">
        <v>14.89</v>
      </c>
      <c r="K28" s="19" t="n">
        <v>16.9</v>
      </c>
      <c r="L28" s="19" t="n">
        <v>17.84</v>
      </c>
      <c r="M28" s="19" t="n">
        <v>16.75</v>
      </c>
      <c r="N28" s="19" t="n">
        <v>15.55</v>
      </c>
      <c r="O28" s="19" t="n">
        <v>14.05</v>
      </c>
      <c r="P28" s="19" t="n">
        <v>12.11</v>
      </c>
      <c r="Q28" s="19" t="n">
        <v>11.24</v>
      </c>
      <c r="R28" s="19" t="n">
        <v>9.14</v>
      </c>
      <c r="S28" s="19" t="n">
        <v>11.5</v>
      </c>
      <c r="T28" s="19" t="n">
        <v>10.29</v>
      </c>
      <c r="U28" s="19" t="n">
        <v>10.07</v>
      </c>
      <c r="V28" s="19" t="n">
        <v>8.63</v>
      </c>
      <c r="W28" s="19" t="n">
        <v>7.92</v>
      </c>
      <c r="X28" s="19" t="n">
        <v>6.65</v>
      </c>
    </row>
    <row r="29" customFormat="false" ht="15" hidden="false" customHeight="false" outlineLevel="0" collapsed="false">
      <c r="A29" s="12" t="s">
        <v>194</v>
      </c>
      <c r="B29" s="12" t="s">
        <v>289</v>
      </c>
      <c r="C29" s="12" t="s">
        <v>195</v>
      </c>
      <c r="D29" s="12" t="s">
        <v>266</v>
      </c>
      <c r="E29" s="19" t="n">
        <v>4.53</v>
      </c>
      <c r="F29" s="19" t="n">
        <v>4.61</v>
      </c>
      <c r="G29" s="19" t="n">
        <v>7.11</v>
      </c>
      <c r="H29" s="19" t="n">
        <v>11.16</v>
      </c>
      <c r="I29" s="19" t="n">
        <v>10.16</v>
      </c>
      <c r="J29" s="19" t="n">
        <v>11.34</v>
      </c>
      <c r="K29" s="19" t="n">
        <v>13.35</v>
      </c>
      <c r="L29" s="19" t="n">
        <v>16.87</v>
      </c>
      <c r="M29" s="19" t="n">
        <v>16.14</v>
      </c>
      <c r="N29" s="19" t="n">
        <v>13.17</v>
      </c>
      <c r="O29" s="19" t="n">
        <v>14.59</v>
      </c>
      <c r="P29" s="19" t="n">
        <v>11.49</v>
      </c>
      <c r="Q29" s="19" t="n">
        <v>11.02</v>
      </c>
      <c r="R29" s="19" t="n">
        <v>10.78</v>
      </c>
      <c r="S29" s="19" t="n">
        <v>10.6</v>
      </c>
      <c r="T29" s="19" t="n">
        <v>11.1</v>
      </c>
      <c r="U29" s="19" t="n">
        <v>9.79</v>
      </c>
      <c r="V29" s="19" t="n">
        <v>8.99</v>
      </c>
      <c r="W29" s="19" t="n">
        <v>8.83</v>
      </c>
      <c r="X29" s="19" t="n">
        <v>8.7</v>
      </c>
    </row>
    <row r="30" customFormat="false" ht="15" hidden="false" customHeight="false" outlineLevel="0" collapsed="false">
      <c r="A30" s="12" t="s">
        <v>194</v>
      </c>
      <c r="B30" s="12" t="s">
        <v>290</v>
      </c>
      <c r="C30" s="12" t="s">
        <v>268</v>
      </c>
      <c r="D30" s="12" t="s">
        <v>257</v>
      </c>
      <c r="E30" s="19" t="n">
        <v>4.64</v>
      </c>
      <c r="F30" s="19" t="n">
        <v>4.92</v>
      </c>
      <c r="G30" s="19" t="n">
        <v>7.85</v>
      </c>
      <c r="H30" s="19" t="n">
        <v>13.91</v>
      </c>
      <c r="I30" s="19" t="n">
        <v>15.57</v>
      </c>
      <c r="J30" s="19" t="n">
        <v>16.4</v>
      </c>
      <c r="K30" s="19" t="n">
        <v>19.1</v>
      </c>
      <c r="L30" s="19" t="n">
        <v>19.22</v>
      </c>
      <c r="M30" s="19" t="n">
        <v>17.95</v>
      </c>
      <c r="N30" s="19" t="n">
        <v>16.81</v>
      </c>
      <c r="O30" s="19" t="n">
        <v>15.01</v>
      </c>
      <c r="P30" s="19" t="n">
        <v>12.79</v>
      </c>
      <c r="Q30" s="19" t="n">
        <v>11.62</v>
      </c>
      <c r="R30" s="19" t="n">
        <v>9.81</v>
      </c>
      <c r="S30" s="19" t="n">
        <v>11.57</v>
      </c>
      <c r="T30" s="19" t="n">
        <v>10.75</v>
      </c>
      <c r="U30" s="19" t="n">
        <v>9.53</v>
      </c>
      <c r="V30" s="19" t="n">
        <v>8.7</v>
      </c>
      <c r="W30" s="19" t="n">
        <v>8.49</v>
      </c>
      <c r="X30" s="19" t="n">
        <v>7.81</v>
      </c>
    </row>
    <row r="31" customFormat="false" ht="15" hidden="false" customHeight="false" outlineLevel="0" collapsed="false">
      <c r="A31" s="12" t="s">
        <v>194</v>
      </c>
      <c r="B31" s="12" t="s">
        <v>291</v>
      </c>
      <c r="C31" s="12" t="s">
        <v>268</v>
      </c>
      <c r="D31" s="12" t="s">
        <v>259</v>
      </c>
      <c r="E31" s="19" t="n">
        <v>13.32</v>
      </c>
      <c r="F31" s="19" t="n">
        <v>13.32</v>
      </c>
      <c r="G31" s="19" t="n">
        <v>20.27</v>
      </c>
      <c r="H31" s="19" t="n">
        <v>36.23</v>
      </c>
      <c r="I31" s="19" t="n">
        <v>38.81</v>
      </c>
      <c r="J31" s="19" t="n">
        <v>42.26</v>
      </c>
      <c r="K31" s="19" t="n">
        <v>52.33</v>
      </c>
      <c r="L31" s="19" t="n">
        <v>49.05</v>
      </c>
      <c r="M31" s="19" t="n">
        <v>46.91</v>
      </c>
      <c r="N31" s="19" t="n">
        <v>46.23</v>
      </c>
      <c r="O31" s="19" t="n">
        <v>41.36</v>
      </c>
      <c r="P31" s="19" t="n">
        <v>37.64</v>
      </c>
      <c r="Q31" s="19" t="n">
        <v>30.14</v>
      </c>
      <c r="R31" s="19" t="n">
        <v>28.35</v>
      </c>
      <c r="S31" s="19" t="n">
        <v>30.41</v>
      </c>
      <c r="T31" s="19" t="n">
        <v>30.37</v>
      </c>
      <c r="U31" s="19" t="n">
        <v>29.36</v>
      </c>
      <c r="V31" s="19" t="n">
        <v>28.45</v>
      </c>
      <c r="W31" s="19" t="n">
        <v>22.68</v>
      </c>
      <c r="X31" s="19" t="n">
        <v>18.3</v>
      </c>
    </row>
    <row r="32" customFormat="false" ht="15" hidden="false" customHeight="false" outlineLevel="0" collapsed="false">
      <c r="A32" s="12" t="s">
        <v>194</v>
      </c>
      <c r="B32" s="12" t="s">
        <v>292</v>
      </c>
      <c r="C32" s="12" t="s">
        <v>268</v>
      </c>
      <c r="D32" s="12" t="s">
        <v>200</v>
      </c>
      <c r="E32" s="19" t="n">
        <v>3.7</v>
      </c>
      <c r="F32" s="19" t="n">
        <v>4.01</v>
      </c>
      <c r="G32" s="19" t="n">
        <v>6.56</v>
      </c>
      <c r="H32" s="19" t="n">
        <v>11.8</v>
      </c>
      <c r="I32" s="19" t="n">
        <v>13.58</v>
      </c>
      <c r="J32" s="19" t="n">
        <v>14.42</v>
      </c>
      <c r="K32" s="19" t="n">
        <v>16.72</v>
      </c>
      <c r="L32" s="19" t="n">
        <v>17.13</v>
      </c>
      <c r="M32" s="19" t="n">
        <v>16.05</v>
      </c>
      <c r="N32" s="19" t="n">
        <v>14.75</v>
      </c>
      <c r="O32" s="19" t="n">
        <v>13.35</v>
      </c>
      <c r="P32" s="19" t="n">
        <v>11.2</v>
      </c>
      <c r="Q32" s="19" t="n">
        <v>10.39</v>
      </c>
      <c r="R32" s="19" t="n">
        <v>8.62</v>
      </c>
      <c r="S32" s="19" t="n">
        <v>10.4</v>
      </c>
      <c r="T32" s="19" t="n">
        <v>9.43</v>
      </c>
      <c r="U32" s="19" t="n">
        <v>8.07</v>
      </c>
      <c r="V32" s="19" t="n">
        <v>7.23</v>
      </c>
      <c r="W32" s="19" t="n">
        <v>7.36</v>
      </c>
      <c r="X32" s="19" t="n">
        <v>7.01</v>
      </c>
    </row>
    <row r="33" customFormat="false" ht="15" hidden="false" customHeight="false" outlineLevel="0" collapsed="false">
      <c r="A33" s="12" t="s">
        <v>194</v>
      </c>
      <c r="B33" s="12" t="s">
        <v>293</v>
      </c>
      <c r="C33" s="12" t="s">
        <v>268</v>
      </c>
      <c r="D33" s="12" t="s">
        <v>202</v>
      </c>
      <c r="E33" s="19" t="n">
        <v>26.83</v>
      </c>
      <c r="F33" s="19" t="n">
        <v>22.9</v>
      </c>
      <c r="G33" s="19" t="n">
        <v>29.71</v>
      </c>
      <c r="H33" s="19" t="n">
        <v>53.27</v>
      </c>
      <c r="I33" s="19" t="n">
        <v>60.44</v>
      </c>
      <c r="J33" s="19" t="n">
        <v>59.18</v>
      </c>
      <c r="K33" s="19" t="n">
        <v>80.35</v>
      </c>
      <c r="L33" s="19" t="n">
        <v>71.87</v>
      </c>
      <c r="M33" s="19" t="n">
        <v>58.59</v>
      </c>
      <c r="N33" s="19" t="n">
        <v>67.37</v>
      </c>
      <c r="O33" s="19" t="n">
        <v>64.57</v>
      </c>
      <c r="P33" s="19" t="n">
        <v>61.22</v>
      </c>
      <c r="Q33" s="19" t="n">
        <v>52.09</v>
      </c>
      <c r="R33" s="19" t="n">
        <v>41.3</v>
      </c>
      <c r="S33" s="19" t="n">
        <v>46.56</v>
      </c>
      <c r="T33" s="19" t="n">
        <v>54.33</v>
      </c>
      <c r="U33" s="19" t="n">
        <v>55.26</v>
      </c>
      <c r="V33" s="19" t="n">
        <v>47.09</v>
      </c>
      <c r="W33" s="19" t="n">
        <v>32.85</v>
      </c>
      <c r="X33" s="19" t="n">
        <v>34.09</v>
      </c>
    </row>
    <row r="34" customFormat="false" ht="15" hidden="false" customHeight="false" outlineLevel="0" collapsed="false">
      <c r="A34" s="12" t="s">
        <v>194</v>
      </c>
      <c r="B34" s="12" t="s">
        <v>294</v>
      </c>
      <c r="C34" s="12" t="s">
        <v>268</v>
      </c>
      <c r="D34" s="12" t="s">
        <v>204</v>
      </c>
      <c r="E34" s="19" t="n">
        <v>9.56</v>
      </c>
      <c r="F34" s="19" t="n">
        <v>10.59</v>
      </c>
      <c r="G34" s="19" t="n">
        <v>17.9</v>
      </c>
      <c r="H34" s="19" t="n">
        <v>31.64</v>
      </c>
      <c r="I34" s="19" t="n">
        <v>34.26</v>
      </c>
      <c r="J34" s="19" t="n">
        <v>38.88</v>
      </c>
      <c r="K34" s="19" t="n">
        <v>46.87</v>
      </c>
      <c r="L34" s="19" t="n">
        <v>44.17</v>
      </c>
      <c r="M34" s="19" t="n">
        <v>44.85</v>
      </c>
      <c r="N34" s="19" t="n">
        <v>42.58</v>
      </c>
      <c r="O34" s="19" t="n">
        <v>36.87</v>
      </c>
      <c r="P34" s="19" t="n">
        <v>33.49</v>
      </c>
      <c r="Q34" s="19" t="n">
        <v>26.44</v>
      </c>
      <c r="R34" s="19" t="n">
        <v>26.05</v>
      </c>
      <c r="S34" s="19" t="n">
        <v>27.1</v>
      </c>
      <c r="T34" s="19" t="n">
        <v>25.52</v>
      </c>
      <c r="U34" s="19" t="n">
        <v>24.55</v>
      </c>
      <c r="V34" s="19" t="n">
        <v>25.29</v>
      </c>
      <c r="W34" s="19" t="n">
        <v>21.06</v>
      </c>
      <c r="X34" s="19" t="n">
        <v>15.95</v>
      </c>
    </row>
    <row r="35" customFormat="false" ht="15" hidden="false" customHeight="false" outlineLevel="0" collapsed="false">
      <c r="A35" s="12" t="s">
        <v>194</v>
      </c>
      <c r="B35" s="12" t="s">
        <v>295</v>
      </c>
      <c r="C35" s="12" t="s">
        <v>268</v>
      </c>
      <c r="D35" s="12" t="s">
        <v>264</v>
      </c>
      <c r="E35" s="19" t="n">
        <v>3.75</v>
      </c>
      <c r="F35" s="19" t="n">
        <v>4.09</v>
      </c>
      <c r="G35" s="19" t="n">
        <v>6.62</v>
      </c>
      <c r="H35" s="19" t="n">
        <v>12.25</v>
      </c>
      <c r="I35" s="19" t="n">
        <v>14.12</v>
      </c>
      <c r="J35" s="19" t="n">
        <v>14.9</v>
      </c>
      <c r="K35" s="19" t="n">
        <v>17.39</v>
      </c>
      <c r="L35" s="19" t="n">
        <v>17.35</v>
      </c>
      <c r="M35" s="19" t="n">
        <v>16.24</v>
      </c>
      <c r="N35" s="19" t="n">
        <v>15.13</v>
      </c>
      <c r="O35" s="19" t="n">
        <v>13.16</v>
      </c>
      <c r="P35" s="19" t="n">
        <v>11.21</v>
      </c>
      <c r="Q35" s="19" t="n">
        <v>10.5</v>
      </c>
      <c r="R35" s="19" t="n">
        <v>8.34</v>
      </c>
      <c r="S35" s="19" t="n">
        <v>10.5</v>
      </c>
      <c r="T35" s="19" t="n">
        <v>9.28</v>
      </c>
      <c r="U35" s="19" t="n">
        <v>8.04</v>
      </c>
      <c r="V35" s="19" t="n">
        <v>7.04</v>
      </c>
      <c r="W35" s="19" t="n">
        <v>7.45</v>
      </c>
      <c r="X35" s="19" t="n">
        <v>6.65</v>
      </c>
    </row>
    <row r="36" customFormat="false" ht="15" hidden="false" customHeight="false" outlineLevel="0" collapsed="false">
      <c r="A36" s="12" t="s">
        <v>194</v>
      </c>
      <c r="B36" s="12" t="s">
        <v>296</v>
      </c>
      <c r="C36" s="12" t="s">
        <v>268</v>
      </c>
      <c r="D36" s="12" t="s">
        <v>266</v>
      </c>
      <c r="E36" s="19" t="n">
        <v>3.39</v>
      </c>
      <c r="F36" s="19" t="n">
        <v>3.49</v>
      </c>
      <c r="G36" s="19" t="n">
        <v>6.15</v>
      </c>
      <c r="H36" s="19" t="n">
        <v>8.99</v>
      </c>
      <c r="I36" s="19" t="n">
        <v>10.22</v>
      </c>
      <c r="J36" s="19" t="n">
        <v>11.49</v>
      </c>
      <c r="K36" s="19" t="n">
        <v>12.8</v>
      </c>
      <c r="L36" s="19" t="n">
        <v>15.84</v>
      </c>
      <c r="M36" s="19" t="n">
        <v>14.95</v>
      </c>
      <c r="N36" s="19" t="n">
        <v>12.8</v>
      </c>
      <c r="O36" s="19" t="n">
        <v>14.33</v>
      </c>
      <c r="P36" s="19" t="n">
        <v>11.13</v>
      </c>
      <c r="Q36" s="19" t="n">
        <v>9.88</v>
      </c>
      <c r="R36" s="19" t="n">
        <v>9.82</v>
      </c>
      <c r="S36" s="19" t="n">
        <v>10</v>
      </c>
      <c r="T36" s="19" t="n">
        <v>10.04</v>
      </c>
      <c r="U36" s="19" t="n">
        <v>8.18</v>
      </c>
      <c r="V36" s="19" t="n">
        <v>7.93</v>
      </c>
      <c r="W36" s="19" t="n">
        <v>7.02</v>
      </c>
      <c r="X36" s="19" t="n">
        <v>8.28</v>
      </c>
    </row>
    <row r="37" customFormat="false" ht="15" hidden="false" customHeight="false" outlineLevel="0" collapsed="false">
      <c r="A37" s="12" t="s">
        <v>194</v>
      </c>
      <c r="B37" s="12" t="s">
        <v>297</v>
      </c>
      <c r="C37" s="12" t="s">
        <v>276</v>
      </c>
      <c r="D37" s="12" t="s">
        <v>257</v>
      </c>
      <c r="E37" s="19" t="n">
        <v>8.32</v>
      </c>
      <c r="F37" s="19" t="n">
        <v>7.84</v>
      </c>
      <c r="G37" s="19" t="n">
        <v>9.51</v>
      </c>
      <c r="H37" s="19" t="n">
        <v>13.79</v>
      </c>
      <c r="I37" s="19" t="n">
        <v>16.14</v>
      </c>
      <c r="J37" s="19" t="n">
        <v>16.27</v>
      </c>
      <c r="K37" s="19" t="n">
        <v>17.91</v>
      </c>
      <c r="L37" s="19" t="n">
        <v>20.34</v>
      </c>
      <c r="M37" s="19" t="n">
        <v>19.59</v>
      </c>
      <c r="N37" s="19" t="n">
        <v>17.33</v>
      </c>
      <c r="O37" s="19" t="n">
        <v>16.47</v>
      </c>
      <c r="P37" s="19" t="n">
        <v>13.93</v>
      </c>
      <c r="Q37" s="19" t="n">
        <v>12.85</v>
      </c>
      <c r="R37" s="19" t="n">
        <v>11.47</v>
      </c>
      <c r="S37" s="19" t="n">
        <v>13.45</v>
      </c>
      <c r="T37" s="19" t="n">
        <v>12.65</v>
      </c>
      <c r="U37" s="19" t="n">
        <v>12.97</v>
      </c>
      <c r="V37" s="19" t="n">
        <v>11.25</v>
      </c>
      <c r="W37" s="19" t="n">
        <v>9.48</v>
      </c>
      <c r="X37" s="19" t="n">
        <v>8.13</v>
      </c>
    </row>
    <row r="38" customFormat="false" ht="15" hidden="false" customHeight="false" outlineLevel="0" collapsed="false">
      <c r="A38" s="12" t="s">
        <v>194</v>
      </c>
      <c r="B38" s="12" t="s">
        <v>298</v>
      </c>
      <c r="C38" s="12" t="s">
        <v>276</v>
      </c>
      <c r="D38" s="12" t="s">
        <v>259</v>
      </c>
      <c r="E38" s="19" t="n">
        <v>16.09</v>
      </c>
      <c r="F38" s="19" t="n">
        <v>20.45</v>
      </c>
      <c r="G38" s="19" t="n">
        <v>21.29</v>
      </c>
      <c r="H38" s="19" t="n">
        <v>31.88</v>
      </c>
      <c r="I38" s="19" t="n">
        <v>35.2</v>
      </c>
      <c r="J38" s="19" t="n">
        <v>39.33</v>
      </c>
      <c r="K38" s="19" t="n">
        <v>43.47</v>
      </c>
      <c r="L38" s="19" t="n">
        <v>48.54</v>
      </c>
      <c r="M38" s="19" t="n">
        <v>51.03</v>
      </c>
      <c r="N38" s="19" t="n">
        <v>41.91</v>
      </c>
      <c r="O38" s="19" t="n">
        <v>39.92</v>
      </c>
      <c r="P38" s="19" t="n">
        <v>31.38</v>
      </c>
      <c r="Q38" s="19" t="n">
        <v>24.65</v>
      </c>
      <c r="R38" s="19" t="n">
        <v>29.75</v>
      </c>
      <c r="S38" s="19" t="n">
        <v>33.2</v>
      </c>
      <c r="T38" s="19" t="n">
        <v>28.7</v>
      </c>
      <c r="U38" s="19" t="n">
        <v>26.2</v>
      </c>
      <c r="V38" s="19" t="n">
        <v>26.29</v>
      </c>
      <c r="W38" s="19" t="n">
        <v>17.79</v>
      </c>
      <c r="X38" s="19" t="n">
        <v>20.31</v>
      </c>
    </row>
    <row r="39" customFormat="false" ht="15" hidden="false" customHeight="false" outlineLevel="0" collapsed="false">
      <c r="A39" s="12" t="s">
        <v>194</v>
      </c>
      <c r="B39" s="12" t="s">
        <v>299</v>
      </c>
      <c r="C39" s="12" t="s">
        <v>276</v>
      </c>
      <c r="D39" s="12" t="s">
        <v>200</v>
      </c>
      <c r="E39" s="19" t="n">
        <v>7.3</v>
      </c>
      <c r="F39" s="19" t="n">
        <v>6.3</v>
      </c>
      <c r="G39" s="19" t="n">
        <v>8.21</v>
      </c>
      <c r="H39" s="19" t="n">
        <v>12.04</v>
      </c>
      <c r="I39" s="19" t="n">
        <v>14.47</v>
      </c>
      <c r="J39" s="19" t="n">
        <v>14.42</v>
      </c>
      <c r="K39" s="19" t="n">
        <v>16.06</v>
      </c>
      <c r="L39" s="19" t="n">
        <v>18.32</v>
      </c>
      <c r="M39" s="19" t="n">
        <v>17.32</v>
      </c>
      <c r="N39" s="19" t="n">
        <v>15.64</v>
      </c>
      <c r="O39" s="19" t="n">
        <v>14.96</v>
      </c>
      <c r="P39" s="19" t="n">
        <v>12.86</v>
      </c>
      <c r="Q39" s="19" t="n">
        <v>12.07</v>
      </c>
      <c r="R39" s="19" t="n">
        <v>10.3</v>
      </c>
      <c r="S39" s="19" t="n">
        <v>12.27</v>
      </c>
      <c r="T39" s="19" t="n">
        <v>11.5</v>
      </c>
      <c r="U39" s="19" t="n">
        <v>12.03</v>
      </c>
      <c r="V39" s="19" t="n">
        <v>10.22</v>
      </c>
      <c r="W39" s="19" t="n">
        <v>8.89</v>
      </c>
      <c r="X39" s="19" t="n">
        <v>7.2</v>
      </c>
    </row>
    <row r="40" customFormat="false" ht="15" hidden="false" customHeight="false" outlineLevel="0" collapsed="false">
      <c r="A40" s="12" t="s">
        <v>194</v>
      </c>
      <c r="B40" s="12" t="s">
        <v>300</v>
      </c>
      <c r="C40" s="12" t="s">
        <v>276</v>
      </c>
      <c r="D40" s="12" t="s">
        <v>202</v>
      </c>
      <c r="E40" s="19" t="n">
        <v>32.64</v>
      </c>
      <c r="F40" s="19" t="n">
        <v>35.78</v>
      </c>
      <c r="G40" s="19" t="n">
        <v>41.63</v>
      </c>
      <c r="H40" s="19" t="n">
        <v>51.08</v>
      </c>
      <c r="I40" s="19" t="n">
        <v>56.42</v>
      </c>
      <c r="J40" s="19" t="n">
        <v>66.7</v>
      </c>
      <c r="K40" s="19" t="n">
        <v>74.56</v>
      </c>
      <c r="L40" s="19" t="n">
        <v>76.64</v>
      </c>
      <c r="M40" s="19" t="n">
        <v>78.55</v>
      </c>
      <c r="N40" s="19" t="n">
        <v>70.03</v>
      </c>
      <c r="O40" s="19" t="n">
        <v>53.82</v>
      </c>
      <c r="P40" s="19" t="n">
        <v>59.18</v>
      </c>
      <c r="Q40" s="19" t="n">
        <v>50.68</v>
      </c>
      <c r="R40" s="19" t="n">
        <v>51.26</v>
      </c>
      <c r="S40" s="19" t="n">
        <v>49.52</v>
      </c>
      <c r="T40" s="19" t="n">
        <v>50.89</v>
      </c>
      <c r="U40" s="19" t="n">
        <v>40.84</v>
      </c>
      <c r="V40" s="19" t="n">
        <v>40.06</v>
      </c>
      <c r="W40" s="19" t="n">
        <v>33.86</v>
      </c>
      <c r="X40" s="19" t="n">
        <v>27.98</v>
      </c>
    </row>
    <row r="41" customFormat="false" ht="15" hidden="false" customHeight="false" outlineLevel="0" collapsed="false">
      <c r="A41" s="12" t="s">
        <v>194</v>
      </c>
      <c r="B41" s="12" t="s">
        <v>301</v>
      </c>
      <c r="C41" s="12" t="s">
        <v>276</v>
      </c>
      <c r="D41" s="12" t="s">
        <v>204</v>
      </c>
      <c r="E41" s="19" t="n">
        <v>11.86</v>
      </c>
      <c r="F41" s="19" t="n">
        <v>17.06</v>
      </c>
      <c r="G41" s="19" t="n">
        <v>15.58</v>
      </c>
      <c r="H41" s="19" t="n">
        <v>28.44</v>
      </c>
      <c r="I41" s="19" t="n">
        <v>31.3</v>
      </c>
      <c r="J41" s="19" t="n">
        <v>33.92</v>
      </c>
      <c r="K41" s="19" t="n">
        <v>38.22</v>
      </c>
      <c r="L41" s="19" t="n">
        <v>45.09</v>
      </c>
      <c r="M41" s="19" t="n">
        <v>46.05</v>
      </c>
      <c r="N41" s="19" t="n">
        <v>37.36</v>
      </c>
      <c r="O41" s="19" t="n">
        <v>37.55</v>
      </c>
      <c r="P41" s="19" t="n">
        <v>27.47</v>
      </c>
      <c r="Q41" s="19" t="n">
        <v>20.63</v>
      </c>
      <c r="R41" s="19" t="n">
        <v>25.73</v>
      </c>
      <c r="S41" s="19" t="n">
        <v>30.96</v>
      </c>
      <c r="T41" s="19" t="n">
        <v>24.57</v>
      </c>
      <c r="U41" s="19" t="n">
        <v>23.65</v>
      </c>
      <c r="V41" s="19" t="n">
        <v>24.53</v>
      </c>
      <c r="W41" s="19" t="n">
        <v>15.43</v>
      </c>
      <c r="X41" s="19" t="n">
        <v>19.1</v>
      </c>
    </row>
    <row r="42" customFormat="false" ht="15" hidden="false" customHeight="false" outlineLevel="0" collapsed="false">
      <c r="A42" s="12" t="s">
        <v>194</v>
      </c>
      <c r="B42" s="12" t="s">
        <v>302</v>
      </c>
      <c r="C42" s="12" t="s">
        <v>276</v>
      </c>
      <c r="D42" s="12" t="s">
        <v>264</v>
      </c>
      <c r="E42" s="19" t="n">
        <v>7.37</v>
      </c>
      <c r="F42" s="19" t="n">
        <v>6.27</v>
      </c>
      <c r="G42" s="19" t="n">
        <v>8.16</v>
      </c>
      <c r="H42" s="19" t="n">
        <v>11.76</v>
      </c>
      <c r="I42" s="19" t="n">
        <v>15.04</v>
      </c>
      <c r="J42" s="19" t="n">
        <v>14.87</v>
      </c>
      <c r="K42" s="19" t="n">
        <v>16.38</v>
      </c>
      <c r="L42" s="19" t="n">
        <v>18.36</v>
      </c>
      <c r="M42" s="19" t="n">
        <v>17.29</v>
      </c>
      <c r="N42" s="19" t="n">
        <v>15.99</v>
      </c>
      <c r="O42" s="19" t="n">
        <v>14.97</v>
      </c>
      <c r="P42" s="19" t="n">
        <v>13.05</v>
      </c>
      <c r="Q42" s="19" t="n">
        <v>12.03</v>
      </c>
      <c r="R42" s="19" t="n">
        <v>9.96</v>
      </c>
      <c r="S42" s="19" t="n">
        <v>12.51</v>
      </c>
      <c r="T42" s="19" t="n">
        <v>11.32</v>
      </c>
      <c r="U42" s="19" t="n">
        <v>12.17</v>
      </c>
      <c r="V42" s="19" t="n">
        <v>10.26</v>
      </c>
      <c r="W42" s="19" t="n">
        <v>8.4</v>
      </c>
      <c r="X42" s="19" t="n">
        <v>6.65</v>
      </c>
    </row>
    <row r="43" customFormat="false" ht="15" hidden="false" customHeight="false" outlineLevel="0" collapsed="false">
      <c r="A43" s="12" t="s">
        <v>194</v>
      </c>
      <c r="B43" s="12" t="s">
        <v>303</v>
      </c>
      <c r="C43" s="12" t="s">
        <v>276</v>
      </c>
      <c r="D43" s="12" t="s">
        <v>266</v>
      </c>
      <c r="E43" s="19" t="n">
        <v>6.58</v>
      </c>
      <c r="F43" s="19" t="n">
        <v>6.54</v>
      </c>
      <c r="G43" s="19" t="n">
        <v>8.65</v>
      </c>
      <c r="H43" s="19" t="n">
        <v>14.41</v>
      </c>
      <c r="I43" s="19" t="n">
        <v>10.06</v>
      </c>
      <c r="J43" s="19" t="n">
        <v>11.15</v>
      </c>
      <c r="K43" s="19" t="n">
        <v>13.99</v>
      </c>
      <c r="L43" s="19" t="n">
        <v>18.04</v>
      </c>
      <c r="M43" s="19" t="n">
        <v>17.48</v>
      </c>
      <c r="N43" s="19" t="n">
        <v>13.61</v>
      </c>
      <c r="O43" s="19" t="n">
        <v>14.88</v>
      </c>
      <c r="P43" s="19" t="n">
        <v>11.87</v>
      </c>
      <c r="Q43" s="19" t="n">
        <v>12.3</v>
      </c>
      <c r="R43" s="19" t="n">
        <v>11.84</v>
      </c>
      <c r="S43" s="19" t="n">
        <v>11.24</v>
      </c>
      <c r="T43" s="19" t="n">
        <v>12.23</v>
      </c>
      <c r="U43" s="19" t="n">
        <v>11.51</v>
      </c>
      <c r="V43" s="19" t="n">
        <v>10.09</v>
      </c>
      <c r="W43" s="19" t="n">
        <v>10.72</v>
      </c>
      <c r="X43" s="19" t="n">
        <v>9.13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4" t="s">
        <v>93</v>
      </c>
      <c r="B1" s="4" t="s">
        <v>94</v>
      </c>
      <c r="C1" s="4" t="s">
        <v>237</v>
      </c>
      <c r="D1" s="4" t="s">
        <v>238</v>
      </c>
      <c r="E1" s="4" t="s">
        <v>239</v>
      </c>
      <c r="F1" s="4" t="s">
        <v>240</v>
      </c>
      <c r="G1" s="4" t="s">
        <v>241</v>
      </c>
      <c r="H1" s="4" t="s">
        <v>242</v>
      </c>
      <c r="I1" s="4" t="s">
        <v>243</v>
      </c>
      <c r="J1" s="4" t="s">
        <v>244</v>
      </c>
      <c r="K1" s="4" t="s">
        <v>245</v>
      </c>
      <c r="L1" s="4" t="s">
        <v>246</v>
      </c>
      <c r="M1" s="4" t="s">
        <v>247</v>
      </c>
      <c r="N1" s="4" t="s">
        <v>248</v>
      </c>
      <c r="O1" s="4" t="s">
        <v>249</v>
      </c>
      <c r="P1" s="4" t="s">
        <v>250</v>
      </c>
      <c r="Q1" s="4" t="s">
        <v>251</v>
      </c>
      <c r="R1" s="4" t="s">
        <v>252</v>
      </c>
      <c r="S1" s="4" t="s">
        <v>253</v>
      </c>
      <c r="T1" s="4" t="s">
        <v>254</v>
      </c>
      <c r="U1" s="4" t="s">
        <v>255</v>
      </c>
      <c r="V1" s="4" t="s">
        <v>80</v>
      </c>
    </row>
    <row r="2" customFormat="false" ht="15" hidden="false" customHeight="false" outlineLevel="0" collapsed="false">
      <c r="A2" s="12" t="s">
        <v>195</v>
      </c>
      <c r="B2" s="12" t="s">
        <v>257</v>
      </c>
      <c r="C2" s="13" t="n">
        <f aca="false">EPA_Paro_Anual_SexoEdad!E23-EPA_Paro_Anual_SexoEdad!E2</f>
        <v>-2.15</v>
      </c>
      <c r="D2" s="13" t="n">
        <f aca="false">EPA_Paro_Anual_SexoEdad!F23-EPA_Paro_Anual_SexoEdad!F2</f>
        <v>-1.99</v>
      </c>
      <c r="E2" s="13" t="n">
        <f aca="false">EPA_Paro_Anual_SexoEdad!G23-EPA_Paro_Anual_SexoEdad!G2</f>
        <v>-2.64</v>
      </c>
      <c r="F2" s="13" t="n">
        <f aca="false">EPA_Paro_Anual_SexoEdad!H23-EPA_Paro_Anual_SexoEdad!H2</f>
        <v>-4</v>
      </c>
      <c r="G2" s="13" t="n">
        <f aca="false">EPA_Paro_Anual_SexoEdad!I23-EPA_Paro_Anual_SexoEdad!I2</f>
        <v>-4.02</v>
      </c>
      <c r="H2" s="13" t="n">
        <f aca="false">EPA_Paro_Anual_SexoEdad!J23-EPA_Paro_Anual_SexoEdad!J2</f>
        <v>-5.06</v>
      </c>
      <c r="I2" s="13" t="n">
        <f aca="false">EPA_Paro_Anual_SexoEdad!K23-EPA_Paro_Anual_SexoEdad!K2</f>
        <v>-6.26</v>
      </c>
      <c r="J2" s="13" t="n">
        <f aca="false">EPA_Paro_Anual_SexoEdad!L23-EPA_Paro_Anual_SexoEdad!L2</f>
        <v>-6.33</v>
      </c>
      <c r="K2" s="13" t="n">
        <f aca="false">EPA_Paro_Anual_SexoEdad!M23-EPA_Paro_Anual_SexoEdad!M2</f>
        <v>-5.7</v>
      </c>
      <c r="L2" s="13" t="n">
        <f aca="false">EPA_Paro_Anual_SexoEdad!N23-EPA_Paro_Anual_SexoEdad!N2</f>
        <v>-5</v>
      </c>
      <c r="M2" s="13" t="n">
        <f aca="false">EPA_Paro_Anual_SexoEdad!O23-EPA_Paro_Anual_SexoEdad!O2</f>
        <v>-3.91</v>
      </c>
      <c r="N2" s="13" t="n">
        <f aca="false">EPA_Paro_Anual_SexoEdad!P23-EPA_Paro_Anual_SexoEdad!P2</f>
        <v>-3.88</v>
      </c>
      <c r="O2" s="13" t="n">
        <f aca="false">EPA_Paro_Anual_SexoEdad!Q23-EPA_Paro_Anual_SexoEdad!Q2</f>
        <v>-3.03</v>
      </c>
      <c r="P2" s="13" t="n">
        <f aca="false">EPA_Paro_Anual_SexoEdad!R23-EPA_Paro_Anual_SexoEdad!R2</f>
        <v>-3.48</v>
      </c>
      <c r="Q2" s="13" t="n">
        <f aca="false">EPA_Paro_Anual_SexoEdad!S23-EPA_Paro_Anual_SexoEdad!S2</f>
        <v>-3.04</v>
      </c>
      <c r="R2" s="13" t="n">
        <f aca="false">EPA_Paro_Anual_SexoEdad!T23-EPA_Paro_Anual_SexoEdad!T2</f>
        <v>-3.22</v>
      </c>
      <c r="S2" s="13" t="n">
        <f aca="false">EPA_Paro_Anual_SexoEdad!U23-EPA_Paro_Anual_SexoEdad!U2</f>
        <v>-1.81</v>
      </c>
      <c r="T2" s="13" t="n">
        <f aca="false">EPA_Paro_Anual_SexoEdad!V23-EPA_Paro_Anual_SexoEdad!V2</f>
        <v>-2.23</v>
      </c>
      <c r="U2" s="13" t="n">
        <f aca="false">EPA_Paro_Anual_SexoEdad!W23-EPA_Paro_Anual_SexoEdad!W2</f>
        <v>-2.37</v>
      </c>
      <c r="V2" s="13" t="n">
        <f aca="false">EPA_Paro_Anual_SexoEdad!X23-EPA_Paro_Anual_SexoEdad!X2</f>
        <v>-2.53</v>
      </c>
    </row>
    <row r="3" customFormat="false" ht="15" hidden="false" customHeight="false" outlineLevel="0" collapsed="false">
      <c r="A3" s="12" t="s">
        <v>195</v>
      </c>
      <c r="B3" s="12" t="s">
        <v>259</v>
      </c>
      <c r="C3" s="13" t="n">
        <f aca="false">EPA_Paro_Anual_SexoEdad!E24-EPA_Paro_Anual_SexoEdad!E3</f>
        <v>-3.2</v>
      </c>
      <c r="D3" s="13" t="n">
        <f aca="false">EPA_Paro_Anual_SexoEdad!F24-EPA_Paro_Anual_SexoEdad!F3</f>
        <v>-1.34</v>
      </c>
      <c r="E3" s="13" t="n">
        <f aca="false">EPA_Paro_Anual_SexoEdad!G24-EPA_Paro_Anual_SexoEdad!G3</f>
        <v>-3.7</v>
      </c>
      <c r="F3" s="13" t="n">
        <f aca="false">EPA_Paro_Anual_SexoEdad!H24-EPA_Paro_Anual_SexoEdad!H3</f>
        <v>-3.54</v>
      </c>
      <c r="G3" s="13" t="n">
        <f aca="false">EPA_Paro_Anual_SexoEdad!I24-EPA_Paro_Anual_SexoEdad!I3</f>
        <v>-4.38999999999999</v>
      </c>
      <c r="H3" s="13" t="n">
        <f aca="false">EPA_Paro_Anual_SexoEdad!J24-EPA_Paro_Anual_SexoEdad!J3</f>
        <v>-5.34999999999999</v>
      </c>
      <c r="I3" s="13" t="n">
        <f aca="false">EPA_Paro_Anual_SexoEdad!K24-EPA_Paro_Anual_SexoEdad!K3</f>
        <v>-4.81</v>
      </c>
      <c r="J3" s="13" t="n">
        <f aca="false">EPA_Paro_Anual_SexoEdad!L24-EPA_Paro_Anual_SexoEdad!L3</f>
        <v>-6.68</v>
      </c>
      <c r="K3" s="13" t="n">
        <f aca="false">EPA_Paro_Anual_SexoEdad!M24-EPA_Paro_Anual_SexoEdad!M3</f>
        <v>-4.21</v>
      </c>
      <c r="L3" s="13" t="n">
        <f aca="false">EPA_Paro_Anual_SexoEdad!N24-EPA_Paro_Anual_SexoEdad!N3</f>
        <v>-4.17</v>
      </c>
      <c r="M3" s="13" t="n">
        <f aca="false">EPA_Paro_Anual_SexoEdad!O24-EPA_Paro_Anual_SexoEdad!O3</f>
        <v>-3.79</v>
      </c>
      <c r="N3" s="13" t="n">
        <f aca="false">EPA_Paro_Anual_SexoEdad!P24-EPA_Paro_Anual_SexoEdad!P3</f>
        <v>-3.91</v>
      </c>
      <c r="O3" s="13" t="n">
        <f aca="false">EPA_Paro_Anual_SexoEdad!Q24-EPA_Paro_Anual_SexoEdad!Q3</f>
        <v>-6.85000000000001</v>
      </c>
      <c r="P3" s="13" t="n">
        <f aca="false">EPA_Paro_Anual_SexoEdad!R24-EPA_Paro_Anual_SexoEdad!R3</f>
        <v>-3.5</v>
      </c>
      <c r="Q3" s="13" t="n">
        <f aca="false">EPA_Paro_Anual_SexoEdad!S24-EPA_Paro_Anual_SexoEdad!S3</f>
        <v>-6.5</v>
      </c>
      <c r="R3" s="13" t="n">
        <f aca="false">EPA_Paro_Anual_SexoEdad!T24-EPA_Paro_Anual_SexoEdad!T3</f>
        <v>-5.48</v>
      </c>
      <c r="S3" s="13" t="n">
        <f aca="false">EPA_Paro_Anual_SexoEdad!U24-EPA_Paro_Anual_SexoEdad!U3</f>
        <v>-1.83</v>
      </c>
      <c r="T3" s="13" t="n">
        <f aca="false">EPA_Paro_Anual_SexoEdad!V24-EPA_Paro_Anual_SexoEdad!V3</f>
        <v>-1.24</v>
      </c>
      <c r="U3" s="13" t="n">
        <f aca="false">EPA_Paro_Anual_SexoEdad!W24-EPA_Paro_Anual_SexoEdad!W3</f>
        <v>-6.11</v>
      </c>
      <c r="V3" s="13" t="n">
        <f aca="false">EPA_Paro_Anual_SexoEdad!X24-EPA_Paro_Anual_SexoEdad!X3</f>
        <v>-5.58</v>
      </c>
    </row>
    <row r="4" customFormat="false" ht="15" hidden="false" customHeight="false" outlineLevel="0" collapsed="false">
      <c r="A4" s="12" t="s">
        <v>195</v>
      </c>
      <c r="B4" s="12" t="s">
        <v>200</v>
      </c>
      <c r="C4" s="13" t="n">
        <f aca="false">EPA_Paro_Anual_SexoEdad!E25-EPA_Paro_Anual_SexoEdad!E4</f>
        <v>-1.93</v>
      </c>
      <c r="D4" s="13" t="n">
        <f aca="false">EPA_Paro_Anual_SexoEdad!F25-EPA_Paro_Anual_SexoEdad!F4</f>
        <v>-1.98</v>
      </c>
      <c r="E4" s="13" t="n">
        <f aca="false">EPA_Paro_Anual_SexoEdad!G25-EPA_Paro_Anual_SexoEdad!G4</f>
        <v>-2.39</v>
      </c>
      <c r="F4" s="13" t="n">
        <f aca="false">EPA_Paro_Anual_SexoEdad!H25-EPA_Paro_Anual_SexoEdad!H4</f>
        <v>-3.83</v>
      </c>
      <c r="G4" s="13" t="n">
        <f aca="false">EPA_Paro_Anual_SexoEdad!I25-EPA_Paro_Anual_SexoEdad!I4</f>
        <v>-3.76</v>
      </c>
      <c r="H4" s="13" t="n">
        <f aca="false">EPA_Paro_Anual_SexoEdad!J25-EPA_Paro_Anual_SexoEdad!J4</f>
        <v>-4.74</v>
      </c>
      <c r="I4" s="13" t="n">
        <f aca="false">EPA_Paro_Anual_SexoEdad!K25-EPA_Paro_Anual_SexoEdad!K4</f>
        <v>-6.04</v>
      </c>
      <c r="J4" s="13" t="n">
        <f aca="false">EPA_Paro_Anual_SexoEdad!L25-EPA_Paro_Anual_SexoEdad!L4</f>
        <v>-6.05</v>
      </c>
      <c r="K4" s="13" t="n">
        <f aca="false">EPA_Paro_Anual_SexoEdad!M25-EPA_Paro_Anual_SexoEdad!M4</f>
        <v>-5.63</v>
      </c>
      <c r="L4" s="13" t="n">
        <f aca="false">EPA_Paro_Anual_SexoEdad!N25-EPA_Paro_Anual_SexoEdad!N4</f>
        <v>-4.97</v>
      </c>
      <c r="M4" s="13" t="n">
        <f aca="false">EPA_Paro_Anual_SexoEdad!O25-EPA_Paro_Anual_SexoEdad!O4</f>
        <v>-3.79</v>
      </c>
      <c r="N4" s="13" t="n">
        <f aca="false">EPA_Paro_Anual_SexoEdad!P25-EPA_Paro_Anual_SexoEdad!P4</f>
        <v>-3.72</v>
      </c>
      <c r="O4" s="13" t="n">
        <f aca="false">EPA_Paro_Anual_SexoEdad!Q25-EPA_Paro_Anual_SexoEdad!Q4</f>
        <v>-2.7</v>
      </c>
      <c r="P4" s="13" t="n">
        <f aca="false">EPA_Paro_Anual_SexoEdad!R25-EPA_Paro_Anual_SexoEdad!R4</f>
        <v>-3.34</v>
      </c>
      <c r="Q4" s="13" t="n">
        <f aca="false">EPA_Paro_Anual_SexoEdad!S25-EPA_Paro_Anual_SexoEdad!S4</f>
        <v>-2.68</v>
      </c>
      <c r="R4" s="13" t="n">
        <f aca="false">EPA_Paro_Anual_SexoEdad!T25-EPA_Paro_Anual_SexoEdad!T4</f>
        <v>-3.07</v>
      </c>
      <c r="S4" s="13" t="n">
        <f aca="false">EPA_Paro_Anual_SexoEdad!U25-EPA_Paro_Anual_SexoEdad!U4</f>
        <v>-1.81</v>
      </c>
      <c r="T4" s="13" t="n">
        <f aca="false">EPA_Paro_Anual_SexoEdad!V25-EPA_Paro_Anual_SexoEdad!V4</f>
        <v>-2.22</v>
      </c>
      <c r="U4" s="13" t="n">
        <f aca="false">EPA_Paro_Anual_SexoEdad!W25-EPA_Paro_Anual_SexoEdad!W4</f>
        <v>-2.03</v>
      </c>
      <c r="V4" s="13" t="n">
        <f aca="false">EPA_Paro_Anual_SexoEdad!X25-EPA_Paro_Anual_SexoEdad!X4</f>
        <v>-2.26</v>
      </c>
    </row>
    <row r="5" customFormat="false" ht="15" hidden="false" customHeight="false" outlineLevel="0" collapsed="false">
      <c r="A5" s="12" t="s">
        <v>195</v>
      </c>
      <c r="B5" s="12" t="s">
        <v>202</v>
      </c>
      <c r="C5" s="13" t="n">
        <f aca="false">EPA_Paro_Anual_SexoEdad!E26-EPA_Paro_Anual_SexoEdad!E5</f>
        <v>0.490000000000002</v>
      </c>
      <c r="D5" s="13" t="n">
        <f aca="false">EPA_Paro_Anual_SexoEdad!F26-EPA_Paro_Anual_SexoEdad!F5</f>
        <v>-0.279999999999998</v>
      </c>
      <c r="E5" s="13" t="n">
        <f aca="false">EPA_Paro_Anual_SexoEdad!G26-EPA_Paro_Anual_SexoEdad!G5</f>
        <v>-3.77</v>
      </c>
      <c r="F5" s="13" t="n">
        <f aca="false">EPA_Paro_Anual_SexoEdad!H26-EPA_Paro_Anual_SexoEdad!H5</f>
        <v>-2.81</v>
      </c>
      <c r="G5" s="13" t="n">
        <f aca="false">EPA_Paro_Anual_SexoEdad!I26-EPA_Paro_Anual_SexoEdad!I5</f>
        <v>-2.63</v>
      </c>
      <c r="H5" s="13" t="n">
        <f aca="false">EPA_Paro_Anual_SexoEdad!J26-EPA_Paro_Anual_SexoEdad!J5</f>
        <v>-1.20999999999999</v>
      </c>
      <c r="I5" s="13" t="n">
        <f aca="false">EPA_Paro_Anual_SexoEdad!K26-EPA_Paro_Anual_SexoEdad!K5</f>
        <v>5.18000000000001</v>
      </c>
      <c r="J5" s="13" t="n">
        <f aca="false">EPA_Paro_Anual_SexoEdad!L26-EPA_Paro_Anual_SexoEdad!L5</f>
        <v>-0.340000000000003</v>
      </c>
      <c r="K5" s="13" t="n">
        <f aca="false">EPA_Paro_Anual_SexoEdad!M26-EPA_Paro_Anual_SexoEdad!M5</f>
        <v>0.219999999999999</v>
      </c>
      <c r="L5" s="13" t="n">
        <f aca="false">EPA_Paro_Anual_SexoEdad!N26-EPA_Paro_Anual_SexoEdad!N5</f>
        <v>1.34</v>
      </c>
      <c r="M5" s="13" t="n">
        <f aca="false">EPA_Paro_Anual_SexoEdad!O26-EPA_Paro_Anual_SexoEdad!O5</f>
        <v>-0.449999999999996</v>
      </c>
      <c r="N5" s="13" t="n">
        <f aca="false">EPA_Paro_Anual_SexoEdad!P26-EPA_Paro_Anual_SexoEdad!P5</f>
        <v>5.8</v>
      </c>
      <c r="O5" s="13" t="n">
        <f aca="false">EPA_Paro_Anual_SexoEdad!Q26-EPA_Paro_Anual_SexoEdad!Q5</f>
        <v>1.69</v>
      </c>
      <c r="P5" s="13" t="n">
        <f aca="false">EPA_Paro_Anual_SexoEdad!R26-EPA_Paro_Anual_SexoEdad!R5</f>
        <v>1.05</v>
      </c>
      <c r="Q5" s="13" t="n">
        <f aca="false">EPA_Paro_Anual_SexoEdad!S26-EPA_Paro_Anual_SexoEdad!S5</f>
        <v>-6.59</v>
      </c>
      <c r="R5" s="13" t="n">
        <f aca="false">EPA_Paro_Anual_SexoEdad!T26-EPA_Paro_Anual_SexoEdad!T5</f>
        <v>1.79</v>
      </c>
      <c r="S5" s="13" t="n">
        <f aca="false">EPA_Paro_Anual_SexoEdad!U26-EPA_Paro_Anual_SexoEdad!U5</f>
        <v>3.55</v>
      </c>
      <c r="T5" s="13" t="n">
        <f aca="false">EPA_Paro_Anual_SexoEdad!V26-EPA_Paro_Anual_SexoEdad!V5</f>
        <v>1.09</v>
      </c>
      <c r="U5" s="13" t="n">
        <f aca="false">EPA_Paro_Anual_SexoEdad!W26-EPA_Paro_Anual_SexoEdad!W5</f>
        <v>-7.33</v>
      </c>
      <c r="V5" s="13" t="n">
        <f aca="false">EPA_Paro_Anual_SexoEdad!X26-EPA_Paro_Anual_SexoEdad!X5</f>
        <v>-6.21</v>
      </c>
    </row>
    <row r="6" customFormat="false" ht="15" hidden="false" customHeight="false" outlineLevel="0" collapsed="false">
      <c r="A6" s="12" t="s">
        <v>195</v>
      </c>
      <c r="B6" s="12" t="s">
        <v>204</v>
      </c>
      <c r="C6" s="13" t="n">
        <f aca="false">EPA_Paro_Anual_SexoEdad!E27-EPA_Paro_Anual_SexoEdad!E6</f>
        <v>-4.03</v>
      </c>
      <c r="D6" s="13" t="n">
        <f aca="false">EPA_Paro_Anual_SexoEdad!F27-EPA_Paro_Anual_SexoEdad!F6</f>
        <v>-1.19</v>
      </c>
      <c r="E6" s="13" t="n">
        <f aca="false">EPA_Paro_Anual_SexoEdad!G27-EPA_Paro_Anual_SexoEdad!G6</f>
        <v>-3.35</v>
      </c>
      <c r="F6" s="13" t="n">
        <f aca="false">EPA_Paro_Anual_SexoEdad!H27-EPA_Paro_Anual_SexoEdad!H6</f>
        <v>-3.18</v>
      </c>
      <c r="G6" s="13" t="n">
        <f aca="false">EPA_Paro_Anual_SexoEdad!I27-EPA_Paro_Anual_SexoEdad!I6</f>
        <v>-4.04</v>
      </c>
      <c r="H6" s="13" t="n">
        <f aca="false">EPA_Paro_Anual_SexoEdad!J27-EPA_Paro_Anual_SexoEdad!J6</f>
        <v>-5.86</v>
      </c>
      <c r="I6" s="13" t="n">
        <f aca="false">EPA_Paro_Anual_SexoEdad!K27-EPA_Paro_Anual_SexoEdad!K6</f>
        <v>-6.21</v>
      </c>
      <c r="J6" s="13" t="n">
        <f aca="false">EPA_Paro_Anual_SexoEdad!L27-EPA_Paro_Anual_SexoEdad!L6</f>
        <v>-7.14</v>
      </c>
      <c r="K6" s="13" t="n">
        <f aca="false">EPA_Paro_Anual_SexoEdad!M27-EPA_Paro_Anual_SexoEdad!M6</f>
        <v>-4.86</v>
      </c>
      <c r="L6" s="13" t="n">
        <f aca="false">EPA_Paro_Anual_SexoEdad!N27-EPA_Paro_Anual_SexoEdad!N6</f>
        <v>-4.52</v>
      </c>
      <c r="M6" s="13" t="n">
        <f aca="false">EPA_Paro_Anual_SexoEdad!O27-EPA_Paro_Anual_SexoEdad!O6</f>
        <v>-4.21</v>
      </c>
      <c r="N6" s="13" t="n">
        <f aca="false">EPA_Paro_Anual_SexoEdad!P27-EPA_Paro_Anual_SexoEdad!P6</f>
        <v>-4.64</v>
      </c>
      <c r="O6" s="13" t="n">
        <f aca="false">EPA_Paro_Anual_SexoEdad!Q27-EPA_Paro_Anual_SexoEdad!Q6</f>
        <v>-7.42</v>
      </c>
      <c r="P6" s="13" t="n">
        <f aca="false">EPA_Paro_Anual_SexoEdad!R27-EPA_Paro_Anual_SexoEdad!R6</f>
        <v>-3.88</v>
      </c>
      <c r="Q6" s="13" t="n">
        <f aca="false">EPA_Paro_Anual_SexoEdad!S27-EPA_Paro_Anual_SexoEdad!S6</f>
        <v>-6.12</v>
      </c>
      <c r="R6" s="13" t="n">
        <f aca="false">EPA_Paro_Anual_SexoEdad!T27-EPA_Paro_Anual_SexoEdad!T6</f>
        <v>-6.72</v>
      </c>
      <c r="S6" s="13" t="n">
        <f aca="false">EPA_Paro_Anual_SexoEdad!U27-EPA_Paro_Anual_SexoEdad!U6</f>
        <v>-2.23</v>
      </c>
      <c r="T6" s="13" t="n">
        <f aca="false">EPA_Paro_Anual_SexoEdad!V27-EPA_Paro_Anual_SexoEdad!V6</f>
        <v>-0.710000000000001</v>
      </c>
      <c r="U6" s="13" t="n">
        <f aca="false">EPA_Paro_Anual_SexoEdad!W27-EPA_Paro_Anual_SexoEdad!W6</f>
        <v>-4.94</v>
      </c>
      <c r="V6" s="13" t="n">
        <f aca="false">EPA_Paro_Anual_SexoEdad!X27-EPA_Paro_Anual_SexoEdad!X6</f>
        <v>-4.93</v>
      </c>
    </row>
    <row r="7" customFormat="false" ht="15" hidden="false" customHeight="false" outlineLevel="0" collapsed="false">
      <c r="A7" s="12" t="s">
        <v>195</v>
      </c>
      <c r="B7" s="12" t="s">
        <v>264</v>
      </c>
      <c r="C7" s="13" t="n">
        <f aca="false">EPA_Paro_Anual_SexoEdad!E28-EPA_Paro_Anual_SexoEdad!E7</f>
        <v>-2.06</v>
      </c>
      <c r="D7" s="13" t="n">
        <f aca="false">EPA_Paro_Anual_SexoEdad!F28-EPA_Paro_Anual_SexoEdad!F7</f>
        <v>-2.1</v>
      </c>
      <c r="E7" s="13" t="n">
        <f aca="false">EPA_Paro_Anual_SexoEdad!G28-EPA_Paro_Anual_SexoEdad!G7</f>
        <v>-2.73</v>
      </c>
      <c r="F7" s="13" t="n">
        <f aca="false">EPA_Paro_Anual_SexoEdad!H28-EPA_Paro_Anual_SexoEdad!H7</f>
        <v>-4.32</v>
      </c>
      <c r="G7" s="13" t="n">
        <f aca="false">EPA_Paro_Anual_SexoEdad!I28-EPA_Paro_Anual_SexoEdad!I7</f>
        <v>-3.81</v>
      </c>
      <c r="H7" s="13" t="n">
        <f aca="false">EPA_Paro_Anual_SexoEdad!J28-EPA_Paro_Anual_SexoEdad!J7</f>
        <v>-4.99</v>
      </c>
      <c r="I7" s="13" t="n">
        <f aca="false">EPA_Paro_Anual_SexoEdad!K28-EPA_Paro_Anual_SexoEdad!K7</f>
        <v>-6.36</v>
      </c>
      <c r="J7" s="13" t="n">
        <f aca="false">EPA_Paro_Anual_SexoEdad!L28-EPA_Paro_Anual_SexoEdad!L7</f>
        <v>-6.62</v>
      </c>
      <c r="K7" s="13" t="n">
        <f aca="false">EPA_Paro_Anual_SexoEdad!M28-EPA_Paro_Anual_SexoEdad!M7</f>
        <v>-6.05</v>
      </c>
      <c r="L7" s="13" t="n">
        <f aca="false">EPA_Paro_Anual_SexoEdad!N28-EPA_Paro_Anual_SexoEdad!N7</f>
        <v>-5.01</v>
      </c>
      <c r="M7" s="13" t="n">
        <f aca="false">EPA_Paro_Anual_SexoEdad!O28-EPA_Paro_Anual_SexoEdad!O7</f>
        <v>-4.16</v>
      </c>
      <c r="N7" s="13" t="n">
        <f aca="false">EPA_Paro_Anual_SexoEdad!P28-EPA_Paro_Anual_SexoEdad!P7</f>
        <v>-3.81</v>
      </c>
      <c r="O7" s="13" t="n">
        <f aca="false">EPA_Paro_Anual_SexoEdad!Q28-EPA_Paro_Anual_SexoEdad!Q7</f>
        <v>-2.8</v>
      </c>
      <c r="P7" s="13" t="n">
        <f aca="false">EPA_Paro_Anual_SexoEdad!R28-EPA_Paro_Anual_SexoEdad!R7</f>
        <v>-3.77</v>
      </c>
      <c r="Q7" s="13" t="n">
        <f aca="false">EPA_Paro_Anual_SexoEdad!S28-EPA_Paro_Anual_SexoEdad!S7</f>
        <v>-2.98</v>
      </c>
      <c r="R7" s="13" t="n">
        <f aca="false">EPA_Paro_Anual_SexoEdad!T28-EPA_Paro_Anual_SexoEdad!T7</f>
        <v>-3.4</v>
      </c>
      <c r="S7" s="13" t="n">
        <f aca="false">EPA_Paro_Anual_SexoEdad!U28-EPA_Paro_Anual_SexoEdad!U7</f>
        <v>-1.86</v>
      </c>
      <c r="T7" s="13" t="n">
        <f aca="false">EPA_Paro_Anual_SexoEdad!V28-EPA_Paro_Anual_SexoEdad!V7</f>
        <v>-2.27</v>
      </c>
      <c r="U7" s="13" t="n">
        <f aca="false">EPA_Paro_Anual_SexoEdad!W28-EPA_Paro_Anual_SexoEdad!W7</f>
        <v>-2.2</v>
      </c>
      <c r="V7" s="13" t="n">
        <f aca="false">EPA_Paro_Anual_SexoEdad!X28-EPA_Paro_Anual_SexoEdad!X7</f>
        <v>-2.62</v>
      </c>
    </row>
    <row r="8" customFormat="false" ht="15" hidden="false" customHeight="false" outlineLevel="0" collapsed="false">
      <c r="A8" s="12" t="s">
        <v>195</v>
      </c>
      <c r="B8" s="12" t="s">
        <v>266</v>
      </c>
      <c r="C8" s="13" t="n">
        <f aca="false">EPA_Paro_Anual_SexoEdad!E29-EPA_Paro_Anual_SexoEdad!E8</f>
        <v>-0.97</v>
      </c>
      <c r="D8" s="13" t="n">
        <f aca="false">EPA_Paro_Anual_SexoEdad!F29-EPA_Paro_Anual_SexoEdad!F8</f>
        <v>-1.09</v>
      </c>
      <c r="E8" s="13" t="n">
        <f aca="false">EPA_Paro_Anual_SexoEdad!G29-EPA_Paro_Anual_SexoEdad!G8</f>
        <v>0.0500000000000007</v>
      </c>
      <c r="F8" s="13" t="n">
        <f aca="false">EPA_Paro_Anual_SexoEdad!H29-EPA_Paro_Anual_SexoEdad!H8</f>
        <v>-0.369999999999999</v>
      </c>
      <c r="G8" s="13" t="n">
        <f aca="false">EPA_Paro_Anual_SexoEdad!I29-EPA_Paro_Anual_SexoEdad!I8</f>
        <v>-3.38</v>
      </c>
      <c r="H8" s="13" t="n">
        <f aca="false">EPA_Paro_Anual_SexoEdad!J29-EPA_Paro_Anual_SexoEdad!J8</f>
        <v>-3.05</v>
      </c>
      <c r="I8" s="13" t="n">
        <f aca="false">EPA_Paro_Anual_SexoEdad!K29-EPA_Paro_Anual_SexoEdad!K8</f>
        <v>-3.9</v>
      </c>
      <c r="J8" s="13" t="n">
        <f aca="false">EPA_Paro_Anual_SexoEdad!L29-EPA_Paro_Anual_SexoEdad!L8</f>
        <v>-2.49</v>
      </c>
      <c r="K8" s="13" t="n">
        <f aca="false">EPA_Paro_Anual_SexoEdad!M29-EPA_Paro_Anual_SexoEdad!M8</f>
        <v>-3.17</v>
      </c>
      <c r="L8" s="13" t="n">
        <f aca="false">EPA_Paro_Anual_SexoEdad!N29-EPA_Paro_Anual_SexoEdad!N8</f>
        <v>-4.75</v>
      </c>
      <c r="M8" s="13" t="n">
        <f aca="false">EPA_Paro_Anual_SexoEdad!O29-EPA_Paro_Anual_SexoEdad!O8</f>
        <v>-1.84</v>
      </c>
      <c r="N8" s="13" t="n">
        <f aca="false">EPA_Paro_Anual_SexoEdad!P29-EPA_Paro_Anual_SexoEdad!P8</f>
        <v>-3.27</v>
      </c>
      <c r="O8" s="13" t="n">
        <f aca="false">EPA_Paro_Anual_SexoEdad!Q29-EPA_Paro_Anual_SexoEdad!Q8</f>
        <v>-2.26</v>
      </c>
      <c r="P8" s="13" t="n">
        <f aca="false">EPA_Paro_Anual_SexoEdad!R29-EPA_Paro_Anual_SexoEdad!R8</f>
        <v>-1.46</v>
      </c>
      <c r="Q8" s="13" t="n">
        <f aca="false">EPA_Paro_Anual_SexoEdad!S29-EPA_Paro_Anual_SexoEdad!S8</f>
        <v>-1.46</v>
      </c>
      <c r="R8" s="13" t="n">
        <f aca="false">EPA_Paro_Anual_SexoEdad!T29-EPA_Paro_Anual_SexoEdad!T8</f>
        <v>-1.76</v>
      </c>
      <c r="S8" s="13" t="n">
        <f aca="false">EPA_Paro_Anual_SexoEdad!U29-EPA_Paro_Anual_SexoEdad!U8</f>
        <v>-1.59</v>
      </c>
      <c r="T8" s="13" t="n">
        <f aca="false">EPA_Paro_Anual_SexoEdad!V29-EPA_Paro_Anual_SexoEdad!V8</f>
        <v>-2.06</v>
      </c>
      <c r="U8" s="13" t="n">
        <f aca="false">EPA_Paro_Anual_SexoEdad!W29-EPA_Paro_Anual_SexoEdad!W8</f>
        <v>-1.41</v>
      </c>
      <c r="V8" s="13" t="n">
        <f aca="false">EPA_Paro_Anual_SexoEdad!X29-EPA_Paro_Anual_SexoEdad!X8</f>
        <v>-0.970000000000001</v>
      </c>
    </row>
    <row r="9" customFormat="false" ht="15" hidden="false" customHeight="false" outlineLevel="0" collapsed="false">
      <c r="A9" s="12" t="s">
        <v>268</v>
      </c>
      <c r="B9" s="12" t="s">
        <v>257</v>
      </c>
      <c r="C9" s="13" t="n">
        <f aca="false">EPA_Paro_Anual_SexoEdad!E30-EPA_Paro_Anual_SexoEdad!E9</f>
        <v>-1.71</v>
      </c>
      <c r="D9" s="13" t="n">
        <f aca="false">EPA_Paro_Anual_SexoEdad!F30-EPA_Paro_Anual_SexoEdad!F9</f>
        <v>-1.49</v>
      </c>
      <c r="E9" s="13" t="n">
        <f aca="false">EPA_Paro_Anual_SexoEdad!G30-EPA_Paro_Anual_SexoEdad!G9</f>
        <v>-2.2</v>
      </c>
      <c r="F9" s="13" t="n">
        <f aca="false">EPA_Paro_Anual_SexoEdad!H30-EPA_Paro_Anual_SexoEdad!H9</f>
        <v>-3.73</v>
      </c>
      <c r="G9" s="13" t="n">
        <f aca="false">EPA_Paro_Anual_SexoEdad!I30-EPA_Paro_Anual_SexoEdad!I9</f>
        <v>-4</v>
      </c>
      <c r="H9" s="13" t="n">
        <f aca="false">EPA_Paro_Anual_SexoEdad!J30-EPA_Paro_Anual_SexoEdad!J9</f>
        <v>-4.64</v>
      </c>
      <c r="I9" s="13" t="n">
        <f aca="false">EPA_Paro_Anual_SexoEdad!K30-EPA_Paro_Anual_SexoEdad!K9</f>
        <v>-5.48</v>
      </c>
      <c r="J9" s="13" t="n">
        <f aca="false">EPA_Paro_Anual_SexoEdad!L30-EPA_Paro_Anual_SexoEdad!L9</f>
        <v>-6.38</v>
      </c>
      <c r="K9" s="13" t="n">
        <f aca="false">EPA_Paro_Anual_SexoEdad!M30-EPA_Paro_Anual_SexoEdad!M9</f>
        <v>-5.65</v>
      </c>
      <c r="L9" s="13" t="n">
        <f aca="false">EPA_Paro_Anual_SexoEdad!N30-EPA_Paro_Anual_SexoEdad!N9</f>
        <v>-3.96</v>
      </c>
      <c r="M9" s="13" t="n">
        <f aca="false">EPA_Paro_Anual_SexoEdad!O30-EPA_Paro_Anual_SexoEdad!O9</f>
        <v>-3.11</v>
      </c>
      <c r="N9" s="13" t="n">
        <f aca="false">EPA_Paro_Anual_SexoEdad!P30-EPA_Paro_Anual_SexoEdad!P9</f>
        <v>-2.87</v>
      </c>
      <c r="O9" s="13" t="n">
        <f aca="false">EPA_Paro_Anual_SexoEdad!Q30-EPA_Paro_Anual_SexoEdad!Q9</f>
        <v>-2.1</v>
      </c>
      <c r="P9" s="13" t="n">
        <f aca="false">EPA_Paro_Anual_SexoEdad!R30-EPA_Paro_Anual_SexoEdad!R9</f>
        <v>-2.64</v>
      </c>
      <c r="Q9" s="13" t="n">
        <f aca="false">EPA_Paro_Anual_SexoEdad!S30-EPA_Paro_Anual_SexoEdad!S9</f>
        <v>-2.3</v>
      </c>
      <c r="R9" s="13" t="n">
        <f aca="false">EPA_Paro_Anual_SexoEdad!T30-EPA_Paro_Anual_SexoEdad!T9</f>
        <v>-2.47</v>
      </c>
      <c r="S9" s="13" t="n">
        <f aca="false">EPA_Paro_Anual_SexoEdad!U30-EPA_Paro_Anual_SexoEdad!U9</f>
        <v>-1.86</v>
      </c>
      <c r="T9" s="13" t="n">
        <f aca="false">EPA_Paro_Anual_SexoEdad!V30-EPA_Paro_Anual_SexoEdad!V9</f>
        <v>-1.96</v>
      </c>
      <c r="U9" s="13" t="n">
        <f aca="false">EPA_Paro_Anual_SexoEdad!W30-EPA_Paro_Anual_SexoEdad!W9</f>
        <v>-1.66</v>
      </c>
      <c r="V9" s="13" t="n">
        <f aca="false">EPA_Paro_Anual_SexoEdad!X30-EPA_Paro_Anual_SexoEdad!X9</f>
        <v>-1.45</v>
      </c>
    </row>
    <row r="10" customFormat="false" ht="15" hidden="false" customHeight="false" outlineLevel="0" collapsed="false">
      <c r="A10" s="12" t="s">
        <v>268</v>
      </c>
      <c r="B10" s="12" t="s">
        <v>259</v>
      </c>
      <c r="C10" s="13" t="n">
        <f aca="false">EPA_Paro_Anual_SexoEdad!E31-EPA_Paro_Anual_SexoEdad!E10</f>
        <v>-1.67</v>
      </c>
      <c r="D10" s="13" t="n">
        <f aca="false">EPA_Paro_Anual_SexoEdad!F31-EPA_Paro_Anual_SexoEdad!F10</f>
        <v>-1.9</v>
      </c>
      <c r="E10" s="13" t="n">
        <f aca="false">EPA_Paro_Anual_SexoEdad!G31-EPA_Paro_Anual_SexoEdad!G10</f>
        <v>-3.32</v>
      </c>
      <c r="F10" s="13" t="n">
        <f aca="false">EPA_Paro_Anual_SexoEdad!H31-EPA_Paro_Anual_SexoEdad!H10</f>
        <v>-2.83000000000001</v>
      </c>
      <c r="G10" s="13" t="n">
        <f aca="false">EPA_Paro_Anual_SexoEdad!I31-EPA_Paro_Anual_SexoEdad!I10</f>
        <v>-4.27</v>
      </c>
      <c r="H10" s="13" t="n">
        <f aca="false">EPA_Paro_Anual_SexoEdad!J31-EPA_Paro_Anual_SexoEdad!J10</f>
        <v>-5.89</v>
      </c>
      <c r="I10" s="13" t="n">
        <f aca="false">EPA_Paro_Anual_SexoEdad!K31-EPA_Paro_Anual_SexoEdad!K10</f>
        <v>-1.79</v>
      </c>
      <c r="J10" s="13" t="n">
        <f aca="false">EPA_Paro_Anual_SexoEdad!L31-EPA_Paro_Anual_SexoEdad!L10</f>
        <v>-7.17</v>
      </c>
      <c r="K10" s="13" t="n">
        <f aca="false">EPA_Paro_Anual_SexoEdad!M31-EPA_Paro_Anual_SexoEdad!M10</f>
        <v>-6.52</v>
      </c>
      <c r="L10" s="13" t="n">
        <f aca="false">EPA_Paro_Anual_SexoEdad!N31-EPA_Paro_Anual_SexoEdad!N10</f>
        <v>-2.42</v>
      </c>
      <c r="M10" s="13" t="n">
        <f aca="false">EPA_Paro_Anual_SexoEdad!O31-EPA_Paro_Anual_SexoEdad!O10</f>
        <v>-2.68</v>
      </c>
      <c r="N10" s="13" t="n">
        <f aca="false">EPA_Paro_Anual_SexoEdad!P31-EPA_Paro_Anual_SexoEdad!P10</f>
        <v>-1.91</v>
      </c>
      <c r="O10" s="13" t="n">
        <f aca="false">EPA_Paro_Anual_SexoEdad!Q31-EPA_Paro_Anual_SexoEdad!Q10</f>
        <v>-5.11</v>
      </c>
      <c r="P10" s="13" t="n">
        <f aca="false">EPA_Paro_Anual_SexoEdad!R31-EPA_Paro_Anual_SexoEdad!R10</f>
        <v>-2.57</v>
      </c>
      <c r="Q10" s="13" t="n">
        <f aca="false">EPA_Paro_Anual_SexoEdad!S31-EPA_Paro_Anual_SexoEdad!S10</f>
        <v>-6.68</v>
      </c>
      <c r="R10" s="13" t="n">
        <f aca="false">EPA_Paro_Anual_SexoEdad!T31-EPA_Paro_Anual_SexoEdad!T10</f>
        <v>-3.64</v>
      </c>
      <c r="S10" s="13" t="n">
        <f aca="false">EPA_Paro_Anual_SexoEdad!U31-EPA_Paro_Anual_SexoEdad!U10</f>
        <v>0.710000000000001</v>
      </c>
      <c r="T10" s="13" t="n">
        <f aca="false">EPA_Paro_Anual_SexoEdad!V31-EPA_Paro_Anual_SexoEdad!V10</f>
        <v>-0.370000000000001</v>
      </c>
      <c r="U10" s="13" t="n">
        <f aca="false">EPA_Paro_Anual_SexoEdad!W31-EPA_Paro_Anual_SexoEdad!W10</f>
        <v>-3.36</v>
      </c>
      <c r="V10" s="13" t="n">
        <f aca="false">EPA_Paro_Anual_SexoEdad!X31-EPA_Paro_Anual_SexoEdad!X10</f>
        <v>-5.75</v>
      </c>
    </row>
    <row r="11" customFormat="false" ht="15" hidden="false" customHeight="false" outlineLevel="0" collapsed="false">
      <c r="A11" s="12" t="s">
        <v>268</v>
      </c>
      <c r="B11" s="12" t="s">
        <v>200</v>
      </c>
      <c r="C11" s="13" t="n">
        <f aca="false">EPA_Paro_Anual_SexoEdad!E32-EPA_Paro_Anual_SexoEdad!E11</f>
        <v>-1.59</v>
      </c>
      <c r="D11" s="13" t="n">
        <f aca="false">EPA_Paro_Anual_SexoEdad!F32-EPA_Paro_Anual_SexoEdad!F11</f>
        <v>-1.35</v>
      </c>
      <c r="E11" s="13" t="n">
        <f aca="false">EPA_Paro_Anual_SexoEdad!G32-EPA_Paro_Anual_SexoEdad!G11</f>
        <v>-1.95</v>
      </c>
      <c r="F11" s="13" t="n">
        <f aca="false">EPA_Paro_Anual_SexoEdad!H32-EPA_Paro_Anual_SexoEdad!H11</f>
        <v>-3.62</v>
      </c>
      <c r="G11" s="13" t="n">
        <f aca="false">EPA_Paro_Anual_SexoEdad!I32-EPA_Paro_Anual_SexoEdad!I11</f>
        <v>-3.77</v>
      </c>
      <c r="H11" s="13" t="n">
        <f aca="false">EPA_Paro_Anual_SexoEdad!J32-EPA_Paro_Anual_SexoEdad!J11</f>
        <v>-4.28</v>
      </c>
      <c r="I11" s="13" t="n">
        <f aca="false">EPA_Paro_Anual_SexoEdad!K32-EPA_Paro_Anual_SexoEdad!K11</f>
        <v>-5.46</v>
      </c>
      <c r="J11" s="13" t="n">
        <f aca="false">EPA_Paro_Anual_SexoEdad!L32-EPA_Paro_Anual_SexoEdad!L11</f>
        <v>-6.05</v>
      </c>
      <c r="K11" s="13" t="n">
        <f aca="false">EPA_Paro_Anual_SexoEdad!M32-EPA_Paro_Anual_SexoEdad!M11</f>
        <v>-5.33</v>
      </c>
      <c r="L11" s="13" t="n">
        <f aca="false">EPA_Paro_Anual_SexoEdad!N32-EPA_Paro_Anual_SexoEdad!N11</f>
        <v>-4.01</v>
      </c>
      <c r="M11" s="13" t="n">
        <f aca="false">EPA_Paro_Anual_SexoEdad!O32-EPA_Paro_Anual_SexoEdad!O11</f>
        <v>-2.96</v>
      </c>
      <c r="N11" s="13" t="n">
        <f aca="false">EPA_Paro_Anual_SexoEdad!P32-EPA_Paro_Anual_SexoEdad!P11</f>
        <v>-2.76</v>
      </c>
      <c r="O11" s="13" t="n">
        <f aca="false">EPA_Paro_Anual_SexoEdad!Q32-EPA_Paro_Anual_SexoEdad!Q11</f>
        <v>-1.78</v>
      </c>
      <c r="P11" s="13" t="n">
        <f aca="false">EPA_Paro_Anual_SexoEdad!R32-EPA_Paro_Anual_SexoEdad!R11</f>
        <v>-2.47</v>
      </c>
      <c r="Q11" s="13" t="n">
        <f aca="false">EPA_Paro_Anual_SexoEdad!S32-EPA_Paro_Anual_SexoEdad!S11</f>
        <v>-1.84</v>
      </c>
      <c r="R11" s="13" t="n">
        <f aca="false">EPA_Paro_Anual_SexoEdad!T32-EPA_Paro_Anual_SexoEdad!T11</f>
        <v>-2.31</v>
      </c>
      <c r="S11" s="13" t="n">
        <f aca="false">EPA_Paro_Anual_SexoEdad!U32-EPA_Paro_Anual_SexoEdad!U11</f>
        <v>-2.03</v>
      </c>
      <c r="T11" s="13" t="n">
        <f aca="false">EPA_Paro_Anual_SexoEdad!V32-EPA_Paro_Anual_SexoEdad!V11</f>
        <v>-2.01</v>
      </c>
      <c r="U11" s="13" t="n">
        <f aca="false">EPA_Paro_Anual_SexoEdad!W32-EPA_Paro_Anual_SexoEdad!W11</f>
        <v>-1.48</v>
      </c>
      <c r="V11" s="13" t="n">
        <f aca="false">EPA_Paro_Anual_SexoEdad!X32-EPA_Paro_Anual_SexoEdad!X11</f>
        <v>-1.04</v>
      </c>
    </row>
    <row r="12" customFormat="false" ht="15" hidden="false" customHeight="false" outlineLevel="0" collapsed="false">
      <c r="A12" s="12" t="s">
        <v>268</v>
      </c>
      <c r="B12" s="12" t="s">
        <v>202</v>
      </c>
      <c r="C12" s="13" t="n">
        <f aca="false">EPA_Paro_Anual_SexoEdad!E33-EPA_Paro_Anual_SexoEdad!E12</f>
        <v>3</v>
      </c>
      <c r="D12" s="13" t="n">
        <f aca="false">EPA_Paro_Anual_SexoEdad!F33-EPA_Paro_Anual_SexoEdad!F12</f>
        <v>-1.04</v>
      </c>
      <c r="E12" s="13" t="n">
        <f aca="false">EPA_Paro_Anual_SexoEdad!G33-EPA_Paro_Anual_SexoEdad!G12</f>
        <v>-6.06</v>
      </c>
      <c r="F12" s="13" t="n">
        <f aca="false">EPA_Paro_Anual_SexoEdad!H33-EPA_Paro_Anual_SexoEdad!H12</f>
        <v>-1.48999999999999</v>
      </c>
      <c r="G12" s="13" t="n">
        <f aca="false">EPA_Paro_Anual_SexoEdad!I33-EPA_Paro_Anual_SexoEdad!I12</f>
        <v>0.32</v>
      </c>
      <c r="H12" s="13" t="n">
        <f aca="false">EPA_Paro_Anual_SexoEdad!J33-EPA_Paro_Anual_SexoEdad!J12</f>
        <v>-5.23</v>
      </c>
      <c r="I12" s="13" t="n">
        <f aca="false">EPA_Paro_Anual_SexoEdad!K33-EPA_Paro_Anual_SexoEdad!K12</f>
        <v>8.31999999999999</v>
      </c>
      <c r="J12" s="13" t="n">
        <f aca="false">EPA_Paro_Anual_SexoEdad!L33-EPA_Paro_Anual_SexoEdad!L12</f>
        <v>-0.420000000000002</v>
      </c>
      <c r="K12" s="13" t="n">
        <f aca="false">EPA_Paro_Anual_SexoEdad!M33-EPA_Paro_Anual_SexoEdad!M12</f>
        <v>-7.16</v>
      </c>
      <c r="L12" s="13" t="n">
        <f aca="false">EPA_Paro_Anual_SexoEdad!N33-EPA_Paro_Anual_SexoEdad!N12</f>
        <v>2.65000000000001</v>
      </c>
      <c r="M12" s="13" t="n">
        <f aca="false">EPA_Paro_Anual_SexoEdad!O33-EPA_Paro_Anual_SexoEdad!O12</f>
        <v>5.75999999999999</v>
      </c>
      <c r="N12" s="13" t="n">
        <f aca="false">EPA_Paro_Anual_SexoEdad!P33-EPA_Paro_Anual_SexoEdad!P12</f>
        <v>7.08</v>
      </c>
      <c r="O12" s="13" t="n">
        <f aca="false">EPA_Paro_Anual_SexoEdad!Q33-EPA_Paro_Anual_SexoEdad!Q12</f>
        <v>2.37</v>
      </c>
      <c r="P12" s="13" t="n">
        <f aca="false">EPA_Paro_Anual_SexoEdad!R33-EPA_Paro_Anual_SexoEdad!R12</f>
        <v>-1.52</v>
      </c>
      <c r="Q12" s="13" t="n">
        <f aca="false">EPA_Paro_Anual_SexoEdad!S33-EPA_Paro_Anual_SexoEdad!S12</f>
        <v>-3.55</v>
      </c>
      <c r="R12" s="13" t="n">
        <f aca="false">EPA_Paro_Anual_SexoEdad!T33-EPA_Paro_Anual_SexoEdad!T12</f>
        <v>4.69</v>
      </c>
      <c r="S12" s="13" t="n">
        <f aca="false">EPA_Paro_Anual_SexoEdad!U33-EPA_Paro_Anual_SexoEdad!U12</f>
        <v>9.9</v>
      </c>
      <c r="T12" s="13" t="n">
        <f aca="false">EPA_Paro_Anual_SexoEdad!V33-EPA_Paro_Anual_SexoEdad!V12</f>
        <v>3.77</v>
      </c>
      <c r="U12" s="13" t="n">
        <f aca="false">EPA_Paro_Anual_SexoEdad!W33-EPA_Paro_Anual_SexoEdad!W12</f>
        <v>-5.09</v>
      </c>
      <c r="V12" s="13" t="n">
        <f aca="false">EPA_Paro_Anual_SexoEdad!X33-EPA_Paro_Anual_SexoEdad!X12</f>
        <v>-1.52999999999999</v>
      </c>
    </row>
    <row r="13" customFormat="false" ht="15" hidden="false" customHeight="false" outlineLevel="0" collapsed="false">
      <c r="A13" s="12" t="s">
        <v>268</v>
      </c>
      <c r="B13" s="12" t="s">
        <v>204</v>
      </c>
      <c r="C13" s="13" t="n">
        <f aca="false">EPA_Paro_Anual_SexoEdad!E34-EPA_Paro_Anual_SexoEdad!E13</f>
        <v>-2.75</v>
      </c>
      <c r="D13" s="13" t="n">
        <f aca="false">EPA_Paro_Anual_SexoEdad!F34-EPA_Paro_Anual_SexoEdad!F13</f>
        <v>-1.82</v>
      </c>
      <c r="E13" s="13" t="n">
        <f aca="false">EPA_Paro_Anual_SexoEdad!G34-EPA_Paro_Anual_SexoEdad!G13</f>
        <v>-1.94</v>
      </c>
      <c r="F13" s="13" t="n">
        <f aca="false">EPA_Paro_Anual_SexoEdad!H34-EPA_Paro_Anual_SexoEdad!H13</f>
        <v>-2.9</v>
      </c>
      <c r="G13" s="13" t="n">
        <f aca="false">EPA_Paro_Anual_SexoEdad!I34-EPA_Paro_Anual_SexoEdad!I13</f>
        <v>-4.41</v>
      </c>
      <c r="H13" s="13" t="n">
        <f aca="false">EPA_Paro_Anual_SexoEdad!J34-EPA_Paro_Anual_SexoEdad!J13</f>
        <v>-5.41</v>
      </c>
      <c r="I13" s="13" t="n">
        <f aca="false">EPA_Paro_Anual_SexoEdad!K34-EPA_Paro_Anual_SexoEdad!K13</f>
        <v>-3.34</v>
      </c>
      <c r="J13" s="13" t="n">
        <f aca="false">EPA_Paro_Anual_SexoEdad!L34-EPA_Paro_Anual_SexoEdad!L13</f>
        <v>-8.54</v>
      </c>
      <c r="K13" s="13" t="n">
        <f aca="false">EPA_Paro_Anual_SexoEdad!M34-EPA_Paro_Anual_SexoEdad!M13</f>
        <v>-6.12</v>
      </c>
      <c r="L13" s="13" t="n">
        <f aca="false">EPA_Paro_Anual_SexoEdad!N34-EPA_Paro_Anual_SexoEdad!N13</f>
        <v>-2.61</v>
      </c>
      <c r="M13" s="13" t="n">
        <f aca="false">EPA_Paro_Anual_SexoEdad!O34-EPA_Paro_Anual_SexoEdad!O13</f>
        <v>-4.07</v>
      </c>
      <c r="N13" s="13" t="n">
        <f aca="false">EPA_Paro_Anual_SexoEdad!P34-EPA_Paro_Anual_SexoEdad!P13</f>
        <v>-2.66999999999999</v>
      </c>
      <c r="O13" s="13" t="n">
        <f aca="false">EPA_Paro_Anual_SexoEdad!Q34-EPA_Paro_Anual_SexoEdad!Q13</f>
        <v>-5.53</v>
      </c>
      <c r="P13" s="13" t="n">
        <f aca="false">EPA_Paro_Anual_SexoEdad!R34-EPA_Paro_Anual_SexoEdad!R13</f>
        <v>-2.13</v>
      </c>
      <c r="Q13" s="13" t="n">
        <f aca="false">EPA_Paro_Anual_SexoEdad!S34-EPA_Paro_Anual_SexoEdad!S13</f>
        <v>-7.13</v>
      </c>
      <c r="R13" s="13" t="n">
        <f aca="false">EPA_Paro_Anual_SexoEdad!T34-EPA_Paro_Anual_SexoEdad!T13</f>
        <v>-5.15</v>
      </c>
      <c r="S13" s="13" t="n">
        <f aca="false">EPA_Paro_Anual_SexoEdad!U34-EPA_Paro_Anual_SexoEdad!U13</f>
        <v>-0.349999999999998</v>
      </c>
      <c r="T13" s="13" t="n">
        <f aca="false">EPA_Paro_Anual_SexoEdad!V34-EPA_Paro_Anual_SexoEdad!V13</f>
        <v>-0.330000000000002</v>
      </c>
      <c r="U13" s="13" t="n">
        <f aca="false">EPA_Paro_Anual_SexoEdad!W34-EPA_Paro_Anual_SexoEdad!W13</f>
        <v>-2.16</v>
      </c>
      <c r="V13" s="13" t="n">
        <f aca="false">EPA_Paro_Anual_SexoEdad!X34-EPA_Paro_Anual_SexoEdad!X13</f>
        <v>-5.73</v>
      </c>
    </row>
    <row r="14" customFormat="false" ht="15" hidden="false" customHeight="false" outlineLevel="0" collapsed="false">
      <c r="A14" s="12" t="s">
        <v>268</v>
      </c>
      <c r="B14" s="12" t="s">
        <v>264</v>
      </c>
      <c r="C14" s="13" t="n">
        <f aca="false">EPA_Paro_Anual_SexoEdad!E35-EPA_Paro_Anual_SexoEdad!E14</f>
        <v>-1.63</v>
      </c>
      <c r="D14" s="13" t="n">
        <f aca="false">EPA_Paro_Anual_SexoEdad!F35-EPA_Paro_Anual_SexoEdad!F14</f>
        <v>-1.36</v>
      </c>
      <c r="E14" s="13" t="n">
        <f aca="false">EPA_Paro_Anual_SexoEdad!G35-EPA_Paro_Anual_SexoEdad!G14</f>
        <v>-2.28</v>
      </c>
      <c r="F14" s="13" t="n">
        <f aca="false">EPA_Paro_Anual_SexoEdad!H35-EPA_Paro_Anual_SexoEdad!H14</f>
        <v>-3.9</v>
      </c>
      <c r="G14" s="13" t="n">
        <f aca="false">EPA_Paro_Anual_SexoEdad!I35-EPA_Paro_Anual_SexoEdad!I14</f>
        <v>-3.8</v>
      </c>
      <c r="H14" s="13" t="n">
        <f aca="false">EPA_Paro_Anual_SexoEdad!J35-EPA_Paro_Anual_SexoEdad!J14</f>
        <v>-4.46</v>
      </c>
      <c r="I14" s="13" t="n">
        <f aca="false">EPA_Paro_Anual_SexoEdad!K35-EPA_Paro_Anual_SexoEdad!K14</f>
        <v>-5.62</v>
      </c>
      <c r="J14" s="13" t="n">
        <f aca="false">EPA_Paro_Anual_SexoEdad!L35-EPA_Paro_Anual_SexoEdad!L14</f>
        <v>-6.46</v>
      </c>
      <c r="K14" s="13" t="n">
        <f aca="false">EPA_Paro_Anual_SexoEdad!M35-EPA_Paro_Anual_SexoEdad!M14</f>
        <v>-5.46</v>
      </c>
      <c r="L14" s="13" t="n">
        <f aca="false">EPA_Paro_Anual_SexoEdad!N35-EPA_Paro_Anual_SexoEdad!N14</f>
        <v>-3.81</v>
      </c>
      <c r="M14" s="13" t="n">
        <f aca="false">EPA_Paro_Anual_SexoEdad!O35-EPA_Paro_Anual_SexoEdad!O14</f>
        <v>-3.18</v>
      </c>
      <c r="N14" s="13" t="n">
        <f aca="false">EPA_Paro_Anual_SexoEdad!P35-EPA_Paro_Anual_SexoEdad!P14</f>
        <v>-2.68</v>
      </c>
      <c r="O14" s="13" t="n">
        <f aca="false">EPA_Paro_Anual_SexoEdad!Q35-EPA_Paro_Anual_SexoEdad!Q14</f>
        <v>-1.65</v>
      </c>
      <c r="P14" s="13" t="n">
        <f aca="false">EPA_Paro_Anual_SexoEdad!R35-EPA_Paro_Anual_SexoEdad!R14</f>
        <v>-2.71</v>
      </c>
      <c r="Q14" s="13" t="n">
        <f aca="false">EPA_Paro_Anual_SexoEdad!S35-EPA_Paro_Anual_SexoEdad!S14</f>
        <v>-2.06</v>
      </c>
      <c r="R14" s="13" t="n">
        <f aca="false">EPA_Paro_Anual_SexoEdad!T35-EPA_Paro_Anual_SexoEdad!T14</f>
        <v>-2.59</v>
      </c>
      <c r="S14" s="13" t="n">
        <f aca="false">EPA_Paro_Anual_SexoEdad!U35-EPA_Paro_Anual_SexoEdad!U14</f>
        <v>-2.08</v>
      </c>
      <c r="T14" s="13" t="n">
        <f aca="false">EPA_Paro_Anual_SexoEdad!V35-EPA_Paro_Anual_SexoEdad!V14</f>
        <v>-2.14</v>
      </c>
      <c r="U14" s="13" t="n">
        <f aca="false">EPA_Paro_Anual_SexoEdad!W35-EPA_Paro_Anual_SexoEdad!W14</f>
        <v>-1.4</v>
      </c>
      <c r="V14" s="13" t="n">
        <f aca="false">EPA_Paro_Anual_SexoEdad!X35-EPA_Paro_Anual_SexoEdad!X14</f>
        <v>-1.36</v>
      </c>
    </row>
    <row r="15" customFormat="false" ht="15" hidden="false" customHeight="false" outlineLevel="0" collapsed="false">
      <c r="A15" s="12" t="s">
        <v>268</v>
      </c>
      <c r="B15" s="12" t="s">
        <v>266</v>
      </c>
      <c r="C15" s="13" t="n">
        <f aca="false">EPA_Paro_Anual_SexoEdad!E36-EPA_Paro_Anual_SexoEdad!E15</f>
        <v>-1.33</v>
      </c>
      <c r="D15" s="13" t="n">
        <f aca="false">EPA_Paro_Anual_SexoEdad!F36-EPA_Paro_Anual_SexoEdad!F15</f>
        <v>-1.27</v>
      </c>
      <c r="E15" s="13" t="n">
        <f aca="false">EPA_Paro_Anual_SexoEdad!G36-EPA_Paro_Anual_SexoEdad!G15</f>
        <v>0</v>
      </c>
      <c r="F15" s="13" t="n">
        <f aca="false">EPA_Paro_Anual_SexoEdad!H36-EPA_Paro_Anual_SexoEdad!H15</f>
        <v>-1.88</v>
      </c>
      <c r="G15" s="13" t="n">
        <f aca="false">EPA_Paro_Anual_SexoEdad!I36-EPA_Paro_Anual_SexoEdad!I15</f>
        <v>-3.6</v>
      </c>
      <c r="H15" s="13" t="n">
        <f aca="false">EPA_Paro_Anual_SexoEdad!J36-EPA_Paro_Anual_SexoEdad!J15</f>
        <v>-3.18</v>
      </c>
      <c r="I15" s="13" t="n">
        <f aca="false">EPA_Paro_Anual_SexoEdad!K36-EPA_Paro_Anual_SexoEdad!K15</f>
        <v>-4.54</v>
      </c>
      <c r="J15" s="13" t="n">
        <f aca="false">EPA_Paro_Anual_SexoEdad!L36-EPA_Paro_Anual_SexoEdad!L15</f>
        <v>-3.75</v>
      </c>
      <c r="K15" s="13" t="n">
        <f aca="false">EPA_Paro_Anual_SexoEdad!M36-EPA_Paro_Anual_SexoEdad!M15</f>
        <v>-4.72</v>
      </c>
      <c r="L15" s="13" t="n">
        <f aca="false">EPA_Paro_Anual_SexoEdad!N36-EPA_Paro_Anual_SexoEdad!N15</f>
        <v>-5.03</v>
      </c>
      <c r="M15" s="13" t="n">
        <f aca="false">EPA_Paro_Anual_SexoEdad!O36-EPA_Paro_Anual_SexoEdad!O15</f>
        <v>-1.87</v>
      </c>
      <c r="N15" s="13" t="n">
        <f aca="false">EPA_Paro_Anual_SexoEdad!P36-EPA_Paro_Anual_SexoEdad!P15</f>
        <v>-3.13</v>
      </c>
      <c r="O15" s="13" t="n">
        <f aca="false">EPA_Paro_Anual_SexoEdad!Q36-EPA_Paro_Anual_SexoEdad!Q15</f>
        <v>-2.38</v>
      </c>
      <c r="P15" s="13" t="n">
        <f aca="false">EPA_Paro_Anual_SexoEdad!R36-EPA_Paro_Anual_SexoEdad!R15</f>
        <v>-1.44</v>
      </c>
      <c r="Q15" s="13" t="n">
        <f aca="false">EPA_Paro_Anual_SexoEdad!S36-EPA_Paro_Anual_SexoEdad!S15</f>
        <v>-1</v>
      </c>
      <c r="R15" s="13" t="n">
        <f aca="false">EPA_Paro_Anual_SexoEdad!T36-EPA_Paro_Anual_SexoEdad!T15</f>
        <v>-1.22</v>
      </c>
      <c r="S15" s="13" t="n">
        <f aca="false">EPA_Paro_Anual_SexoEdad!U36-EPA_Paro_Anual_SexoEdad!U15</f>
        <v>-1.81</v>
      </c>
      <c r="T15" s="13" t="n">
        <f aca="false">EPA_Paro_Anual_SexoEdad!V36-EPA_Paro_Anual_SexoEdad!V15</f>
        <v>-1.53</v>
      </c>
      <c r="U15" s="13" t="n">
        <f aca="false">EPA_Paro_Anual_SexoEdad!W36-EPA_Paro_Anual_SexoEdad!W15</f>
        <v>-1.78</v>
      </c>
      <c r="V15" s="13" t="n">
        <f aca="false">EPA_Paro_Anual_SexoEdad!X36-EPA_Paro_Anual_SexoEdad!X15</f>
        <v>0.0800000000000001</v>
      </c>
    </row>
    <row r="16" customFormat="false" ht="15" hidden="false" customHeight="false" outlineLevel="0" collapsed="false">
      <c r="A16" s="12" t="s">
        <v>276</v>
      </c>
      <c r="B16" s="12" t="s">
        <v>257</v>
      </c>
      <c r="C16" s="13" t="n">
        <f aca="false">EPA_Paro_Anual_SexoEdad!E37-EPA_Paro_Anual_SexoEdad!E16</f>
        <v>-3.02</v>
      </c>
      <c r="D16" s="13" t="n">
        <f aca="false">EPA_Paro_Anual_SexoEdad!F37-EPA_Paro_Anual_SexoEdad!F16</f>
        <v>-2.86</v>
      </c>
      <c r="E16" s="13" t="n">
        <f aca="false">EPA_Paro_Anual_SexoEdad!G37-EPA_Paro_Anual_SexoEdad!G16</f>
        <v>-3.33</v>
      </c>
      <c r="F16" s="13" t="n">
        <f aca="false">EPA_Paro_Anual_SexoEdad!H37-EPA_Paro_Anual_SexoEdad!H16</f>
        <v>-4.34</v>
      </c>
      <c r="G16" s="13" t="n">
        <f aca="false">EPA_Paro_Anual_SexoEdad!I37-EPA_Paro_Anual_SexoEdad!I16</f>
        <v>-4.08</v>
      </c>
      <c r="H16" s="13" t="n">
        <f aca="false">EPA_Paro_Anual_SexoEdad!J37-EPA_Paro_Anual_SexoEdad!J16</f>
        <v>-5.54</v>
      </c>
      <c r="I16" s="13" t="n">
        <f aca="false">EPA_Paro_Anual_SexoEdad!K37-EPA_Paro_Anual_SexoEdad!K16</f>
        <v>-7.12</v>
      </c>
      <c r="J16" s="13" t="n">
        <f aca="false">EPA_Paro_Anual_SexoEdad!L37-EPA_Paro_Anual_SexoEdad!L16</f>
        <v>-6.33</v>
      </c>
      <c r="K16" s="13" t="n">
        <f aca="false">EPA_Paro_Anual_SexoEdad!M37-EPA_Paro_Anual_SexoEdad!M16</f>
        <v>-5.84</v>
      </c>
      <c r="L16" s="13" t="n">
        <f aca="false">EPA_Paro_Anual_SexoEdad!N37-EPA_Paro_Anual_SexoEdad!N16</f>
        <v>-6.22</v>
      </c>
      <c r="M16" s="13" t="n">
        <f aca="false">EPA_Paro_Anual_SexoEdad!O37-EPA_Paro_Anual_SexoEdad!O16</f>
        <v>-4.91</v>
      </c>
      <c r="N16" s="13" t="n">
        <f aca="false">EPA_Paro_Anual_SexoEdad!P37-EPA_Paro_Anual_SexoEdad!P16</f>
        <v>-5.1</v>
      </c>
      <c r="O16" s="13" t="n">
        <f aca="false">EPA_Paro_Anual_SexoEdad!Q37-EPA_Paro_Anual_SexoEdad!Q16</f>
        <v>-4.17</v>
      </c>
      <c r="P16" s="13" t="n">
        <f aca="false">EPA_Paro_Anual_SexoEdad!R37-EPA_Paro_Anual_SexoEdad!R16</f>
        <v>-4.52</v>
      </c>
      <c r="Q16" s="13" t="n">
        <f aca="false">EPA_Paro_Anual_SexoEdad!S37-EPA_Paro_Anual_SexoEdad!S16</f>
        <v>-3.98</v>
      </c>
      <c r="R16" s="13" t="n">
        <f aca="false">EPA_Paro_Anual_SexoEdad!T37-EPA_Paro_Anual_SexoEdad!T16</f>
        <v>-4.18</v>
      </c>
      <c r="S16" s="13" t="n">
        <f aca="false">EPA_Paro_Anual_SexoEdad!U37-EPA_Paro_Anual_SexoEdad!U16</f>
        <v>-1.92</v>
      </c>
      <c r="T16" s="13" t="n">
        <f aca="false">EPA_Paro_Anual_SexoEdad!V37-EPA_Paro_Anual_SexoEdad!V16</f>
        <v>-2.62</v>
      </c>
      <c r="U16" s="13" t="n">
        <f aca="false">EPA_Paro_Anual_SexoEdad!W37-EPA_Paro_Anual_SexoEdad!W16</f>
        <v>-3.2</v>
      </c>
      <c r="V16" s="13" t="n">
        <f aca="false">EPA_Paro_Anual_SexoEdad!X37-EPA_Paro_Anual_SexoEdad!X16</f>
        <v>-3.76</v>
      </c>
    </row>
    <row r="17" customFormat="false" ht="15" hidden="false" customHeight="false" outlineLevel="0" collapsed="false">
      <c r="A17" s="12" t="s">
        <v>276</v>
      </c>
      <c r="B17" s="12" t="s">
        <v>259</v>
      </c>
      <c r="C17" s="13" t="n">
        <f aca="false">EPA_Paro_Anual_SexoEdad!E38-EPA_Paro_Anual_SexoEdad!E17</f>
        <v>-5.41</v>
      </c>
      <c r="D17" s="13" t="n">
        <f aca="false">EPA_Paro_Anual_SexoEdad!F38-EPA_Paro_Anual_SexoEdad!F17</f>
        <v>-1.26</v>
      </c>
      <c r="E17" s="13" t="n">
        <f aca="false">EPA_Paro_Anual_SexoEdad!G38-EPA_Paro_Anual_SexoEdad!G17</f>
        <v>-4.23</v>
      </c>
      <c r="F17" s="13" t="n">
        <f aca="false">EPA_Paro_Anual_SexoEdad!H38-EPA_Paro_Anual_SexoEdad!H17</f>
        <v>-4.24</v>
      </c>
      <c r="G17" s="13" t="n">
        <f aca="false">EPA_Paro_Anual_SexoEdad!I38-EPA_Paro_Anual_SexoEdad!I17</f>
        <v>-4.41</v>
      </c>
      <c r="H17" s="13" t="n">
        <f aca="false">EPA_Paro_Anual_SexoEdad!J38-EPA_Paro_Anual_SexoEdad!J17</f>
        <v>-4.66</v>
      </c>
      <c r="I17" s="13" t="n">
        <f aca="false">EPA_Paro_Anual_SexoEdad!K38-EPA_Paro_Anual_SexoEdad!K17</f>
        <v>-7.97</v>
      </c>
      <c r="J17" s="13" t="n">
        <f aca="false">EPA_Paro_Anual_SexoEdad!L38-EPA_Paro_Anual_SexoEdad!L17</f>
        <v>-6.08</v>
      </c>
      <c r="K17" s="13" t="n">
        <f aca="false">EPA_Paro_Anual_SexoEdad!M38-EPA_Paro_Anual_SexoEdad!M17</f>
        <v>-1.9</v>
      </c>
      <c r="L17" s="13" t="n">
        <f aca="false">EPA_Paro_Anual_SexoEdad!N38-EPA_Paro_Anual_SexoEdad!N17</f>
        <v>-6.06</v>
      </c>
      <c r="M17" s="13" t="n">
        <f aca="false">EPA_Paro_Anual_SexoEdad!O38-EPA_Paro_Anual_SexoEdad!O17</f>
        <v>-4.98</v>
      </c>
      <c r="N17" s="13" t="n">
        <f aca="false">EPA_Paro_Anual_SexoEdad!P38-EPA_Paro_Anual_SexoEdad!P17</f>
        <v>-6.04</v>
      </c>
      <c r="O17" s="13" t="n">
        <f aca="false">EPA_Paro_Anual_SexoEdad!Q38-EPA_Paro_Anual_SexoEdad!Q17</f>
        <v>-8.61</v>
      </c>
      <c r="P17" s="13" t="n">
        <f aca="false">EPA_Paro_Anual_SexoEdad!R38-EPA_Paro_Anual_SexoEdad!R17</f>
        <v>-4.72</v>
      </c>
      <c r="Q17" s="13" t="n">
        <f aca="false">EPA_Paro_Anual_SexoEdad!S38-EPA_Paro_Anual_SexoEdad!S17</f>
        <v>-6.52</v>
      </c>
      <c r="R17" s="13" t="n">
        <f aca="false">EPA_Paro_Anual_SexoEdad!T38-EPA_Paro_Anual_SexoEdad!T17</f>
        <v>-7.48</v>
      </c>
      <c r="S17" s="13" t="n">
        <f aca="false">EPA_Paro_Anual_SexoEdad!U38-EPA_Paro_Anual_SexoEdad!U17</f>
        <v>-4.68</v>
      </c>
      <c r="T17" s="13" t="n">
        <f aca="false">EPA_Paro_Anual_SexoEdad!V38-EPA_Paro_Anual_SexoEdad!V17</f>
        <v>-2.2</v>
      </c>
      <c r="U17" s="13" t="n">
        <f aca="false">EPA_Paro_Anual_SexoEdad!W38-EPA_Paro_Anual_SexoEdad!W17</f>
        <v>-9.33</v>
      </c>
      <c r="V17" s="13" t="n">
        <f aca="false">EPA_Paro_Anual_SexoEdad!X38-EPA_Paro_Anual_SexoEdad!X17</f>
        <v>-5.53</v>
      </c>
    </row>
    <row r="18" customFormat="false" ht="15" hidden="false" customHeight="false" outlineLevel="0" collapsed="false">
      <c r="A18" s="12" t="s">
        <v>276</v>
      </c>
      <c r="B18" s="12" t="s">
        <v>200</v>
      </c>
      <c r="C18" s="13" t="n">
        <f aca="false">EPA_Paro_Anual_SexoEdad!E39-EPA_Paro_Anual_SexoEdad!E18</f>
        <v>-2.65</v>
      </c>
      <c r="D18" s="13" t="n">
        <f aca="false">EPA_Paro_Anual_SexoEdad!F39-EPA_Paro_Anual_SexoEdad!F18</f>
        <v>-2.98</v>
      </c>
      <c r="E18" s="13" t="n">
        <f aca="false">EPA_Paro_Anual_SexoEdad!G39-EPA_Paro_Anual_SexoEdad!G18</f>
        <v>-3.07</v>
      </c>
      <c r="F18" s="13" t="n">
        <f aca="false">EPA_Paro_Anual_SexoEdad!H39-EPA_Paro_Anual_SexoEdad!H18</f>
        <v>-4.1</v>
      </c>
      <c r="G18" s="13" t="n">
        <f aca="false">EPA_Paro_Anual_SexoEdad!I39-EPA_Paro_Anual_SexoEdad!I18</f>
        <v>-3.8</v>
      </c>
      <c r="H18" s="13" t="n">
        <f aca="false">EPA_Paro_Anual_SexoEdad!J39-EPA_Paro_Anual_SexoEdad!J18</f>
        <v>-5.3</v>
      </c>
      <c r="I18" s="13" t="n">
        <f aca="false">EPA_Paro_Anual_SexoEdad!K39-EPA_Paro_Anual_SexoEdad!K18</f>
        <v>-6.69</v>
      </c>
      <c r="J18" s="13" t="n">
        <f aca="false">EPA_Paro_Anual_SexoEdad!L39-EPA_Paro_Anual_SexoEdad!L18</f>
        <v>-6.09</v>
      </c>
      <c r="K18" s="13" t="n">
        <f aca="false">EPA_Paro_Anual_SexoEdad!M39-EPA_Paro_Anual_SexoEdad!M18</f>
        <v>-6.03</v>
      </c>
      <c r="L18" s="13" t="n">
        <f aca="false">EPA_Paro_Anual_SexoEdad!N39-EPA_Paro_Anual_SexoEdad!N18</f>
        <v>-6.12</v>
      </c>
      <c r="M18" s="13" t="n">
        <f aca="false">EPA_Paro_Anual_SexoEdad!O39-EPA_Paro_Anual_SexoEdad!O18</f>
        <v>-4.81</v>
      </c>
      <c r="N18" s="13" t="n">
        <f aca="false">EPA_Paro_Anual_SexoEdad!P39-EPA_Paro_Anual_SexoEdad!P18</f>
        <v>-4.88</v>
      </c>
      <c r="O18" s="13" t="n">
        <f aca="false">EPA_Paro_Anual_SexoEdad!Q39-EPA_Paro_Anual_SexoEdad!Q18</f>
        <v>-3.83</v>
      </c>
      <c r="P18" s="13" t="n">
        <f aca="false">EPA_Paro_Anual_SexoEdad!R39-EPA_Paro_Anual_SexoEdad!R18</f>
        <v>-4.41</v>
      </c>
      <c r="Q18" s="13" t="n">
        <f aca="false">EPA_Paro_Anual_SexoEdad!S39-EPA_Paro_Anual_SexoEdad!S18</f>
        <v>-3.73</v>
      </c>
      <c r="R18" s="13" t="n">
        <f aca="false">EPA_Paro_Anual_SexoEdad!T39-EPA_Paro_Anual_SexoEdad!T18</f>
        <v>-4.02</v>
      </c>
      <c r="S18" s="13" t="n">
        <f aca="false">EPA_Paro_Anual_SexoEdad!U39-EPA_Paro_Anual_SexoEdad!U18</f>
        <v>-1.72</v>
      </c>
      <c r="T18" s="13" t="n">
        <f aca="false">EPA_Paro_Anual_SexoEdad!V39-EPA_Paro_Anual_SexoEdad!V18</f>
        <v>-2.59</v>
      </c>
      <c r="U18" s="13" t="n">
        <f aca="false">EPA_Paro_Anual_SexoEdad!W39-EPA_Paro_Anual_SexoEdad!W18</f>
        <v>-2.71</v>
      </c>
      <c r="V18" s="13" t="n">
        <f aca="false">EPA_Paro_Anual_SexoEdad!X39-EPA_Paro_Anual_SexoEdad!X18</f>
        <v>-3.62</v>
      </c>
    </row>
    <row r="19" customFormat="false" ht="15" hidden="false" customHeight="false" outlineLevel="0" collapsed="false">
      <c r="A19" s="12" t="s">
        <v>276</v>
      </c>
      <c r="B19" s="12" t="s">
        <v>202</v>
      </c>
      <c r="C19" s="13" t="n">
        <f aca="false">EPA_Paro_Anual_SexoEdad!E40-EPA_Paro_Anual_SexoEdad!E19</f>
        <v>-4.02</v>
      </c>
      <c r="D19" s="13" t="n">
        <f aca="false">EPA_Paro_Anual_SexoEdad!F40-EPA_Paro_Anual_SexoEdad!F19</f>
        <v>-0.140000000000001</v>
      </c>
      <c r="E19" s="13" t="n">
        <f aca="false">EPA_Paro_Anual_SexoEdad!G40-EPA_Paro_Anual_SexoEdad!G19</f>
        <v>-2.77</v>
      </c>
      <c r="F19" s="13" t="n">
        <f aca="false">EPA_Paro_Anual_SexoEdad!H40-EPA_Paro_Anual_SexoEdad!H19</f>
        <v>-4.86</v>
      </c>
      <c r="G19" s="13" t="n">
        <f aca="false">EPA_Paro_Anual_SexoEdad!I40-EPA_Paro_Anual_SexoEdad!I19</f>
        <v>-6.47</v>
      </c>
      <c r="H19" s="13" t="n">
        <f aca="false">EPA_Paro_Anual_SexoEdad!J40-EPA_Paro_Anual_SexoEdad!J19</f>
        <v>3.2</v>
      </c>
      <c r="I19" s="13" t="n">
        <f aca="false">EPA_Paro_Anual_SexoEdad!K40-EPA_Paro_Anual_SexoEdad!K19</f>
        <v>1.35000000000001</v>
      </c>
      <c r="J19" s="13" t="n">
        <f aca="false">EPA_Paro_Anual_SexoEdad!L40-EPA_Paro_Anual_SexoEdad!L19</f>
        <v>0.379999999999995</v>
      </c>
      <c r="K19" s="13" t="n">
        <f aca="false">EPA_Paro_Anual_SexoEdad!M40-EPA_Paro_Anual_SexoEdad!M19</f>
        <v>6.36999999999999</v>
      </c>
      <c r="L19" s="13" t="n">
        <f aca="false">EPA_Paro_Anual_SexoEdad!N40-EPA_Paro_Anual_SexoEdad!N19</f>
        <v>-0.679999999999993</v>
      </c>
      <c r="M19" s="13" t="n">
        <f aca="false">EPA_Paro_Anual_SexoEdad!O40-EPA_Paro_Anual_SexoEdad!O19</f>
        <v>-7.82</v>
      </c>
      <c r="N19" s="13" t="n">
        <f aca="false">EPA_Paro_Anual_SexoEdad!P40-EPA_Paro_Anual_SexoEdad!P19</f>
        <v>4.06</v>
      </c>
      <c r="O19" s="13" t="n">
        <f aca="false">EPA_Paro_Anual_SexoEdad!Q40-EPA_Paro_Anual_SexoEdad!Q19</f>
        <v>0.920000000000002</v>
      </c>
      <c r="P19" s="13" t="n">
        <f aca="false">EPA_Paro_Anual_SexoEdad!R40-EPA_Paro_Anual_SexoEdad!R19</f>
        <v>2.79</v>
      </c>
      <c r="Q19" s="13" t="n">
        <f aca="false">EPA_Paro_Anual_SexoEdad!S40-EPA_Paro_Anual_SexoEdad!S19</f>
        <v>-11.45</v>
      </c>
      <c r="R19" s="13" t="n">
        <f aca="false">EPA_Paro_Anual_SexoEdad!T40-EPA_Paro_Anual_SexoEdad!T19</f>
        <v>-1.49</v>
      </c>
      <c r="S19" s="13" t="n">
        <f aca="false">EPA_Paro_Anual_SexoEdad!U40-EPA_Paro_Anual_SexoEdad!U19</f>
        <v>-3.62</v>
      </c>
      <c r="T19" s="13" t="n">
        <f aca="false">EPA_Paro_Anual_SexoEdad!V40-EPA_Paro_Anual_SexoEdad!V19</f>
        <v>-2.76</v>
      </c>
      <c r="U19" s="13" t="n">
        <f aca="false">EPA_Paro_Anual_SexoEdad!W40-EPA_Paro_Anual_SexoEdad!W19</f>
        <v>-10.49</v>
      </c>
      <c r="V19" s="13" t="n">
        <f aca="false">EPA_Paro_Anual_SexoEdad!X40-EPA_Paro_Anual_SexoEdad!X19</f>
        <v>-11.22</v>
      </c>
    </row>
    <row r="20" customFormat="false" ht="15" hidden="false" customHeight="false" outlineLevel="0" collapsed="false">
      <c r="A20" s="12" t="s">
        <v>276</v>
      </c>
      <c r="B20" s="12" t="s">
        <v>204</v>
      </c>
      <c r="C20" s="13" t="n">
        <f aca="false">EPA_Paro_Anual_SexoEdad!E41-EPA_Paro_Anual_SexoEdad!E20</f>
        <v>-5.79</v>
      </c>
      <c r="D20" s="13" t="n">
        <f aca="false">EPA_Paro_Anual_SexoEdad!F41-EPA_Paro_Anual_SexoEdad!F20</f>
        <v>-0.990000000000002</v>
      </c>
      <c r="E20" s="13" t="n">
        <f aca="false">EPA_Paro_Anual_SexoEdad!G41-EPA_Paro_Anual_SexoEdad!G20</f>
        <v>-4.95</v>
      </c>
      <c r="F20" s="13" t="n">
        <f aca="false">EPA_Paro_Anual_SexoEdad!H41-EPA_Paro_Anual_SexoEdad!H20</f>
        <v>-3.35</v>
      </c>
      <c r="G20" s="13" t="n">
        <f aca="false">EPA_Paro_Anual_SexoEdad!I41-EPA_Paro_Anual_SexoEdad!I20</f>
        <v>-3.56</v>
      </c>
      <c r="H20" s="13" t="n">
        <f aca="false">EPA_Paro_Anual_SexoEdad!J41-EPA_Paro_Anual_SexoEdad!J20</f>
        <v>-6.28</v>
      </c>
      <c r="I20" s="13" t="n">
        <f aca="false">EPA_Paro_Anual_SexoEdad!K41-EPA_Paro_Anual_SexoEdad!K20</f>
        <v>-9.15</v>
      </c>
      <c r="J20" s="13" t="n">
        <f aca="false">EPA_Paro_Anual_SexoEdad!L41-EPA_Paro_Anual_SexoEdad!L20</f>
        <v>-5.65</v>
      </c>
      <c r="K20" s="13" t="n">
        <f aca="false">EPA_Paro_Anual_SexoEdad!M41-EPA_Paro_Anual_SexoEdad!M20</f>
        <v>-3.53</v>
      </c>
      <c r="L20" s="13" t="n">
        <f aca="false">EPA_Paro_Anual_SexoEdad!N41-EPA_Paro_Anual_SexoEdad!N20</f>
        <v>-6.57</v>
      </c>
      <c r="M20" s="13" t="n">
        <f aca="false">EPA_Paro_Anual_SexoEdad!O41-EPA_Paro_Anual_SexoEdad!O20</f>
        <v>-4.41</v>
      </c>
      <c r="N20" s="13" t="n">
        <f aca="false">EPA_Paro_Anual_SexoEdad!P41-EPA_Paro_Anual_SexoEdad!P20</f>
        <v>-6.7</v>
      </c>
      <c r="O20" s="13" t="n">
        <f aca="false">EPA_Paro_Anual_SexoEdad!Q41-EPA_Paro_Anual_SexoEdad!Q20</f>
        <v>-9.3</v>
      </c>
      <c r="P20" s="13" t="n">
        <f aca="false">EPA_Paro_Anual_SexoEdad!R41-EPA_Paro_Anual_SexoEdad!R20</f>
        <v>-5.92</v>
      </c>
      <c r="Q20" s="13" t="n">
        <f aca="false">EPA_Paro_Anual_SexoEdad!S41-EPA_Paro_Anual_SexoEdad!S20</f>
        <v>-5.26</v>
      </c>
      <c r="R20" s="13" t="n">
        <f aca="false">EPA_Paro_Anual_SexoEdad!T41-EPA_Paro_Anual_SexoEdad!T20</f>
        <v>-8.45</v>
      </c>
      <c r="S20" s="13" t="n">
        <f aca="false">EPA_Paro_Anual_SexoEdad!U41-EPA_Paro_Anual_SexoEdad!U20</f>
        <v>-4.4</v>
      </c>
      <c r="T20" s="13" t="n">
        <f aca="false">EPA_Paro_Anual_SexoEdad!V41-EPA_Paro_Anual_SexoEdad!V20</f>
        <v>-1.13</v>
      </c>
      <c r="U20" s="13" t="n">
        <f aca="false">EPA_Paro_Anual_SexoEdad!W41-EPA_Paro_Anual_SexoEdad!W20</f>
        <v>-8.1</v>
      </c>
      <c r="V20" s="13" t="n">
        <f aca="false">EPA_Paro_Anual_SexoEdad!X41-EPA_Paro_Anual_SexoEdad!X20</f>
        <v>-4.21</v>
      </c>
    </row>
    <row r="21" customFormat="false" ht="15" hidden="false" customHeight="false" outlineLevel="0" collapsed="false">
      <c r="A21" s="12" t="s">
        <v>276</v>
      </c>
      <c r="B21" s="12" t="s">
        <v>264</v>
      </c>
      <c r="C21" s="13" t="n">
        <f aca="false">EPA_Paro_Anual_SexoEdad!E42-EPA_Paro_Anual_SexoEdad!E21</f>
        <v>-2.9</v>
      </c>
      <c r="D21" s="13" t="n">
        <f aca="false">EPA_Paro_Anual_SexoEdad!F42-EPA_Paro_Anual_SexoEdad!F21</f>
        <v>-3.22</v>
      </c>
      <c r="E21" s="13" t="n">
        <f aca="false">EPA_Paro_Anual_SexoEdad!G42-EPA_Paro_Anual_SexoEdad!G21</f>
        <v>-3.42</v>
      </c>
      <c r="F21" s="13" t="n">
        <f aca="false">EPA_Paro_Anual_SexoEdad!H42-EPA_Paro_Anual_SexoEdad!H21</f>
        <v>-4.82</v>
      </c>
      <c r="G21" s="13" t="n">
        <f aca="false">EPA_Paro_Anual_SexoEdad!I42-EPA_Paro_Anual_SexoEdad!I21</f>
        <v>-3.88</v>
      </c>
      <c r="H21" s="13" t="n">
        <f aca="false">EPA_Paro_Anual_SexoEdad!J42-EPA_Paro_Anual_SexoEdad!J21</f>
        <v>-5.63</v>
      </c>
      <c r="I21" s="13" t="n">
        <f aca="false">EPA_Paro_Anual_SexoEdad!K42-EPA_Paro_Anual_SexoEdad!K21</f>
        <v>-7.18</v>
      </c>
      <c r="J21" s="13" t="n">
        <f aca="false">EPA_Paro_Anual_SexoEdad!L42-EPA_Paro_Anual_SexoEdad!L21</f>
        <v>-6.86</v>
      </c>
      <c r="K21" s="13" t="n">
        <f aca="false">EPA_Paro_Anual_SexoEdad!M42-EPA_Paro_Anual_SexoEdad!M21</f>
        <v>-6.77</v>
      </c>
      <c r="L21" s="13" t="n">
        <f aca="false">EPA_Paro_Anual_SexoEdad!N42-EPA_Paro_Anual_SexoEdad!N21</f>
        <v>-6.42</v>
      </c>
      <c r="M21" s="13" t="n">
        <f aca="false">EPA_Paro_Anual_SexoEdad!O42-EPA_Paro_Anual_SexoEdad!O21</f>
        <v>-5.37</v>
      </c>
      <c r="N21" s="13" t="n">
        <f aca="false">EPA_Paro_Anual_SexoEdad!P42-EPA_Paro_Anual_SexoEdad!P21</f>
        <v>-5.15</v>
      </c>
      <c r="O21" s="13" t="n">
        <f aca="false">EPA_Paro_Anual_SexoEdad!Q42-EPA_Paro_Anual_SexoEdad!Q21</f>
        <v>-4.14</v>
      </c>
      <c r="P21" s="13" t="n">
        <f aca="false">EPA_Paro_Anual_SexoEdad!R42-EPA_Paro_Anual_SexoEdad!R21</f>
        <v>-5.03</v>
      </c>
      <c r="Q21" s="13" t="n">
        <f aca="false">EPA_Paro_Anual_SexoEdad!S42-EPA_Paro_Anual_SexoEdad!S21</f>
        <v>-4.12</v>
      </c>
      <c r="R21" s="13" t="n">
        <f aca="false">EPA_Paro_Anual_SexoEdad!T42-EPA_Paro_Anual_SexoEdad!T21</f>
        <v>-4.39</v>
      </c>
      <c r="S21" s="13" t="n">
        <f aca="false">EPA_Paro_Anual_SexoEdad!U42-EPA_Paro_Anual_SexoEdad!U21</f>
        <v>-1.78</v>
      </c>
      <c r="T21" s="13" t="n">
        <f aca="false">EPA_Paro_Anual_SexoEdad!V42-EPA_Paro_Anual_SexoEdad!V21</f>
        <v>-2.53</v>
      </c>
      <c r="U21" s="13" t="n">
        <f aca="false">EPA_Paro_Anual_SexoEdad!W42-EPA_Paro_Anual_SexoEdad!W21</f>
        <v>-3.12</v>
      </c>
      <c r="V21" s="13" t="n">
        <f aca="false">EPA_Paro_Anual_SexoEdad!X42-EPA_Paro_Anual_SexoEdad!X21</f>
        <v>-4.02</v>
      </c>
    </row>
    <row r="22" customFormat="false" ht="15" hidden="false" customHeight="false" outlineLevel="0" collapsed="false">
      <c r="A22" s="12" t="s">
        <v>276</v>
      </c>
      <c r="B22" s="12" t="s">
        <v>266</v>
      </c>
      <c r="C22" s="13" t="n">
        <f aca="false">EPA_Paro_Anual_SexoEdad!E43-EPA_Paro_Anual_SexoEdad!E22</f>
        <v>-0.43</v>
      </c>
      <c r="D22" s="13" t="n">
        <f aca="false">EPA_Paro_Anual_SexoEdad!F43-EPA_Paro_Anual_SexoEdad!F22</f>
        <v>-0.89</v>
      </c>
      <c r="E22" s="13" t="n">
        <f aca="false">EPA_Paro_Anual_SexoEdad!G43-EPA_Paro_Anual_SexoEdad!G22</f>
        <v>-0.0399999999999992</v>
      </c>
      <c r="F22" s="13" t="n">
        <f aca="false">EPA_Paro_Anual_SexoEdad!H43-EPA_Paro_Anual_SexoEdad!H22</f>
        <v>1.81</v>
      </c>
      <c r="G22" s="13" t="n">
        <f aca="false">EPA_Paro_Anual_SexoEdad!I43-EPA_Paro_Anual_SexoEdad!I22</f>
        <v>-3.05</v>
      </c>
      <c r="H22" s="13" t="n">
        <f aca="false">EPA_Paro_Anual_SexoEdad!J43-EPA_Paro_Anual_SexoEdad!J22</f>
        <v>-2.84</v>
      </c>
      <c r="I22" s="13" t="n">
        <f aca="false">EPA_Paro_Anual_SexoEdad!K43-EPA_Paro_Anual_SexoEdad!K22</f>
        <v>-3.14</v>
      </c>
      <c r="J22" s="13" t="n">
        <f aca="false">EPA_Paro_Anual_SexoEdad!L43-EPA_Paro_Anual_SexoEdad!L22</f>
        <v>-1.01</v>
      </c>
      <c r="K22" s="13" t="n">
        <f aca="false">EPA_Paro_Anual_SexoEdad!M43-EPA_Paro_Anual_SexoEdad!M22</f>
        <v>-1.35</v>
      </c>
      <c r="L22" s="13" t="n">
        <f aca="false">EPA_Paro_Anual_SexoEdad!N43-EPA_Paro_Anual_SexoEdad!N22</f>
        <v>-4.43</v>
      </c>
      <c r="M22" s="13" t="n">
        <f aca="false">EPA_Paro_Anual_SexoEdad!O43-EPA_Paro_Anual_SexoEdad!O22</f>
        <v>-1.84</v>
      </c>
      <c r="N22" s="13" t="n">
        <f aca="false">EPA_Paro_Anual_SexoEdad!P43-EPA_Paro_Anual_SexoEdad!P22</f>
        <v>-3.51</v>
      </c>
      <c r="O22" s="13" t="n">
        <f aca="false">EPA_Paro_Anual_SexoEdad!Q43-EPA_Paro_Anual_SexoEdad!Q22</f>
        <v>-2.26</v>
      </c>
      <c r="P22" s="13" t="n">
        <f aca="false">EPA_Paro_Anual_SexoEdad!R43-EPA_Paro_Anual_SexoEdad!R22</f>
        <v>-1.61</v>
      </c>
      <c r="Q22" s="13" t="n">
        <f aca="false">EPA_Paro_Anual_SexoEdad!S43-EPA_Paro_Anual_SexoEdad!S22</f>
        <v>-2.1</v>
      </c>
      <c r="R22" s="13" t="n">
        <f aca="false">EPA_Paro_Anual_SexoEdad!T43-EPA_Paro_Anual_SexoEdad!T22</f>
        <v>-2.52</v>
      </c>
      <c r="S22" s="13" t="n">
        <f aca="false">EPA_Paro_Anual_SexoEdad!U43-EPA_Paro_Anual_SexoEdad!U22</f>
        <v>-1.5</v>
      </c>
      <c r="T22" s="13" t="n">
        <f aca="false">EPA_Paro_Anual_SexoEdad!V43-EPA_Paro_Anual_SexoEdad!V22</f>
        <v>-2.8</v>
      </c>
      <c r="U22" s="13" t="n">
        <f aca="false">EPA_Paro_Anual_SexoEdad!W43-EPA_Paro_Anual_SexoEdad!W22</f>
        <v>-1.18</v>
      </c>
      <c r="V22" s="13" t="n">
        <f aca="false">EPA_Paro_Anual_SexoEdad!X43-EPA_Paro_Anual_SexoEdad!X22</f>
        <v>-2.19</v>
      </c>
    </row>
    <row r="24" customFormat="false" ht="15" hidden="false" customHeight="false" outlineLevel="0" collapsed="false">
      <c r="A24" s="11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20"/>
  </cols>
  <sheetData>
    <row r="1" customFormat="false" ht="23.85" hidden="false" customHeight="false" outlineLevel="0" collapsed="false">
      <c r="A1" s="4" t="s">
        <v>92</v>
      </c>
      <c r="B1" s="4" t="s">
        <v>305</v>
      </c>
      <c r="C1" s="4" t="s">
        <v>306</v>
      </c>
      <c r="D1" s="4" t="s">
        <v>307</v>
      </c>
      <c r="E1" s="4" t="s">
        <v>308</v>
      </c>
      <c r="F1" s="4" t="s">
        <v>309</v>
      </c>
      <c r="G1" s="4" t="s">
        <v>310</v>
      </c>
      <c r="H1" s="4" t="s">
        <v>311</v>
      </c>
      <c r="I1" s="4" t="s">
        <v>312</v>
      </c>
      <c r="J1" s="4" t="s">
        <v>313</v>
      </c>
    </row>
    <row r="2" customFormat="false" ht="15" hidden="false" customHeight="false" outlineLevel="0" collapsed="false">
      <c r="A2" s="12" t="s">
        <v>314</v>
      </c>
      <c r="B2" s="19" t="n">
        <v>10.5</v>
      </c>
      <c r="C2" s="19" t="n">
        <v>24.87</v>
      </c>
      <c r="D2" s="19" t="n">
        <v>9.37</v>
      </c>
      <c r="E2" s="19" t="n">
        <v>37.2</v>
      </c>
      <c r="F2" s="19" t="n">
        <v>22.43</v>
      </c>
      <c r="G2" s="19" t="n">
        <v>9.27</v>
      </c>
      <c r="H2" s="19" t="n">
        <v>9.67</v>
      </c>
      <c r="I2" s="14" t="n">
        <f aca="false">B2-B$2</f>
        <v>0</v>
      </c>
      <c r="J2" s="12"/>
    </row>
    <row r="3" customFormat="false" ht="15" hidden="false" customHeight="false" outlineLevel="0" collapsed="false">
      <c r="A3" s="12" t="s">
        <v>315</v>
      </c>
      <c r="B3" s="19" t="n">
        <v>15.23</v>
      </c>
      <c r="C3" s="19" t="n">
        <v>32.67</v>
      </c>
      <c r="D3" s="19" t="n">
        <v>13.92</v>
      </c>
      <c r="E3" s="19" t="n">
        <v>47.18</v>
      </c>
      <c r="F3" s="19" t="n">
        <v>29.88</v>
      </c>
      <c r="G3" s="19" t="n">
        <v>13.83</v>
      </c>
      <c r="H3" s="19" t="n">
        <v>14.24</v>
      </c>
      <c r="I3" s="14" t="n">
        <f aca="false">B3-B$2</f>
        <v>4.73</v>
      </c>
      <c r="J3" s="20" t="n">
        <f aca="false">RANK(B3,B$3:B$21,0)</f>
        <v>3</v>
      </c>
    </row>
    <row r="4" customFormat="false" ht="15" hidden="false" customHeight="false" outlineLevel="0" collapsed="false">
      <c r="A4" s="12" t="s">
        <v>316</v>
      </c>
      <c r="B4" s="19" t="n">
        <v>8.05</v>
      </c>
      <c r="C4" s="19" t="n">
        <v>24.13</v>
      </c>
      <c r="D4" s="19" t="n">
        <v>6.76</v>
      </c>
      <c r="E4" s="19" t="n">
        <v>42.2</v>
      </c>
      <c r="F4" s="19" t="n">
        <v>20.4</v>
      </c>
      <c r="G4" s="19" t="n">
        <v>6.86</v>
      </c>
      <c r="H4" s="19" t="n">
        <v>6.43</v>
      </c>
      <c r="I4" s="14" t="n">
        <f aca="false">B4-B$2</f>
        <v>-2.45</v>
      </c>
      <c r="J4" s="20" t="n">
        <f aca="false">RANK(B4,B$3:B$21,0)</f>
        <v>15</v>
      </c>
    </row>
    <row r="5" customFormat="false" ht="15" hidden="false" customHeight="false" outlineLevel="0" collapsed="false">
      <c r="A5" s="12" t="s">
        <v>317</v>
      </c>
      <c r="B5" s="19" t="n">
        <v>8.83</v>
      </c>
      <c r="C5" s="19" t="n">
        <v>27.89</v>
      </c>
      <c r="D5" s="19" t="n">
        <v>7.66</v>
      </c>
      <c r="E5" s="19" t="n">
        <v>44.67</v>
      </c>
      <c r="F5" s="19" t="n">
        <v>25.07</v>
      </c>
      <c r="G5" s="19" t="n">
        <v>6.89</v>
      </c>
      <c r="H5" s="19" t="n">
        <v>9.79</v>
      </c>
      <c r="I5" s="14" t="n">
        <f aca="false">B5-B$2</f>
        <v>-1.67</v>
      </c>
      <c r="J5" s="20" t="n">
        <f aca="false">RANK(B5,B$3:B$21,0)</f>
        <v>9</v>
      </c>
    </row>
    <row r="6" customFormat="false" ht="15" hidden="false" customHeight="false" outlineLevel="0" collapsed="false">
      <c r="A6" s="12" t="s">
        <v>318</v>
      </c>
      <c r="B6" s="19" t="n">
        <v>8.83</v>
      </c>
      <c r="C6" s="19" t="n">
        <v>17.12</v>
      </c>
      <c r="D6" s="19" t="n">
        <v>8.11</v>
      </c>
      <c r="E6" s="19" t="n">
        <v>31.6</v>
      </c>
      <c r="F6" s="19" t="n">
        <v>14.16</v>
      </c>
      <c r="G6" s="19" t="n">
        <v>8.24</v>
      </c>
      <c r="H6" s="19" t="n">
        <v>7.62</v>
      </c>
      <c r="I6" s="14" t="n">
        <f aca="false">B6-B$2</f>
        <v>-1.67</v>
      </c>
      <c r="J6" s="20" t="n">
        <f aca="false">RANK(B6,B$3:B$21,0)</f>
        <v>9</v>
      </c>
    </row>
    <row r="7" customFormat="false" ht="15" hidden="false" customHeight="false" outlineLevel="0" collapsed="false">
      <c r="A7" s="12" t="s">
        <v>319</v>
      </c>
      <c r="B7" s="19" t="n">
        <v>13.52</v>
      </c>
      <c r="C7" s="19" t="n">
        <v>29.45</v>
      </c>
      <c r="D7" s="19" t="n">
        <v>12.3</v>
      </c>
      <c r="E7" s="19" t="n">
        <v>42.32</v>
      </c>
      <c r="F7" s="19" t="n">
        <v>27.09</v>
      </c>
      <c r="G7" s="19" t="n">
        <v>12.04</v>
      </c>
      <c r="H7" s="19" t="n">
        <v>13.15</v>
      </c>
      <c r="I7" s="14" t="n">
        <f aca="false">B7-B$2</f>
        <v>3.02</v>
      </c>
      <c r="J7" s="20" t="n">
        <f aca="false">RANK(B7,B$3:B$21,0)</f>
        <v>5</v>
      </c>
    </row>
    <row r="8" customFormat="false" ht="15" hidden="false" customHeight="false" outlineLevel="0" collapsed="false">
      <c r="A8" s="12" t="s">
        <v>320</v>
      </c>
      <c r="B8" s="19" t="n">
        <v>7.34</v>
      </c>
      <c r="C8" s="19" t="n">
        <v>19.84</v>
      </c>
      <c r="D8" s="19" t="n">
        <v>6.48</v>
      </c>
      <c r="E8" s="19" t="n">
        <v>28.89</v>
      </c>
      <c r="F8" s="19" t="n">
        <v>18.2</v>
      </c>
      <c r="G8" s="19" t="n">
        <v>6.43</v>
      </c>
      <c r="H8" s="19" t="n">
        <v>6.61</v>
      </c>
      <c r="I8" s="14" t="n">
        <f aca="false">B8-B$2</f>
        <v>-3.16</v>
      </c>
      <c r="J8" s="20" t="n">
        <f aca="false">RANK(B8,B$3:B$21,0)</f>
        <v>18</v>
      </c>
    </row>
    <row r="9" customFormat="false" ht="15" hidden="false" customHeight="false" outlineLevel="0" collapsed="false">
      <c r="A9" s="12" t="s">
        <v>321</v>
      </c>
      <c r="B9" s="19" t="n">
        <v>8.55</v>
      </c>
      <c r="C9" s="19" t="n">
        <v>24.67</v>
      </c>
      <c r="D9" s="19" t="n">
        <v>7.47</v>
      </c>
      <c r="E9" s="19" t="n">
        <v>35.71</v>
      </c>
      <c r="F9" s="19" t="n">
        <v>22.46</v>
      </c>
      <c r="G9" s="19" t="n">
        <v>7.69</v>
      </c>
      <c r="H9" s="19" t="n">
        <v>6.91</v>
      </c>
      <c r="I9" s="14" t="n">
        <f aca="false">B9-B$2</f>
        <v>-1.95</v>
      </c>
      <c r="J9" s="20" t="n">
        <f aca="false">RANK(B9,B$3:B$21,0)</f>
        <v>11</v>
      </c>
    </row>
    <row r="10" customFormat="false" ht="15" hidden="false" customHeight="false" outlineLevel="0" collapsed="false">
      <c r="A10" s="12" t="s">
        <v>322</v>
      </c>
      <c r="B10" s="19" t="n">
        <v>12.77</v>
      </c>
      <c r="C10" s="19" t="n">
        <v>27.6</v>
      </c>
      <c r="D10" s="19" t="n">
        <v>11.54</v>
      </c>
      <c r="E10" s="19" t="n">
        <v>40.36</v>
      </c>
      <c r="F10" s="19" t="n">
        <v>24.8</v>
      </c>
      <c r="G10" s="19" t="n">
        <v>11.24</v>
      </c>
      <c r="H10" s="19" t="n">
        <v>12.54</v>
      </c>
      <c r="I10" s="14" t="n">
        <f aca="false">B10-B$2</f>
        <v>2.27</v>
      </c>
      <c r="J10" s="20" t="n">
        <f aca="false">RANK(B10,B$3:B$21,0)</f>
        <v>6</v>
      </c>
    </row>
    <row r="11" customFormat="false" ht="15" hidden="false" customHeight="false" outlineLevel="0" collapsed="false">
      <c r="A11" s="12" t="s">
        <v>323</v>
      </c>
      <c r="B11" s="19" t="n">
        <v>8.36</v>
      </c>
      <c r="C11" s="19" t="n">
        <v>19.07</v>
      </c>
      <c r="D11" s="19" t="n">
        <v>7.31</v>
      </c>
      <c r="E11" s="19" t="n">
        <v>29.02</v>
      </c>
      <c r="F11" s="19" t="n">
        <v>16.76</v>
      </c>
      <c r="G11" s="19" t="n">
        <v>7.61</v>
      </c>
      <c r="H11" s="19" t="n">
        <v>6.22</v>
      </c>
      <c r="I11" s="14" t="n">
        <f aca="false">B11-B$2</f>
        <v>-2.14</v>
      </c>
      <c r="J11" s="20" t="n">
        <f aca="false">RANK(B11,B$3:B$21,0)</f>
        <v>12</v>
      </c>
    </row>
    <row r="12" customFormat="false" ht="15" hidden="false" customHeight="false" outlineLevel="0" collapsed="false">
      <c r="A12" s="12" t="s">
        <v>324</v>
      </c>
      <c r="B12" s="19" t="n">
        <v>11.56</v>
      </c>
      <c r="C12" s="19" t="n">
        <v>30.51</v>
      </c>
      <c r="D12" s="19" t="n">
        <v>9.99</v>
      </c>
      <c r="E12" s="19" t="n">
        <v>40.15</v>
      </c>
      <c r="F12" s="19" t="n">
        <v>28.28</v>
      </c>
      <c r="G12" s="19" t="n">
        <v>9.51</v>
      </c>
      <c r="H12" s="19" t="n">
        <v>11.57</v>
      </c>
      <c r="I12" s="14" t="n">
        <f aca="false">B12-B$2</f>
        <v>1.06</v>
      </c>
      <c r="J12" s="20" t="n">
        <f aca="false">RANK(B12,B$3:B$21,0)</f>
        <v>8</v>
      </c>
    </row>
    <row r="13" customFormat="false" ht="15" hidden="false" customHeight="false" outlineLevel="0" collapsed="false">
      <c r="A13" s="12" t="s">
        <v>325</v>
      </c>
      <c r="B13" s="19" t="n">
        <v>14.75</v>
      </c>
      <c r="C13" s="19" t="n">
        <v>37.36</v>
      </c>
      <c r="D13" s="19" t="n">
        <v>13.12</v>
      </c>
      <c r="E13" s="19" t="n">
        <v>53.41</v>
      </c>
      <c r="F13" s="19" t="n">
        <v>33.98</v>
      </c>
      <c r="G13" s="19" t="n">
        <v>12.94</v>
      </c>
      <c r="H13" s="19" t="n">
        <v>13.65</v>
      </c>
      <c r="I13" s="14" t="n">
        <f aca="false">B13-B$2</f>
        <v>4.25</v>
      </c>
      <c r="J13" s="20" t="n">
        <f aca="false">RANK(B13,B$3:B$21,0)</f>
        <v>4</v>
      </c>
    </row>
    <row r="14" customFormat="false" ht="15" hidden="false" customHeight="false" outlineLevel="0" collapsed="false">
      <c r="A14" s="12" t="s">
        <v>326</v>
      </c>
      <c r="B14" s="19" t="n">
        <v>8.35</v>
      </c>
      <c r="C14" s="19" t="n">
        <v>24.73</v>
      </c>
      <c r="D14" s="19" t="n">
        <v>7.45</v>
      </c>
      <c r="E14" s="19" t="n">
        <v>44.3</v>
      </c>
      <c r="F14" s="19" t="n">
        <v>21.53</v>
      </c>
      <c r="G14" s="19" t="n">
        <v>7.59</v>
      </c>
      <c r="H14" s="19" t="n">
        <v>7.01</v>
      </c>
      <c r="I14" s="14" t="n">
        <f aca="false">B14-B$2</f>
        <v>-2.15</v>
      </c>
      <c r="J14" s="20" t="n">
        <f aca="false">RANK(B14,B$3:B$21,0)</f>
        <v>13</v>
      </c>
    </row>
    <row r="15" customFormat="false" ht="15" hidden="false" customHeight="false" outlineLevel="0" collapsed="false">
      <c r="A15" s="12" t="s">
        <v>327</v>
      </c>
      <c r="B15" s="19" t="n">
        <v>7.97</v>
      </c>
      <c r="C15" s="19" t="n">
        <v>19.29</v>
      </c>
      <c r="D15" s="19" t="n">
        <v>7.11</v>
      </c>
      <c r="E15" s="19" t="n">
        <v>30.99</v>
      </c>
      <c r="F15" s="19" t="n">
        <v>17.5</v>
      </c>
      <c r="G15" s="19" t="n">
        <v>6.65</v>
      </c>
      <c r="H15" s="19" t="n">
        <v>8.7</v>
      </c>
      <c r="I15" s="14" t="n">
        <f aca="false">B15-B$2</f>
        <v>-2.53</v>
      </c>
      <c r="J15" s="20" t="n">
        <f aca="false">RANK(B15,B$3:B$21,0)</f>
        <v>16</v>
      </c>
    </row>
    <row r="16" customFormat="false" ht="15" hidden="false" customHeight="false" outlineLevel="0" collapsed="false">
      <c r="A16" s="12" t="s">
        <v>328</v>
      </c>
      <c r="B16" s="19" t="n">
        <v>12.1</v>
      </c>
      <c r="C16" s="19" t="n">
        <v>25.39</v>
      </c>
      <c r="D16" s="19" t="n">
        <v>10.81</v>
      </c>
      <c r="E16" s="19" t="n">
        <v>38.61</v>
      </c>
      <c r="F16" s="19" t="n">
        <v>22.83</v>
      </c>
      <c r="G16" s="19" t="n">
        <v>10.87</v>
      </c>
      <c r="H16" s="19" t="n">
        <v>10.6</v>
      </c>
      <c r="I16" s="14" t="n">
        <f aca="false">B16-B$2</f>
        <v>1.6</v>
      </c>
      <c r="J16" s="20" t="n">
        <f aca="false">RANK(B16,B$3:B$21,0)</f>
        <v>7</v>
      </c>
    </row>
    <row r="17" customFormat="false" ht="15" hidden="false" customHeight="false" outlineLevel="0" collapsed="false">
      <c r="A17" s="12" t="s">
        <v>329</v>
      </c>
      <c r="B17" s="19" t="n">
        <v>7.69</v>
      </c>
      <c r="C17" s="19" t="n">
        <v>20.86</v>
      </c>
      <c r="D17" s="19" t="n">
        <v>6.68</v>
      </c>
      <c r="E17" s="19" t="n">
        <v>30.93</v>
      </c>
      <c r="F17" s="19" t="n">
        <v>19.49</v>
      </c>
      <c r="G17" s="19" t="n">
        <v>7.11</v>
      </c>
      <c r="H17" s="19" t="n">
        <v>5.36</v>
      </c>
      <c r="I17" s="14" t="n">
        <f aca="false">B17-B$2</f>
        <v>-2.81</v>
      </c>
      <c r="J17" s="20" t="n">
        <f aca="false">RANK(B17,B$3:B$21,0)</f>
        <v>17</v>
      </c>
    </row>
    <row r="18" customFormat="false" ht="15" hidden="false" customHeight="false" outlineLevel="0" collapsed="false">
      <c r="A18" s="12" t="s">
        <v>330</v>
      </c>
      <c r="B18" s="19" t="n">
        <v>7.33</v>
      </c>
      <c r="C18" s="19" t="n">
        <v>18.58</v>
      </c>
      <c r="D18" s="19" t="n">
        <v>6.62</v>
      </c>
      <c r="E18" s="19" t="n">
        <v>29.73</v>
      </c>
      <c r="F18" s="19" t="n">
        <v>16.66</v>
      </c>
      <c r="G18" s="19" t="n">
        <v>6.37</v>
      </c>
      <c r="H18" s="19" t="n">
        <v>7.37</v>
      </c>
      <c r="I18" s="14" t="n">
        <f aca="false">B18-B$2</f>
        <v>-3.17</v>
      </c>
      <c r="J18" s="20" t="n">
        <f aca="false">RANK(B18,B$3:B$21,0)</f>
        <v>19</v>
      </c>
    </row>
    <row r="19" customFormat="false" ht="15" hidden="false" customHeight="false" outlineLevel="0" collapsed="false">
      <c r="A19" s="12" t="s">
        <v>331</v>
      </c>
      <c r="B19" s="19" t="n">
        <v>8.11</v>
      </c>
      <c r="C19" s="19" t="n">
        <v>25.53</v>
      </c>
      <c r="D19" s="19" t="n">
        <v>6.68</v>
      </c>
      <c r="E19" s="19" t="n">
        <v>43.61</v>
      </c>
      <c r="F19" s="19" t="n">
        <v>21.92</v>
      </c>
      <c r="G19" s="19" t="n">
        <v>6.37</v>
      </c>
      <c r="H19" s="19" t="n">
        <v>7.65</v>
      </c>
      <c r="I19" s="14" t="n">
        <f aca="false">B19-B$2</f>
        <v>-2.39</v>
      </c>
      <c r="J19" s="20" t="n">
        <f aca="false">RANK(B19,B$3:B$21,0)</f>
        <v>14</v>
      </c>
    </row>
    <row r="20" customFormat="false" ht="15" hidden="false" customHeight="false" outlineLevel="0" collapsed="false">
      <c r="A20" s="12" t="s">
        <v>332</v>
      </c>
      <c r="B20" s="19" t="n">
        <v>24.3</v>
      </c>
      <c r="C20" s="19" t="n">
        <v>57.55</v>
      </c>
      <c r="D20" s="19" t="n">
        <v>21.36</v>
      </c>
      <c r="E20" s="19" t="n">
        <v>87.93</v>
      </c>
      <c r="F20" s="19" t="n">
        <v>51.91</v>
      </c>
      <c r="G20" s="19" t="n">
        <v>24.34</v>
      </c>
      <c r="H20" s="19" t="n">
        <v>11.87</v>
      </c>
      <c r="I20" s="14" t="n">
        <f aca="false">B20-B$2</f>
        <v>13.8</v>
      </c>
      <c r="J20" s="20" t="n">
        <f aca="false">RANK(B20,B$3:B$21,0)</f>
        <v>2</v>
      </c>
    </row>
    <row r="21" customFormat="false" ht="15" hidden="false" customHeight="false" outlineLevel="0" collapsed="false">
      <c r="A21" s="12" t="s">
        <v>333</v>
      </c>
      <c r="B21" s="19" t="n">
        <v>24.85</v>
      </c>
      <c r="C21" s="19" t="n">
        <v>60.2</v>
      </c>
      <c r="D21" s="19" t="n">
        <v>22.69</v>
      </c>
      <c r="E21" s="19" t="n">
        <v>40.48</v>
      </c>
      <c r="F21" s="19" t="n">
        <v>63.24</v>
      </c>
      <c r="G21" s="19" t="n">
        <v>25.16</v>
      </c>
      <c r="H21" s="19" t="n">
        <v>15.03</v>
      </c>
      <c r="I21" s="14" t="n">
        <f aca="false">B21-B$2</f>
        <v>14.35</v>
      </c>
      <c r="J21" s="20" t="n">
        <f aca="false">RANK(B21,B$3:B$21,0)</f>
        <v>1</v>
      </c>
    </row>
    <row r="24" customFormat="false" ht="15" hidden="false" customHeight="false" outlineLevel="0" collapsed="false">
      <c r="A24" s="11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4" t="s">
        <v>92</v>
      </c>
      <c r="B1" s="4" t="s">
        <v>335</v>
      </c>
      <c r="C1" s="4" t="s">
        <v>336</v>
      </c>
      <c r="D1" s="4" t="s">
        <v>337</v>
      </c>
      <c r="E1" s="4" t="s">
        <v>338</v>
      </c>
      <c r="F1" s="4" t="s">
        <v>339</v>
      </c>
    </row>
    <row r="2" customFormat="false" ht="15" hidden="false" customHeight="false" outlineLevel="0" collapsed="false">
      <c r="A2" s="12" t="s">
        <v>314</v>
      </c>
      <c r="B2" s="21" t="n">
        <v>22779</v>
      </c>
      <c r="C2" s="21" t="n">
        <v>2495.3</v>
      </c>
      <c r="D2" s="21" t="n">
        <v>49345.1</v>
      </c>
      <c r="E2" s="22" t="n">
        <f aca="false">B2+C2</f>
        <v>25274.3</v>
      </c>
      <c r="F2" s="14" t="n">
        <f aca="false">C2/E2*100</f>
        <v>9.87287481750237</v>
      </c>
    </row>
    <row r="3" customFormat="false" ht="15" hidden="false" customHeight="false" outlineLevel="0" collapsed="false">
      <c r="A3" s="12" t="s">
        <v>315</v>
      </c>
      <c r="B3" s="21" t="n">
        <v>3681.2</v>
      </c>
      <c r="C3" s="21" t="n">
        <v>627.1</v>
      </c>
      <c r="D3" s="21" t="n">
        <v>8712</v>
      </c>
      <c r="E3" s="22" t="n">
        <f aca="false">B3+C3</f>
        <v>4308.3</v>
      </c>
      <c r="F3" s="14" t="n">
        <f aca="false">C3/E3*100</f>
        <v>14.5556251885895</v>
      </c>
    </row>
    <row r="4" customFormat="false" ht="15" hidden="false" customHeight="false" outlineLevel="0" collapsed="false">
      <c r="A4" s="12" t="s">
        <v>316</v>
      </c>
      <c r="B4" s="21" t="n">
        <v>643.3</v>
      </c>
      <c r="C4" s="21" t="n">
        <v>57.3</v>
      </c>
      <c r="D4" s="21" t="n">
        <v>1373</v>
      </c>
      <c r="E4" s="22" t="n">
        <f aca="false">B4+C4</f>
        <v>700.6</v>
      </c>
      <c r="F4" s="14" t="n">
        <f aca="false">C4/E4*100</f>
        <v>8.17870396802741</v>
      </c>
    </row>
    <row r="5" customFormat="false" ht="15" hidden="false" customHeight="false" outlineLevel="0" collapsed="false">
      <c r="A5" s="12" t="s">
        <v>340</v>
      </c>
      <c r="B5" s="21" t="n">
        <v>433.8</v>
      </c>
      <c r="C5" s="21" t="n">
        <v>43.5</v>
      </c>
      <c r="D5" s="21" t="n">
        <v>1018.7</v>
      </c>
      <c r="E5" s="22" t="n">
        <f aca="false">B5+C5</f>
        <v>477.3</v>
      </c>
      <c r="F5" s="14" t="n">
        <f aca="false">C5/E5*100</f>
        <v>9.11376492771842</v>
      </c>
    </row>
    <row r="6" customFormat="false" ht="15" hidden="false" customHeight="false" outlineLevel="0" collapsed="false">
      <c r="A6" s="12" t="s">
        <v>341</v>
      </c>
      <c r="B6" s="21" t="n">
        <v>681.8</v>
      </c>
      <c r="C6" s="21" t="n">
        <v>44.4</v>
      </c>
      <c r="D6" s="21" t="n">
        <v>1253.1</v>
      </c>
      <c r="E6" s="22" t="n">
        <f aca="false">B6+C6</f>
        <v>726.2</v>
      </c>
      <c r="F6" s="14" t="n">
        <f aca="false">C6/E6*100</f>
        <v>6.1140181768108</v>
      </c>
    </row>
    <row r="7" customFormat="false" ht="15" hidden="false" customHeight="false" outlineLevel="0" collapsed="false">
      <c r="A7" s="12" t="s">
        <v>319</v>
      </c>
      <c r="B7" s="21" t="n">
        <v>1035.5</v>
      </c>
      <c r="C7" s="21" t="n">
        <v>135.9</v>
      </c>
      <c r="D7" s="21" t="n">
        <v>2261.3</v>
      </c>
      <c r="E7" s="22" t="n">
        <f aca="false">B7+C7</f>
        <v>1171.4</v>
      </c>
      <c r="F7" s="14" t="n">
        <f aca="false">C7/E7*100</f>
        <v>11.6015024756701</v>
      </c>
    </row>
    <row r="8" customFormat="false" ht="15" hidden="false" customHeight="false" outlineLevel="0" collapsed="false">
      <c r="A8" s="12" t="s">
        <v>320</v>
      </c>
      <c r="B8" s="21" t="n">
        <v>268.6</v>
      </c>
      <c r="C8" s="21" t="n">
        <v>21.3</v>
      </c>
      <c r="D8" s="21" t="n">
        <v>593.1</v>
      </c>
      <c r="E8" s="22" t="n">
        <f aca="false">B8+C8</f>
        <v>289.9</v>
      </c>
      <c r="F8" s="14" t="n">
        <f aca="false">C8/E8*100</f>
        <v>7.34736115902035</v>
      </c>
    </row>
    <row r="9" customFormat="false" ht="15" hidden="false" customHeight="false" outlineLevel="0" collapsed="false">
      <c r="A9" s="12" t="s">
        <v>321</v>
      </c>
      <c r="B9" s="21" t="n">
        <v>1058.7</v>
      </c>
      <c r="C9" s="21" t="n">
        <v>96.7</v>
      </c>
      <c r="D9" s="21" t="n">
        <v>2400.5</v>
      </c>
      <c r="E9" s="22" t="n">
        <f aca="false">B9+C9</f>
        <v>1155.4</v>
      </c>
      <c r="F9" s="14" t="n">
        <f aca="false">C9/E9*100</f>
        <v>8.36939588021465</v>
      </c>
    </row>
    <row r="10" customFormat="false" ht="15" hidden="false" customHeight="false" outlineLevel="0" collapsed="false">
      <c r="A10" s="12" t="s">
        <v>342</v>
      </c>
      <c r="B10" s="21" t="n">
        <v>962.1</v>
      </c>
      <c r="C10" s="21" t="n">
        <v>128.8</v>
      </c>
      <c r="D10" s="21" t="n">
        <v>2151.8</v>
      </c>
      <c r="E10" s="22" t="n">
        <f aca="false">B10+C10</f>
        <v>1090.9</v>
      </c>
      <c r="F10" s="14" t="n">
        <f aca="false">C10/E10*100</f>
        <v>11.8067650563755</v>
      </c>
    </row>
    <row r="11" customFormat="false" ht="15" hidden="false" customHeight="false" outlineLevel="0" collapsed="false">
      <c r="A11" s="12" t="s">
        <v>323</v>
      </c>
      <c r="B11" s="21" t="n">
        <v>3997.8</v>
      </c>
      <c r="C11" s="21" t="n">
        <v>343</v>
      </c>
      <c r="D11" s="21" t="n">
        <v>8134</v>
      </c>
      <c r="E11" s="22" t="n">
        <f aca="false">B11+C11</f>
        <v>4340.8</v>
      </c>
      <c r="F11" s="14" t="n">
        <f aca="false">C11/E11*100</f>
        <v>7.90176925912274</v>
      </c>
    </row>
    <row r="12" customFormat="false" ht="15" hidden="false" customHeight="false" outlineLevel="0" collapsed="false">
      <c r="A12" s="12" t="s">
        <v>324</v>
      </c>
      <c r="B12" s="21" t="n">
        <v>2495.8</v>
      </c>
      <c r="C12" s="21" t="n">
        <v>304.6</v>
      </c>
      <c r="D12" s="21" t="n">
        <v>5526.4</v>
      </c>
      <c r="E12" s="22" t="n">
        <f aca="false">B12+C12</f>
        <v>2800.4</v>
      </c>
      <c r="F12" s="14" t="n">
        <f aca="false">C12/E12*100</f>
        <v>10.8770175689187</v>
      </c>
    </row>
    <row r="13" customFormat="false" ht="15" hidden="false" customHeight="false" outlineLevel="0" collapsed="false">
      <c r="A13" s="12" t="s">
        <v>325</v>
      </c>
      <c r="B13" s="21" t="n">
        <v>435.5</v>
      </c>
      <c r="C13" s="21" t="n">
        <v>66.3</v>
      </c>
      <c r="D13" s="21" t="n">
        <v>1049</v>
      </c>
      <c r="E13" s="22" t="n">
        <f aca="false">B13+C13</f>
        <v>501.8</v>
      </c>
      <c r="F13" s="14" t="n">
        <f aca="false">C13/E13*100</f>
        <v>13.2124352331606</v>
      </c>
    </row>
    <row r="14" customFormat="false" ht="15" hidden="false" customHeight="false" outlineLevel="0" collapsed="false">
      <c r="A14" s="12" t="s">
        <v>326</v>
      </c>
      <c r="B14" s="21" t="n">
        <v>1172</v>
      </c>
      <c r="C14" s="21" t="n">
        <v>101.1</v>
      </c>
      <c r="D14" s="21" t="n">
        <v>2709.4</v>
      </c>
      <c r="E14" s="22" t="n">
        <f aca="false">B14+C14</f>
        <v>1273.1</v>
      </c>
      <c r="F14" s="14" t="n">
        <f aca="false">C14/E14*100</f>
        <v>7.94124577802215</v>
      </c>
    </row>
    <row r="15" customFormat="false" ht="15" hidden="false" customHeight="false" outlineLevel="0" collapsed="false">
      <c r="A15" s="12" t="s">
        <v>66</v>
      </c>
      <c r="B15" s="21" t="n">
        <v>3631.3</v>
      </c>
      <c r="C15" s="21" t="n">
        <v>297.9</v>
      </c>
      <c r="D15" s="21" t="n">
        <v>7142.1</v>
      </c>
      <c r="E15" s="22" t="n">
        <f aca="false">B15+C15</f>
        <v>3929.2</v>
      </c>
      <c r="F15" s="14" t="n">
        <f aca="false">C15/E15*100</f>
        <v>7.58169601954596</v>
      </c>
    </row>
    <row r="16" customFormat="false" ht="15" hidden="false" customHeight="false" outlineLevel="0" collapsed="false">
      <c r="A16" s="12" t="s">
        <v>343</v>
      </c>
      <c r="B16" s="21" t="n">
        <v>742.1</v>
      </c>
      <c r="C16" s="21" t="n">
        <v>90.2</v>
      </c>
      <c r="D16" s="21" t="n">
        <v>1603.6</v>
      </c>
      <c r="E16" s="22" t="n">
        <f aca="false">B16+C16</f>
        <v>832.3</v>
      </c>
      <c r="F16" s="14" t="n">
        <f aca="false">C16/E16*100</f>
        <v>10.8374384236453</v>
      </c>
    </row>
    <row r="17" customFormat="false" ht="15" hidden="false" customHeight="false" outlineLevel="0" collapsed="false">
      <c r="A17" s="12" t="s">
        <v>344</v>
      </c>
      <c r="B17" s="21" t="n">
        <v>315.2</v>
      </c>
      <c r="C17" s="21" t="n">
        <v>27.7</v>
      </c>
      <c r="D17" s="21" t="n">
        <v>686.1</v>
      </c>
      <c r="E17" s="22" t="n">
        <f aca="false">B17+C17</f>
        <v>342.9</v>
      </c>
      <c r="F17" s="14" t="n">
        <f aca="false">C17/E17*100</f>
        <v>8.07815689705454</v>
      </c>
    </row>
    <row r="18" customFormat="false" ht="15" hidden="false" customHeight="false" outlineLevel="0" collapsed="false">
      <c r="A18" s="12" t="s">
        <v>330</v>
      </c>
      <c r="B18" s="21" t="n">
        <v>1007.6</v>
      </c>
      <c r="C18" s="21" t="n">
        <v>77.2</v>
      </c>
      <c r="D18" s="21" t="n">
        <v>2234.7</v>
      </c>
      <c r="E18" s="22" t="n">
        <f aca="false">B18+C18</f>
        <v>1084.8</v>
      </c>
      <c r="F18" s="14" t="n">
        <f aca="false">C18/E18*100</f>
        <v>7.1165191740413</v>
      </c>
    </row>
    <row r="19" customFormat="false" ht="15" hidden="false" customHeight="false" outlineLevel="0" collapsed="false">
      <c r="A19" s="12" t="s">
        <v>345</v>
      </c>
      <c r="B19" s="21" t="n">
        <v>152.1</v>
      </c>
      <c r="C19" s="21" t="n">
        <v>14.6</v>
      </c>
      <c r="D19" s="21" t="n">
        <v>328.4</v>
      </c>
      <c r="E19" s="22" t="n">
        <f aca="false">B19+C19</f>
        <v>166.7</v>
      </c>
      <c r="F19" s="14" t="n">
        <f aca="false">C19/E19*100</f>
        <v>8.75824835032994</v>
      </c>
    </row>
    <row r="20" customFormat="false" ht="15" hidden="false" customHeight="false" outlineLevel="0" collapsed="false">
      <c r="A20" s="12" t="s">
        <v>332</v>
      </c>
      <c r="B20" s="21" t="n">
        <v>36.7</v>
      </c>
      <c r="C20" s="21" t="n">
        <v>10.6</v>
      </c>
      <c r="D20" s="21" t="n">
        <v>86.5</v>
      </c>
      <c r="E20" s="22" t="n">
        <f aca="false">B20+C20</f>
        <v>47.3</v>
      </c>
      <c r="F20" s="14" t="n">
        <f aca="false">C20/E20*100</f>
        <v>22.4101479915433</v>
      </c>
    </row>
    <row r="21" customFormat="false" ht="15" hidden="false" customHeight="false" outlineLevel="0" collapsed="false">
      <c r="A21" s="12" t="s">
        <v>333</v>
      </c>
      <c r="B21" s="21" t="n">
        <v>27.9</v>
      </c>
      <c r="C21" s="21" t="n">
        <v>7.3</v>
      </c>
      <c r="D21" s="21" t="n">
        <v>81.5</v>
      </c>
      <c r="E21" s="22" t="n">
        <f aca="false">B21+C21</f>
        <v>35.2</v>
      </c>
      <c r="F21" s="14" t="n">
        <f aca="false">C21/E21*100</f>
        <v>20.7386363636364</v>
      </c>
    </row>
    <row r="23" customFormat="false" ht="15" hidden="false" customHeight="false" outlineLevel="0" collapsed="false">
      <c r="A23" s="11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4" t="s">
        <v>92</v>
      </c>
      <c r="B1" s="4" t="s">
        <v>190</v>
      </c>
      <c r="C1" s="4" t="s">
        <v>191</v>
      </c>
      <c r="D1" s="4" t="s">
        <v>192</v>
      </c>
      <c r="E1" s="4" t="s">
        <v>28</v>
      </c>
      <c r="F1" s="4" t="s">
        <v>347</v>
      </c>
      <c r="G1" s="4" t="s">
        <v>348</v>
      </c>
    </row>
    <row r="2" customFormat="false" ht="15" hidden="false" customHeight="false" outlineLevel="0" collapsed="false">
      <c r="A2" s="12" t="s">
        <v>314</v>
      </c>
      <c r="B2" s="21" t="n">
        <v>22387.1</v>
      </c>
      <c r="C2" s="21" t="n">
        <v>22463.3</v>
      </c>
      <c r="D2" s="21" t="n">
        <v>22293</v>
      </c>
      <c r="E2" s="21" t="n">
        <v>22779</v>
      </c>
      <c r="F2" s="14" t="n">
        <f aca="false">(E2/D2-1)*100</f>
        <v>2.18005651998385</v>
      </c>
      <c r="G2" s="14" t="n">
        <f aca="false">(E2/B2-1)*100</f>
        <v>1.75056170741186</v>
      </c>
    </row>
    <row r="3" customFormat="false" ht="15" hidden="false" customHeight="false" outlineLevel="0" collapsed="false">
      <c r="A3" s="12" t="s">
        <v>66</v>
      </c>
      <c r="B3" s="21" t="n">
        <v>3520.6</v>
      </c>
      <c r="C3" s="21" t="n">
        <v>3579.9</v>
      </c>
      <c r="D3" s="21" t="n">
        <v>3569.2</v>
      </c>
      <c r="E3" s="21" t="n">
        <v>3631.3</v>
      </c>
      <c r="F3" s="14" t="n">
        <f aca="false">(E3/D3-1)*100</f>
        <v>1.73988568866974</v>
      </c>
      <c r="G3" s="14" t="n">
        <f aca="false">(E3/B3-1)*100</f>
        <v>3.14435039481906</v>
      </c>
    </row>
    <row r="6" customFormat="false" ht="15" hidden="false" customHeight="false" outlineLevel="0" collapsed="false">
      <c r="A6" s="11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17"/>
    <col collapsed="false" customWidth="true" hidden="false" outlineLevel="0" max="12" min="11" style="0" width="22"/>
    <col collapsed="false" customWidth="true" hidden="false" outlineLevel="0" max="14" min="13" style="0" width="18"/>
  </cols>
  <sheetData>
    <row r="1" customFormat="false" ht="42" hidden="false" customHeight="true" outlineLevel="0" collapsed="false">
      <c r="A1" s="4" t="s">
        <v>94</v>
      </c>
      <c r="B1" s="4" t="s">
        <v>335</v>
      </c>
      <c r="C1" s="4" t="s">
        <v>336</v>
      </c>
      <c r="D1" s="4" t="s">
        <v>350</v>
      </c>
      <c r="E1" s="4" t="s">
        <v>351</v>
      </c>
      <c r="F1" s="4" t="s">
        <v>352</v>
      </c>
      <c r="G1" s="4" t="s">
        <v>353</v>
      </c>
      <c r="H1" s="4" t="s">
        <v>354</v>
      </c>
      <c r="I1" s="4" t="s">
        <v>355</v>
      </c>
      <c r="J1" s="4" t="s">
        <v>356</v>
      </c>
      <c r="K1" s="4" t="s">
        <v>357</v>
      </c>
      <c r="L1" s="4" t="s">
        <v>358</v>
      </c>
      <c r="M1" s="4" t="s">
        <v>359</v>
      </c>
      <c r="N1" s="4" t="s">
        <v>360</v>
      </c>
    </row>
    <row r="2" customFormat="false" ht="15" hidden="false" customHeight="false" outlineLevel="0" collapsed="false">
      <c r="A2" s="12" t="s">
        <v>361</v>
      </c>
      <c r="B2" s="21" t="n">
        <v>27.3</v>
      </c>
      <c r="C2" s="21" t="n">
        <v>18.1</v>
      </c>
      <c r="D2" s="21" t="n">
        <v>317.1</v>
      </c>
      <c r="E2" s="22" t="n">
        <f aca="false">B2+C2</f>
        <v>45.4</v>
      </c>
      <c r="F2" s="14" t="n">
        <f aca="false">C2/E2*100</f>
        <v>39.8678414096916</v>
      </c>
      <c r="G2" s="14" t="n">
        <f aca="false">E2/D2*100</f>
        <v>14.3172500788395</v>
      </c>
      <c r="H2" s="14" t="n">
        <f aca="false">B2/D2*100</f>
        <v>8.60927152317881</v>
      </c>
      <c r="I2" s="21" t="n">
        <v>14.7</v>
      </c>
      <c r="J2" s="21" t="n">
        <v>11.2</v>
      </c>
      <c r="K2" s="22" t="n">
        <f aca="false">B2-I2</f>
        <v>12.6</v>
      </c>
      <c r="L2" s="22" t="n">
        <f aca="false">C2-J2</f>
        <v>6.9</v>
      </c>
      <c r="M2" s="14" t="n">
        <f aca="false">J2/(I2+J2)*100</f>
        <v>43.2432432432432</v>
      </c>
      <c r="N2" s="14" t="n">
        <f aca="false">L2/(K2+L2)*100</f>
        <v>35.3846153846154</v>
      </c>
    </row>
    <row r="3" customFormat="false" ht="15" hidden="false" customHeight="false" outlineLevel="0" collapsed="false">
      <c r="A3" s="12" t="s">
        <v>362</v>
      </c>
      <c r="B3" s="21" t="n">
        <v>213.9</v>
      </c>
      <c r="C3" s="21" t="n">
        <v>41.5</v>
      </c>
      <c r="D3" s="21" t="n">
        <v>422.9</v>
      </c>
      <c r="E3" s="22" t="n">
        <f aca="false">B3+C3</f>
        <v>255.4</v>
      </c>
      <c r="F3" s="14" t="n">
        <f aca="false">C3/E3*100</f>
        <v>16.2490211433046</v>
      </c>
      <c r="G3" s="14" t="n">
        <f aca="false">E3/D3*100</f>
        <v>60.3925277843462</v>
      </c>
      <c r="H3" s="14" t="n">
        <f aca="false">B3/D3*100</f>
        <v>50.5793331756917</v>
      </c>
      <c r="I3" s="21" t="n">
        <v>111.4</v>
      </c>
      <c r="J3" s="21" t="n">
        <v>15.4</v>
      </c>
      <c r="K3" s="22" t="n">
        <f aca="false">B3-I3</f>
        <v>102.5</v>
      </c>
      <c r="L3" s="22" t="n">
        <f aca="false">C3-J3</f>
        <v>26.1</v>
      </c>
      <c r="M3" s="14" t="n">
        <f aca="false">J3/(I3+J3)*100</f>
        <v>12.1451104100946</v>
      </c>
      <c r="N3" s="14" t="n">
        <f aca="false">L3/(K3+L3)*100</f>
        <v>20.2954898911353</v>
      </c>
    </row>
    <row r="4" customFormat="false" ht="15" hidden="false" customHeight="false" outlineLevel="0" collapsed="false">
      <c r="A4" s="12" t="s">
        <v>363</v>
      </c>
      <c r="B4" s="21" t="n">
        <v>755.3</v>
      </c>
      <c r="C4" s="21" t="n">
        <v>71.3</v>
      </c>
      <c r="D4" s="21" t="n">
        <v>926.2</v>
      </c>
      <c r="E4" s="22" t="n">
        <f aca="false">B4+C4</f>
        <v>826.6</v>
      </c>
      <c r="F4" s="14" t="n">
        <f aca="false">C4/E4*100</f>
        <v>8.62569562061457</v>
      </c>
      <c r="G4" s="14" t="n">
        <f aca="false">E4/D4*100</f>
        <v>89.2463830706111</v>
      </c>
      <c r="H4" s="14" t="n">
        <f aca="false">B4/D4*100</f>
        <v>81.5482617145325</v>
      </c>
      <c r="I4" s="21" t="n">
        <v>382</v>
      </c>
      <c r="J4" s="21" t="n">
        <v>40.4</v>
      </c>
      <c r="K4" s="22" t="n">
        <f aca="false">B4-I4</f>
        <v>373.3</v>
      </c>
      <c r="L4" s="22" t="n">
        <f aca="false">C4-J4</f>
        <v>30.9</v>
      </c>
      <c r="M4" s="14" t="n">
        <f aca="false">J4/(I4+J4)*100</f>
        <v>9.56439393939394</v>
      </c>
      <c r="N4" s="14" t="n">
        <f aca="false">L4/(K4+L4)*100</f>
        <v>7.64473033151905</v>
      </c>
    </row>
    <row r="5" customFormat="false" ht="15" hidden="false" customHeight="false" outlineLevel="0" collapsed="false">
      <c r="A5" s="12" t="s">
        <v>364</v>
      </c>
      <c r="B5" s="21" t="n">
        <v>851.4</v>
      </c>
      <c r="C5" s="21" t="n">
        <v>47.2</v>
      </c>
      <c r="D5" s="21" t="n">
        <v>972</v>
      </c>
      <c r="E5" s="22" t="n">
        <f aca="false">B5+C5</f>
        <v>898.6</v>
      </c>
      <c r="F5" s="14" t="n">
        <f aca="false">C5/E5*100</f>
        <v>5.25261517916759</v>
      </c>
      <c r="G5" s="14" t="n">
        <f aca="false">E5/D5*100</f>
        <v>92.4485596707819</v>
      </c>
      <c r="H5" s="14" t="n">
        <f aca="false">B5/D5*100</f>
        <v>87.5925925925926</v>
      </c>
      <c r="I5" s="21" t="n">
        <v>427.8</v>
      </c>
      <c r="J5" s="21" t="n">
        <v>18.3</v>
      </c>
      <c r="K5" s="22" t="n">
        <f aca="false">B5-I5</f>
        <v>423.6</v>
      </c>
      <c r="L5" s="22" t="n">
        <f aca="false">C5-J5</f>
        <v>28.9</v>
      </c>
      <c r="M5" s="14" t="n">
        <f aca="false">J5/(I5+J5)*100</f>
        <v>4.10221923335575</v>
      </c>
      <c r="N5" s="14" t="n">
        <f aca="false">L5/(K5+L5)*100</f>
        <v>6.38674033149171</v>
      </c>
    </row>
    <row r="6" customFormat="false" ht="15" hidden="false" customHeight="false" outlineLevel="0" collapsed="false">
      <c r="A6" s="12" t="s">
        <v>365</v>
      </c>
      <c r="B6" s="21" t="n">
        <v>1015.6</v>
      </c>
      <c r="C6" s="21" t="n">
        <v>57</v>
      </c>
      <c r="D6" s="21" t="n">
        <v>1167</v>
      </c>
      <c r="E6" s="22" t="n">
        <f aca="false">B6+C6</f>
        <v>1072.6</v>
      </c>
      <c r="F6" s="14" t="n">
        <f aca="false">C6/E6*100</f>
        <v>5.31418981913108</v>
      </c>
      <c r="G6" s="14" t="n">
        <f aca="false">E6/D6*100</f>
        <v>91.91088260497</v>
      </c>
      <c r="H6" s="14" t="n">
        <f aca="false">B6/D6*100</f>
        <v>87.0265638389032</v>
      </c>
      <c r="I6" s="21" t="n">
        <v>516.9</v>
      </c>
      <c r="J6" s="21" t="n">
        <v>17.8</v>
      </c>
      <c r="K6" s="22" t="n">
        <f aca="false">B6-I6</f>
        <v>498.7</v>
      </c>
      <c r="L6" s="22" t="n">
        <f aca="false">C6-J6</f>
        <v>39.2</v>
      </c>
      <c r="M6" s="14" t="n">
        <f aca="false">J6/(I6+J6)*100</f>
        <v>3.32896951561623</v>
      </c>
      <c r="N6" s="14" t="n">
        <f aca="false">L6/(K6+L6)*100</f>
        <v>7.28759992563673</v>
      </c>
    </row>
    <row r="7" customFormat="false" ht="15" hidden="false" customHeight="false" outlineLevel="0" collapsed="false">
      <c r="A7" s="12" t="s">
        <v>266</v>
      </c>
      <c r="B7" s="21" t="n">
        <v>767.7</v>
      </c>
      <c r="C7" s="21" t="n">
        <v>62.7</v>
      </c>
      <c r="D7" s="22" t="n">
        <f aca="false">D10+D11</f>
        <v>2341.5</v>
      </c>
      <c r="E7" s="22" t="n">
        <f aca="false">B7+C7</f>
        <v>830.4</v>
      </c>
      <c r="F7" s="14" t="n">
        <f aca="false">C7/E7*100</f>
        <v>7.55057803468208</v>
      </c>
      <c r="G7" s="14" t="n">
        <f aca="false">E7/D7*100</f>
        <v>35.4644458680333</v>
      </c>
      <c r="H7" s="14" t="n">
        <f aca="false">B7/D7*100</f>
        <v>32.7866752081999</v>
      </c>
      <c r="I7" s="21" t="n">
        <v>388.6</v>
      </c>
      <c r="J7" s="21" t="n">
        <v>27.3</v>
      </c>
      <c r="K7" s="22" t="n">
        <f aca="false">B7-I7</f>
        <v>379.1</v>
      </c>
      <c r="L7" s="22" t="n">
        <f aca="false">C7-J7</f>
        <v>35.4</v>
      </c>
      <c r="M7" s="14" t="n">
        <f aca="false">J7/(I7+J7)*100</f>
        <v>6.56407790334215</v>
      </c>
      <c r="N7" s="14" t="n">
        <f aca="false">L7/(K7+L7)*100</f>
        <v>8.54041013268999</v>
      </c>
    </row>
    <row r="8" customFormat="false" ht="15" hidden="false" customHeight="false" outlineLevel="0" collapsed="false">
      <c r="A8" s="2" t="s">
        <v>366</v>
      </c>
      <c r="B8" s="22" t="n">
        <f aca="false">SUM(B2:B7)</f>
        <v>3631.2</v>
      </c>
      <c r="C8" s="22" t="n">
        <f aca="false">SUM(C2:C7)</f>
        <v>297.8</v>
      </c>
      <c r="D8" s="22" t="n">
        <f aca="false">SUM(D2:D7)</f>
        <v>6146.7</v>
      </c>
      <c r="E8" s="22" t="n">
        <f aca="false">B8+C8</f>
        <v>3929</v>
      </c>
      <c r="F8" s="14" t="n">
        <f aca="false">C8/E8*100</f>
        <v>7.57953677780606</v>
      </c>
      <c r="G8" s="14" t="n">
        <f aca="false">E8/D8*100</f>
        <v>63.9204776546765</v>
      </c>
      <c r="H8" s="14" t="n">
        <f aca="false">B8/D8*100</f>
        <v>59.075601542291</v>
      </c>
      <c r="I8" s="22" t="n">
        <f aca="false">SUM(I2:I7)</f>
        <v>1841.4</v>
      </c>
      <c r="J8" s="22" t="n">
        <f aca="false">SUM(J2:J7)</f>
        <v>130.4</v>
      </c>
      <c r="K8" s="22" t="n">
        <f aca="false">SUM(K2:K7)</f>
        <v>1789.8</v>
      </c>
      <c r="L8" s="22" t="n">
        <f aca="false">SUM(L2:L7)</f>
        <v>167.4</v>
      </c>
      <c r="M8" s="14" t="n">
        <f aca="false">J8/(I8+J8)*100</f>
        <v>6.61324677959225</v>
      </c>
      <c r="N8" s="14" t="n">
        <f aca="false">L8/(K8+L8)*100</f>
        <v>8.55303494788473</v>
      </c>
    </row>
    <row r="9" customFormat="false" ht="15" hidden="false" customHeight="false" outlineLevel="0" collapsed="false">
      <c r="A9" s="2" t="s">
        <v>367</v>
      </c>
    </row>
    <row r="10" customFormat="false" ht="15" hidden="false" customHeight="false" outlineLevel="0" collapsed="false">
      <c r="A10" s="12" t="s">
        <v>368</v>
      </c>
      <c r="D10" s="21" t="n">
        <v>978.6</v>
      </c>
    </row>
    <row r="11" customFormat="false" ht="15" hidden="false" customHeight="false" outlineLevel="0" collapsed="false">
      <c r="A11" s="12" t="s">
        <v>369</v>
      </c>
      <c r="D11" s="21" t="n">
        <v>1362.9</v>
      </c>
    </row>
    <row r="13" customFormat="false" ht="15" hidden="false" customHeight="false" outlineLevel="0" collapsed="false">
      <c r="A13" s="11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4" t="s">
        <v>92</v>
      </c>
      <c r="B1" s="4" t="s">
        <v>371</v>
      </c>
      <c r="C1" s="4" t="s">
        <v>372</v>
      </c>
      <c r="D1" s="4" t="s">
        <v>93</v>
      </c>
      <c r="E1" s="4" t="s">
        <v>94</v>
      </c>
      <c r="F1" s="4" t="s">
        <v>335</v>
      </c>
    </row>
    <row r="2" customFormat="false" ht="15" hidden="false" customHeight="false" outlineLevel="0" collapsed="false">
      <c r="A2" s="12" t="s">
        <v>65</v>
      </c>
      <c r="B2" s="12" t="s">
        <v>28</v>
      </c>
      <c r="C2" s="12" t="s">
        <v>196</v>
      </c>
      <c r="D2" s="12" t="s">
        <v>195</v>
      </c>
      <c r="E2" s="12" t="s">
        <v>196</v>
      </c>
      <c r="F2" s="21" t="n">
        <v>22779</v>
      </c>
    </row>
    <row r="3" customFormat="false" ht="15" hidden="false" customHeight="false" outlineLevel="0" collapsed="false">
      <c r="A3" s="12" t="s">
        <v>65</v>
      </c>
      <c r="B3" s="12" t="s">
        <v>28</v>
      </c>
      <c r="C3" s="12" t="s">
        <v>196</v>
      </c>
      <c r="D3" s="12" t="s">
        <v>195</v>
      </c>
      <c r="E3" s="12" t="s">
        <v>361</v>
      </c>
      <c r="F3" s="21" t="n">
        <v>208.6</v>
      </c>
    </row>
    <row r="4" customFormat="false" ht="15" hidden="false" customHeight="false" outlineLevel="0" collapsed="false">
      <c r="A4" s="12" t="s">
        <v>65</v>
      </c>
      <c r="B4" s="12" t="s">
        <v>28</v>
      </c>
      <c r="C4" s="12" t="s">
        <v>196</v>
      </c>
      <c r="D4" s="12" t="s">
        <v>195</v>
      </c>
      <c r="E4" s="12" t="s">
        <v>362</v>
      </c>
      <c r="F4" s="21" t="n">
        <v>1266.5</v>
      </c>
    </row>
    <row r="5" customFormat="false" ht="15" hidden="false" customHeight="false" outlineLevel="0" collapsed="false">
      <c r="A5" s="12" t="s">
        <v>65</v>
      </c>
      <c r="B5" s="12" t="s">
        <v>28</v>
      </c>
      <c r="C5" s="12" t="s">
        <v>196</v>
      </c>
      <c r="D5" s="12" t="s">
        <v>195</v>
      </c>
      <c r="E5" s="12" t="s">
        <v>373</v>
      </c>
      <c r="F5" s="21" t="n">
        <v>16294.9</v>
      </c>
    </row>
    <row r="6" customFormat="false" ht="15" hidden="false" customHeight="false" outlineLevel="0" collapsed="false">
      <c r="A6" s="12" t="s">
        <v>65</v>
      </c>
      <c r="B6" s="12" t="s">
        <v>28</v>
      </c>
      <c r="C6" s="12" t="s">
        <v>196</v>
      </c>
      <c r="D6" s="12" t="s">
        <v>195</v>
      </c>
      <c r="E6" s="12" t="s">
        <v>374</v>
      </c>
      <c r="F6" s="21" t="n">
        <v>5009</v>
      </c>
    </row>
    <row r="7" customFormat="false" ht="15" hidden="false" customHeight="false" outlineLevel="0" collapsed="false">
      <c r="A7" s="12" t="s">
        <v>65</v>
      </c>
      <c r="B7" s="12" t="s">
        <v>28</v>
      </c>
      <c r="C7" s="12" t="s">
        <v>375</v>
      </c>
      <c r="D7" s="12" t="s">
        <v>195</v>
      </c>
      <c r="E7" s="12" t="s">
        <v>196</v>
      </c>
      <c r="F7" s="21" t="n">
        <v>787.2</v>
      </c>
    </row>
    <row r="8" customFormat="false" ht="15" hidden="false" customHeight="false" outlineLevel="0" collapsed="false">
      <c r="A8" s="12" t="s">
        <v>65</v>
      </c>
      <c r="B8" s="12" t="s">
        <v>28</v>
      </c>
      <c r="C8" s="12" t="s">
        <v>375</v>
      </c>
      <c r="D8" s="12" t="s">
        <v>195</v>
      </c>
      <c r="E8" s="12" t="s">
        <v>361</v>
      </c>
      <c r="F8" s="21" t="n">
        <v>9.3</v>
      </c>
    </row>
    <row r="9" customFormat="false" ht="15" hidden="false" customHeight="false" outlineLevel="0" collapsed="false">
      <c r="A9" s="12" t="s">
        <v>65</v>
      </c>
      <c r="B9" s="12" t="s">
        <v>28</v>
      </c>
      <c r="C9" s="12" t="s">
        <v>375</v>
      </c>
      <c r="D9" s="12" t="s">
        <v>195</v>
      </c>
      <c r="E9" s="12" t="s">
        <v>362</v>
      </c>
      <c r="F9" s="21" t="n">
        <v>31.5</v>
      </c>
    </row>
    <row r="10" customFormat="false" ht="15" hidden="false" customHeight="false" outlineLevel="0" collapsed="false">
      <c r="A10" s="12" t="s">
        <v>65</v>
      </c>
      <c r="B10" s="12" t="s">
        <v>28</v>
      </c>
      <c r="C10" s="12" t="s">
        <v>375</v>
      </c>
      <c r="D10" s="12" t="s">
        <v>195</v>
      </c>
      <c r="E10" s="12" t="s">
        <v>373</v>
      </c>
      <c r="F10" s="21" t="n">
        <v>518.4</v>
      </c>
    </row>
    <row r="11" customFormat="false" ht="15" hidden="false" customHeight="false" outlineLevel="0" collapsed="false">
      <c r="A11" s="12" t="s">
        <v>65</v>
      </c>
      <c r="B11" s="12" t="s">
        <v>28</v>
      </c>
      <c r="C11" s="12" t="s">
        <v>375</v>
      </c>
      <c r="D11" s="12" t="s">
        <v>195</v>
      </c>
      <c r="E11" s="12" t="s">
        <v>374</v>
      </c>
      <c r="F11" s="21" t="n">
        <v>228.1</v>
      </c>
    </row>
    <row r="12" customFormat="false" ht="15" hidden="false" customHeight="false" outlineLevel="0" collapsed="false">
      <c r="A12" s="12" t="s">
        <v>65</v>
      </c>
      <c r="B12" s="12" t="s">
        <v>28</v>
      </c>
      <c r="C12" s="12" t="s">
        <v>376</v>
      </c>
      <c r="D12" s="12" t="s">
        <v>195</v>
      </c>
      <c r="E12" s="12" t="s">
        <v>196</v>
      </c>
      <c r="F12" s="21" t="n">
        <v>3103</v>
      </c>
    </row>
    <row r="13" customFormat="false" ht="15" hidden="false" customHeight="false" outlineLevel="0" collapsed="false">
      <c r="A13" s="12" t="s">
        <v>65</v>
      </c>
      <c r="B13" s="12" t="s">
        <v>28</v>
      </c>
      <c r="C13" s="12" t="s">
        <v>376</v>
      </c>
      <c r="D13" s="12" t="s">
        <v>195</v>
      </c>
      <c r="E13" s="12" t="s">
        <v>361</v>
      </c>
      <c r="F13" s="21" t="n">
        <v>20.4</v>
      </c>
    </row>
    <row r="14" customFormat="false" ht="15" hidden="false" customHeight="false" outlineLevel="0" collapsed="false">
      <c r="A14" s="12" t="s">
        <v>65</v>
      </c>
      <c r="B14" s="12" t="s">
        <v>28</v>
      </c>
      <c r="C14" s="12" t="s">
        <v>376</v>
      </c>
      <c r="D14" s="12" t="s">
        <v>195</v>
      </c>
      <c r="E14" s="12" t="s">
        <v>362</v>
      </c>
      <c r="F14" s="21" t="n">
        <v>147.4</v>
      </c>
    </row>
    <row r="15" customFormat="false" ht="15" hidden="false" customHeight="false" outlineLevel="0" collapsed="false">
      <c r="A15" s="12" t="s">
        <v>65</v>
      </c>
      <c r="B15" s="12" t="s">
        <v>28</v>
      </c>
      <c r="C15" s="12" t="s">
        <v>376</v>
      </c>
      <c r="D15" s="12" t="s">
        <v>195</v>
      </c>
      <c r="E15" s="12" t="s">
        <v>373</v>
      </c>
      <c r="F15" s="21" t="n">
        <v>2325.5</v>
      </c>
    </row>
    <row r="16" customFormat="false" ht="15" hidden="false" customHeight="false" outlineLevel="0" collapsed="false">
      <c r="A16" s="12" t="s">
        <v>65</v>
      </c>
      <c r="B16" s="12" t="s">
        <v>28</v>
      </c>
      <c r="C16" s="12" t="s">
        <v>376</v>
      </c>
      <c r="D16" s="12" t="s">
        <v>195</v>
      </c>
      <c r="E16" s="12" t="s">
        <v>374</v>
      </c>
      <c r="F16" s="21" t="n">
        <v>609.8</v>
      </c>
    </row>
    <row r="17" customFormat="false" ht="15" hidden="false" customHeight="false" outlineLevel="0" collapsed="false">
      <c r="A17" s="12" t="s">
        <v>65</v>
      </c>
      <c r="B17" s="12" t="s">
        <v>28</v>
      </c>
      <c r="C17" s="12" t="s">
        <v>377</v>
      </c>
      <c r="D17" s="12" t="s">
        <v>195</v>
      </c>
      <c r="E17" s="12" t="s">
        <v>196</v>
      </c>
      <c r="F17" s="21" t="n">
        <v>1612</v>
      </c>
    </row>
    <row r="18" customFormat="false" ht="15" hidden="false" customHeight="false" outlineLevel="0" collapsed="false">
      <c r="A18" s="12" t="s">
        <v>65</v>
      </c>
      <c r="B18" s="12" t="s">
        <v>28</v>
      </c>
      <c r="C18" s="12" t="s">
        <v>377</v>
      </c>
      <c r="D18" s="12" t="s">
        <v>195</v>
      </c>
      <c r="E18" s="12" t="s">
        <v>361</v>
      </c>
      <c r="F18" s="21" t="n">
        <v>12.1</v>
      </c>
    </row>
    <row r="19" customFormat="false" ht="15" hidden="false" customHeight="false" outlineLevel="0" collapsed="false">
      <c r="A19" s="12" t="s">
        <v>65</v>
      </c>
      <c r="B19" s="12" t="s">
        <v>28</v>
      </c>
      <c r="C19" s="12" t="s">
        <v>377</v>
      </c>
      <c r="D19" s="12" t="s">
        <v>195</v>
      </c>
      <c r="E19" s="12" t="s">
        <v>362</v>
      </c>
      <c r="F19" s="21" t="n">
        <v>69.5</v>
      </c>
    </row>
    <row r="20" customFormat="false" ht="15" hidden="false" customHeight="false" outlineLevel="0" collapsed="false">
      <c r="A20" s="12" t="s">
        <v>65</v>
      </c>
      <c r="B20" s="12" t="s">
        <v>28</v>
      </c>
      <c r="C20" s="12" t="s">
        <v>377</v>
      </c>
      <c r="D20" s="12" t="s">
        <v>195</v>
      </c>
      <c r="E20" s="12" t="s">
        <v>373</v>
      </c>
      <c r="F20" s="21" t="n">
        <v>1173.5</v>
      </c>
    </row>
    <row r="21" customFormat="false" ht="15" hidden="false" customHeight="false" outlineLevel="0" collapsed="false">
      <c r="A21" s="12" t="s">
        <v>65</v>
      </c>
      <c r="B21" s="12" t="s">
        <v>28</v>
      </c>
      <c r="C21" s="12" t="s">
        <v>377</v>
      </c>
      <c r="D21" s="12" t="s">
        <v>195</v>
      </c>
      <c r="E21" s="12" t="s">
        <v>374</v>
      </c>
      <c r="F21" s="21" t="n">
        <v>356.9</v>
      </c>
    </row>
    <row r="22" customFormat="false" ht="15" hidden="false" customHeight="false" outlineLevel="0" collapsed="false">
      <c r="A22" s="12" t="s">
        <v>65</v>
      </c>
      <c r="B22" s="12" t="s">
        <v>28</v>
      </c>
      <c r="C22" s="12" t="s">
        <v>378</v>
      </c>
      <c r="D22" s="12" t="s">
        <v>195</v>
      </c>
      <c r="E22" s="12" t="s">
        <v>196</v>
      </c>
      <c r="F22" s="21" t="n">
        <v>17276.7</v>
      </c>
    </row>
    <row r="23" customFormat="false" ht="15" hidden="false" customHeight="false" outlineLevel="0" collapsed="false">
      <c r="A23" s="12" t="s">
        <v>65</v>
      </c>
      <c r="B23" s="12" t="s">
        <v>28</v>
      </c>
      <c r="C23" s="12" t="s">
        <v>378</v>
      </c>
      <c r="D23" s="12" t="s">
        <v>195</v>
      </c>
      <c r="E23" s="12" t="s">
        <v>361</v>
      </c>
      <c r="F23" s="21" t="n">
        <v>166.8</v>
      </c>
    </row>
    <row r="24" customFormat="false" ht="15" hidden="false" customHeight="false" outlineLevel="0" collapsed="false">
      <c r="A24" s="12" t="s">
        <v>65</v>
      </c>
      <c r="B24" s="12" t="s">
        <v>28</v>
      </c>
      <c r="C24" s="12" t="s">
        <v>378</v>
      </c>
      <c r="D24" s="12" t="s">
        <v>195</v>
      </c>
      <c r="E24" s="12" t="s">
        <v>362</v>
      </c>
      <c r="F24" s="21" t="n">
        <v>1018.2</v>
      </c>
    </row>
    <row r="25" customFormat="false" ht="15" hidden="false" customHeight="false" outlineLevel="0" collapsed="false">
      <c r="A25" s="12" t="s">
        <v>65</v>
      </c>
      <c r="B25" s="12" t="s">
        <v>28</v>
      </c>
      <c r="C25" s="12" t="s">
        <v>378</v>
      </c>
      <c r="D25" s="12" t="s">
        <v>195</v>
      </c>
      <c r="E25" s="12" t="s">
        <v>373</v>
      </c>
      <c r="F25" s="21" t="n">
        <v>12277.4</v>
      </c>
    </row>
    <row r="26" customFormat="false" ht="15" hidden="false" customHeight="false" outlineLevel="0" collapsed="false">
      <c r="A26" s="12" t="s">
        <v>65</v>
      </c>
      <c r="B26" s="12" t="s">
        <v>28</v>
      </c>
      <c r="C26" s="12" t="s">
        <v>378</v>
      </c>
      <c r="D26" s="12" t="s">
        <v>195</v>
      </c>
      <c r="E26" s="12" t="s">
        <v>374</v>
      </c>
      <c r="F26" s="21" t="n">
        <v>3814.3</v>
      </c>
    </row>
    <row r="27" customFormat="false" ht="15" hidden="false" customHeight="false" outlineLevel="0" collapsed="false">
      <c r="A27" s="12" t="s">
        <v>65</v>
      </c>
      <c r="B27" s="12" t="s">
        <v>28</v>
      </c>
      <c r="C27" s="12" t="s">
        <v>196</v>
      </c>
      <c r="D27" s="12" t="s">
        <v>268</v>
      </c>
      <c r="E27" s="12" t="s">
        <v>196</v>
      </c>
      <c r="F27" s="21" t="n">
        <v>12162</v>
      </c>
    </row>
    <row r="28" customFormat="false" ht="15" hidden="false" customHeight="false" outlineLevel="0" collapsed="false">
      <c r="A28" s="12" t="s">
        <v>65</v>
      </c>
      <c r="B28" s="12" t="s">
        <v>28</v>
      </c>
      <c r="C28" s="12" t="s">
        <v>196</v>
      </c>
      <c r="D28" s="12" t="s">
        <v>268</v>
      </c>
      <c r="E28" s="12" t="s">
        <v>361</v>
      </c>
      <c r="F28" s="21" t="n">
        <v>131.9</v>
      </c>
    </row>
    <row r="29" customFormat="false" ht="15" hidden="false" customHeight="false" outlineLevel="0" collapsed="false">
      <c r="A29" s="12" t="s">
        <v>65</v>
      </c>
      <c r="B29" s="12" t="s">
        <v>28</v>
      </c>
      <c r="C29" s="12" t="s">
        <v>196</v>
      </c>
      <c r="D29" s="12" t="s">
        <v>268</v>
      </c>
      <c r="E29" s="12" t="s">
        <v>362</v>
      </c>
      <c r="F29" s="21" t="n">
        <v>695.1</v>
      </c>
    </row>
    <row r="30" customFormat="false" ht="15" hidden="false" customHeight="false" outlineLevel="0" collapsed="false">
      <c r="A30" s="12" t="s">
        <v>65</v>
      </c>
      <c r="B30" s="12" t="s">
        <v>28</v>
      </c>
      <c r="C30" s="12" t="s">
        <v>196</v>
      </c>
      <c r="D30" s="12" t="s">
        <v>268</v>
      </c>
      <c r="E30" s="12" t="s">
        <v>373</v>
      </c>
      <c r="F30" s="21" t="n">
        <v>8645</v>
      </c>
    </row>
    <row r="31" customFormat="false" ht="15" hidden="false" customHeight="false" outlineLevel="0" collapsed="false">
      <c r="A31" s="12" t="s">
        <v>65</v>
      </c>
      <c r="B31" s="12" t="s">
        <v>28</v>
      </c>
      <c r="C31" s="12" t="s">
        <v>196</v>
      </c>
      <c r="D31" s="12" t="s">
        <v>268</v>
      </c>
      <c r="E31" s="12" t="s">
        <v>374</v>
      </c>
      <c r="F31" s="21" t="n">
        <v>2690</v>
      </c>
    </row>
    <row r="32" customFormat="false" ht="15" hidden="false" customHeight="false" outlineLevel="0" collapsed="false">
      <c r="A32" s="12" t="s">
        <v>65</v>
      </c>
      <c r="B32" s="12" t="s">
        <v>28</v>
      </c>
      <c r="C32" s="12" t="s">
        <v>375</v>
      </c>
      <c r="D32" s="12" t="s">
        <v>268</v>
      </c>
      <c r="E32" s="12" t="s">
        <v>196</v>
      </c>
      <c r="F32" s="21" t="n">
        <v>585.8</v>
      </c>
    </row>
    <row r="33" customFormat="false" ht="15" hidden="false" customHeight="false" outlineLevel="0" collapsed="false">
      <c r="A33" s="12" t="s">
        <v>65</v>
      </c>
      <c r="B33" s="12" t="s">
        <v>28</v>
      </c>
      <c r="C33" s="12" t="s">
        <v>375</v>
      </c>
      <c r="D33" s="12" t="s">
        <v>268</v>
      </c>
      <c r="E33" s="12" t="s">
        <v>361</v>
      </c>
      <c r="F33" s="21" t="n">
        <v>7.3</v>
      </c>
    </row>
    <row r="34" customFormat="false" ht="15" hidden="false" customHeight="false" outlineLevel="0" collapsed="false">
      <c r="A34" s="12" t="s">
        <v>65</v>
      </c>
      <c r="B34" s="12" t="s">
        <v>28</v>
      </c>
      <c r="C34" s="12" t="s">
        <v>375</v>
      </c>
      <c r="D34" s="12" t="s">
        <v>268</v>
      </c>
      <c r="E34" s="12" t="s">
        <v>362</v>
      </c>
      <c r="F34" s="21" t="n">
        <v>25.5</v>
      </c>
    </row>
    <row r="35" customFormat="false" ht="15" hidden="false" customHeight="false" outlineLevel="0" collapsed="false">
      <c r="A35" s="12" t="s">
        <v>65</v>
      </c>
      <c r="B35" s="12" t="s">
        <v>28</v>
      </c>
      <c r="C35" s="12" t="s">
        <v>375</v>
      </c>
      <c r="D35" s="12" t="s">
        <v>268</v>
      </c>
      <c r="E35" s="12" t="s">
        <v>373</v>
      </c>
      <c r="F35" s="21" t="n">
        <v>385.1</v>
      </c>
    </row>
    <row r="36" customFormat="false" ht="15" hidden="false" customHeight="false" outlineLevel="0" collapsed="false">
      <c r="A36" s="12" t="s">
        <v>65</v>
      </c>
      <c r="B36" s="12" t="s">
        <v>28</v>
      </c>
      <c r="C36" s="12" t="s">
        <v>375</v>
      </c>
      <c r="D36" s="12" t="s">
        <v>268</v>
      </c>
      <c r="E36" s="12" t="s">
        <v>374</v>
      </c>
      <c r="F36" s="21" t="n">
        <v>167.9</v>
      </c>
    </row>
    <row r="37" customFormat="false" ht="15" hidden="false" customHeight="false" outlineLevel="0" collapsed="false">
      <c r="A37" s="12" t="s">
        <v>65</v>
      </c>
      <c r="B37" s="12" t="s">
        <v>28</v>
      </c>
      <c r="C37" s="12" t="s">
        <v>376</v>
      </c>
      <c r="D37" s="12" t="s">
        <v>268</v>
      </c>
      <c r="E37" s="12" t="s">
        <v>196</v>
      </c>
      <c r="F37" s="21" t="n">
        <v>2203.4</v>
      </c>
    </row>
    <row r="38" customFormat="false" ht="15" hidden="false" customHeight="false" outlineLevel="0" collapsed="false">
      <c r="A38" s="12" t="s">
        <v>65</v>
      </c>
      <c r="B38" s="12" t="s">
        <v>28</v>
      </c>
      <c r="C38" s="12" t="s">
        <v>376</v>
      </c>
      <c r="D38" s="12" t="s">
        <v>268</v>
      </c>
      <c r="E38" s="12" t="s">
        <v>361</v>
      </c>
      <c r="F38" s="21" t="n">
        <v>18.5</v>
      </c>
    </row>
    <row r="39" customFormat="false" ht="15" hidden="false" customHeight="false" outlineLevel="0" collapsed="false">
      <c r="A39" s="12" t="s">
        <v>65</v>
      </c>
      <c r="B39" s="12" t="s">
        <v>28</v>
      </c>
      <c r="C39" s="12" t="s">
        <v>376</v>
      </c>
      <c r="D39" s="12" t="s">
        <v>268</v>
      </c>
      <c r="E39" s="12" t="s">
        <v>362</v>
      </c>
      <c r="F39" s="21" t="n">
        <v>105.9</v>
      </c>
    </row>
    <row r="40" customFormat="false" ht="15" hidden="false" customHeight="false" outlineLevel="0" collapsed="false">
      <c r="A40" s="12" t="s">
        <v>65</v>
      </c>
      <c r="B40" s="12" t="s">
        <v>28</v>
      </c>
      <c r="C40" s="12" t="s">
        <v>376</v>
      </c>
      <c r="D40" s="12" t="s">
        <v>268</v>
      </c>
      <c r="E40" s="12" t="s">
        <v>373</v>
      </c>
      <c r="F40" s="21" t="n">
        <v>1623.6</v>
      </c>
    </row>
    <row r="41" customFormat="false" ht="15" hidden="false" customHeight="false" outlineLevel="0" collapsed="false">
      <c r="A41" s="12" t="s">
        <v>65</v>
      </c>
      <c r="B41" s="12" t="s">
        <v>28</v>
      </c>
      <c r="C41" s="12" t="s">
        <v>376</v>
      </c>
      <c r="D41" s="12" t="s">
        <v>268</v>
      </c>
      <c r="E41" s="12" t="s">
        <v>374</v>
      </c>
      <c r="F41" s="21" t="n">
        <v>455.4</v>
      </c>
    </row>
    <row r="42" customFormat="false" ht="15" hidden="false" customHeight="false" outlineLevel="0" collapsed="false">
      <c r="A42" s="12" t="s">
        <v>65</v>
      </c>
      <c r="B42" s="12" t="s">
        <v>28</v>
      </c>
      <c r="C42" s="12" t="s">
        <v>377</v>
      </c>
      <c r="D42" s="12" t="s">
        <v>268</v>
      </c>
      <c r="E42" s="12" t="s">
        <v>196</v>
      </c>
      <c r="F42" s="21" t="n">
        <v>1460.4</v>
      </c>
    </row>
    <row r="43" customFormat="false" ht="15" hidden="false" customHeight="false" outlineLevel="0" collapsed="false">
      <c r="A43" s="12" t="s">
        <v>65</v>
      </c>
      <c r="B43" s="12" t="s">
        <v>28</v>
      </c>
      <c r="C43" s="12" t="s">
        <v>377</v>
      </c>
      <c r="D43" s="12" t="s">
        <v>268</v>
      </c>
      <c r="E43" s="12" t="s">
        <v>361</v>
      </c>
      <c r="F43" s="21" t="n">
        <v>12.1</v>
      </c>
    </row>
    <row r="44" customFormat="false" ht="15" hidden="false" customHeight="false" outlineLevel="0" collapsed="false">
      <c r="A44" s="12" t="s">
        <v>65</v>
      </c>
      <c r="B44" s="12" t="s">
        <v>28</v>
      </c>
      <c r="C44" s="12" t="s">
        <v>377</v>
      </c>
      <c r="D44" s="12" t="s">
        <v>268</v>
      </c>
      <c r="E44" s="12" t="s">
        <v>362</v>
      </c>
      <c r="F44" s="21" t="n">
        <v>58.8</v>
      </c>
    </row>
    <row r="45" customFormat="false" ht="15" hidden="false" customHeight="false" outlineLevel="0" collapsed="false">
      <c r="A45" s="12" t="s">
        <v>65</v>
      </c>
      <c r="B45" s="12" t="s">
        <v>28</v>
      </c>
      <c r="C45" s="12" t="s">
        <v>377</v>
      </c>
      <c r="D45" s="12" t="s">
        <v>268</v>
      </c>
      <c r="E45" s="12" t="s">
        <v>373</v>
      </c>
      <c r="F45" s="21" t="n">
        <v>1060.4</v>
      </c>
    </row>
    <row r="46" customFormat="false" ht="15" hidden="false" customHeight="false" outlineLevel="0" collapsed="false">
      <c r="A46" s="12" t="s">
        <v>65</v>
      </c>
      <c r="B46" s="12" t="s">
        <v>28</v>
      </c>
      <c r="C46" s="12" t="s">
        <v>377</v>
      </c>
      <c r="D46" s="12" t="s">
        <v>268</v>
      </c>
      <c r="E46" s="12" t="s">
        <v>374</v>
      </c>
      <c r="F46" s="21" t="n">
        <v>329</v>
      </c>
    </row>
    <row r="47" customFormat="false" ht="15" hidden="false" customHeight="false" outlineLevel="0" collapsed="false">
      <c r="A47" s="12" t="s">
        <v>65</v>
      </c>
      <c r="B47" s="12" t="s">
        <v>28</v>
      </c>
      <c r="C47" s="12" t="s">
        <v>378</v>
      </c>
      <c r="D47" s="12" t="s">
        <v>268</v>
      </c>
      <c r="E47" s="12" t="s">
        <v>196</v>
      </c>
      <c r="F47" s="21" t="n">
        <v>7912.5</v>
      </c>
    </row>
    <row r="48" customFormat="false" ht="15" hidden="false" customHeight="false" outlineLevel="0" collapsed="false">
      <c r="A48" s="12" t="s">
        <v>65</v>
      </c>
      <c r="B48" s="12" t="s">
        <v>28</v>
      </c>
      <c r="C48" s="12" t="s">
        <v>378</v>
      </c>
      <c r="D48" s="12" t="s">
        <v>268</v>
      </c>
      <c r="E48" s="12" t="s">
        <v>361</v>
      </c>
      <c r="F48" s="21" t="n">
        <v>94</v>
      </c>
    </row>
    <row r="49" customFormat="false" ht="15" hidden="false" customHeight="false" outlineLevel="0" collapsed="false">
      <c r="A49" s="12" t="s">
        <v>65</v>
      </c>
      <c r="B49" s="12" t="s">
        <v>28</v>
      </c>
      <c r="C49" s="12" t="s">
        <v>378</v>
      </c>
      <c r="D49" s="12" t="s">
        <v>268</v>
      </c>
      <c r="E49" s="12" t="s">
        <v>362</v>
      </c>
      <c r="F49" s="21" t="n">
        <v>504.9</v>
      </c>
    </row>
    <row r="50" customFormat="false" ht="15" hidden="false" customHeight="false" outlineLevel="0" collapsed="false">
      <c r="A50" s="12" t="s">
        <v>65</v>
      </c>
      <c r="B50" s="12" t="s">
        <v>28</v>
      </c>
      <c r="C50" s="12" t="s">
        <v>378</v>
      </c>
      <c r="D50" s="12" t="s">
        <v>268</v>
      </c>
      <c r="E50" s="12" t="s">
        <v>373</v>
      </c>
      <c r="F50" s="21" t="n">
        <v>5575.9</v>
      </c>
    </row>
    <row r="51" customFormat="false" ht="15" hidden="false" customHeight="false" outlineLevel="0" collapsed="false">
      <c r="A51" s="12" t="s">
        <v>65</v>
      </c>
      <c r="B51" s="12" t="s">
        <v>28</v>
      </c>
      <c r="C51" s="12" t="s">
        <v>378</v>
      </c>
      <c r="D51" s="12" t="s">
        <v>268</v>
      </c>
      <c r="E51" s="12" t="s">
        <v>374</v>
      </c>
      <c r="F51" s="21" t="n">
        <v>1737.8</v>
      </c>
    </row>
    <row r="52" customFormat="false" ht="15" hidden="false" customHeight="false" outlineLevel="0" collapsed="false">
      <c r="A52" s="12" t="s">
        <v>65</v>
      </c>
      <c r="B52" s="12" t="s">
        <v>28</v>
      </c>
      <c r="C52" s="12" t="s">
        <v>196</v>
      </c>
      <c r="D52" s="12" t="s">
        <v>276</v>
      </c>
      <c r="E52" s="12" t="s">
        <v>196</v>
      </c>
      <c r="F52" s="21" t="n">
        <v>10616.9</v>
      </c>
    </row>
    <row r="53" customFormat="false" ht="15" hidden="false" customHeight="false" outlineLevel="0" collapsed="false">
      <c r="A53" s="12" t="s">
        <v>65</v>
      </c>
      <c r="B53" s="12" t="s">
        <v>28</v>
      </c>
      <c r="C53" s="12" t="s">
        <v>196</v>
      </c>
      <c r="D53" s="12" t="s">
        <v>276</v>
      </c>
      <c r="E53" s="12" t="s">
        <v>361</v>
      </c>
      <c r="F53" s="21" t="n">
        <v>76.7</v>
      </c>
    </row>
    <row r="54" customFormat="false" ht="15" hidden="false" customHeight="false" outlineLevel="0" collapsed="false">
      <c r="A54" s="12" t="s">
        <v>65</v>
      </c>
      <c r="B54" s="12" t="s">
        <v>28</v>
      </c>
      <c r="C54" s="12" t="s">
        <v>196</v>
      </c>
      <c r="D54" s="12" t="s">
        <v>276</v>
      </c>
      <c r="E54" s="12" t="s">
        <v>362</v>
      </c>
      <c r="F54" s="21" t="n">
        <v>571.4</v>
      </c>
    </row>
    <row r="55" customFormat="false" ht="15" hidden="false" customHeight="false" outlineLevel="0" collapsed="false">
      <c r="A55" s="12" t="s">
        <v>65</v>
      </c>
      <c r="B55" s="12" t="s">
        <v>28</v>
      </c>
      <c r="C55" s="12" t="s">
        <v>196</v>
      </c>
      <c r="D55" s="12" t="s">
        <v>276</v>
      </c>
      <c r="E55" s="12" t="s">
        <v>373</v>
      </c>
      <c r="F55" s="21" t="n">
        <v>7649.9</v>
      </c>
    </row>
    <row r="56" customFormat="false" ht="15" hidden="false" customHeight="false" outlineLevel="0" collapsed="false">
      <c r="A56" s="12" t="s">
        <v>65</v>
      </c>
      <c r="B56" s="12" t="s">
        <v>28</v>
      </c>
      <c r="C56" s="12" t="s">
        <v>196</v>
      </c>
      <c r="D56" s="12" t="s">
        <v>276</v>
      </c>
      <c r="E56" s="12" t="s">
        <v>374</v>
      </c>
      <c r="F56" s="21" t="n">
        <v>2319</v>
      </c>
    </row>
    <row r="57" customFormat="false" ht="15" hidden="false" customHeight="false" outlineLevel="0" collapsed="false">
      <c r="A57" s="12" t="s">
        <v>65</v>
      </c>
      <c r="B57" s="12" t="s">
        <v>28</v>
      </c>
      <c r="C57" s="12" t="s">
        <v>375</v>
      </c>
      <c r="D57" s="12" t="s">
        <v>276</v>
      </c>
      <c r="E57" s="12" t="s">
        <v>196</v>
      </c>
      <c r="F57" s="21" t="n">
        <v>201.4</v>
      </c>
    </row>
    <row r="58" customFormat="false" ht="15" hidden="false" customHeight="false" outlineLevel="0" collapsed="false">
      <c r="A58" s="12" t="s">
        <v>65</v>
      </c>
      <c r="B58" s="12" t="s">
        <v>28</v>
      </c>
      <c r="C58" s="12" t="s">
        <v>375</v>
      </c>
      <c r="D58" s="12" t="s">
        <v>276</v>
      </c>
      <c r="E58" s="12" t="s">
        <v>361</v>
      </c>
      <c r="F58" s="21" t="n">
        <v>2</v>
      </c>
    </row>
    <row r="59" customFormat="false" ht="15" hidden="false" customHeight="false" outlineLevel="0" collapsed="false">
      <c r="A59" s="12" t="s">
        <v>65</v>
      </c>
      <c r="B59" s="12" t="s">
        <v>28</v>
      </c>
      <c r="C59" s="12" t="s">
        <v>375</v>
      </c>
      <c r="D59" s="12" t="s">
        <v>276</v>
      </c>
      <c r="E59" s="12" t="s">
        <v>362</v>
      </c>
      <c r="F59" s="21" t="n">
        <v>5.9</v>
      </c>
    </row>
    <row r="60" customFormat="false" ht="15" hidden="false" customHeight="false" outlineLevel="0" collapsed="false">
      <c r="A60" s="12" t="s">
        <v>65</v>
      </c>
      <c r="B60" s="12" t="s">
        <v>28</v>
      </c>
      <c r="C60" s="12" t="s">
        <v>375</v>
      </c>
      <c r="D60" s="12" t="s">
        <v>276</v>
      </c>
      <c r="E60" s="12" t="s">
        <v>373</v>
      </c>
      <c r="F60" s="21" t="n">
        <v>133.4</v>
      </c>
    </row>
    <row r="61" customFormat="false" ht="15" hidden="false" customHeight="false" outlineLevel="0" collapsed="false">
      <c r="A61" s="12" t="s">
        <v>65</v>
      </c>
      <c r="B61" s="12" t="s">
        <v>28</v>
      </c>
      <c r="C61" s="12" t="s">
        <v>375</v>
      </c>
      <c r="D61" s="12" t="s">
        <v>276</v>
      </c>
      <c r="E61" s="12" t="s">
        <v>374</v>
      </c>
      <c r="F61" s="21" t="n">
        <v>60.2</v>
      </c>
    </row>
    <row r="62" customFormat="false" ht="15" hidden="false" customHeight="false" outlineLevel="0" collapsed="false">
      <c r="A62" s="12" t="s">
        <v>65</v>
      </c>
      <c r="B62" s="12" t="s">
        <v>28</v>
      </c>
      <c r="C62" s="12" t="s">
        <v>376</v>
      </c>
      <c r="D62" s="12" t="s">
        <v>276</v>
      </c>
      <c r="E62" s="12" t="s">
        <v>196</v>
      </c>
      <c r="F62" s="21" t="n">
        <v>899.7</v>
      </c>
    </row>
    <row r="63" customFormat="false" ht="15" hidden="false" customHeight="false" outlineLevel="0" collapsed="false">
      <c r="A63" s="12" t="s">
        <v>65</v>
      </c>
      <c r="B63" s="12" t="s">
        <v>28</v>
      </c>
      <c r="C63" s="12" t="s">
        <v>376</v>
      </c>
      <c r="D63" s="12" t="s">
        <v>276</v>
      </c>
      <c r="E63" s="12" t="s">
        <v>361</v>
      </c>
      <c r="F63" s="21" t="n">
        <v>1.9</v>
      </c>
    </row>
    <row r="64" customFormat="false" ht="15" hidden="false" customHeight="false" outlineLevel="0" collapsed="false">
      <c r="A64" s="12" t="s">
        <v>65</v>
      </c>
      <c r="B64" s="12" t="s">
        <v>28</v>
      </c>
      <c r="C64" s="12" t="s">
        <v>376</v>
      </c>
      <c r="D64" s="12" t="s">
        <v>276</v>
      </c>
      <c r="E64" s="12" t="s">
        <v>362</v>
      </c>
      <c r="F64" s="21" t="n">
        <v>41.5</v>
      </c>
    </row>
    <row r="65" customFormat="false" ht="15" hidden="false" customHeight="false" outlineLevel="0" collapsed="false">
      <c r="A65" s="12" t="s">
        <v>65</v>
      </c>
      <c r="B65" s="12" t="s">
        <v>28</v>
      </c>
      <c r="C65" s="12" t="s">
        <v>376</v>
      </c>
      <c r="D65" s="12" t="s">
        <v>276</v>
      </c>
      <c r="E65" s="12" t="s">
        <v>373</v>
      </c>
      <c r="F65" s="21" t="n">
        <v>701.9</v>
      </c>
    </row>
    <row r="66" customFormat="false" ht="15" hidden="false" customHeight="false" outlineLevel="0" collapsed="false">
      <c r="A66" s="12" t="s">
        <v>65</v>
      </c>
      <c r="B66" s="12" t="s">
        <v>28</v>
      </c>
      <c r="C66" s="12" t="s">
        <v>376</v>
      </c>
      <c r="D66" s="12" t="s">
        <v>276</v>
      </c>
      <c r="E66" s="12" t="s">
        <v>374</v>
      </c>
      <c r="F66" s="21" t="n">
        <v>154.4</v>
      </c>
    </row>
    <row r="67" customFormat="false" ht="15" hidden="false" customHeight="false" outlineLevel="0" collapsed="false">
      <c r="A67" s="12" t="s">
        <v>65</v>
      </c>
      <c r="B67" s="12" t="s">
        <v>28</v>
      </c>
      <c r="C67" s="12" t="s">
        <v>377</v>
      </c>
      <c r="D67" s="12" t="s">
        <v>276</v>
      </c>
      <c r="E67" s="12" t="s">
        <v>196</v>
      </c>
      <c r="F67" s="21" t="n">
        <v>151.7</v>
      </c>
    </row>
    <row r="68" customFormat="false" ht="15" hidden="false" customHeight="false" outlineLevel="0" collapsed="false">
      <c r="A68" s="12" t="s">
        <v>65</v>
      </c>
      <c r="B68" s="12" t="s">
        <v>28</v>
      </c>
      <c r="C68" s="12" t="s">
        <v>377</v>
      </c>
      <c r="D68" s="12" t="s">
        <v>276</v>
      </c>
      <c r="E68" s="12" t="s">
        <v>361</v>
      </c>
      <c r="F68" s="12"/>
    </row>
    <row r="69" customFormat="false" ht="15" hidden="false" customHeight="false" outlineLevel="0" collapsed="false">
      <c r="A69" s="12" t="s">
        <v>65</v>
      </c>
      <c r="B69" s="12" t="s">
        <v>28</v>
      </c>
      <c r="C69" s="12" t="s">
        <v>377</v>
      </c>
      <c r="D69" s="12" t="s">
        <v>276</v>
      </c>
      <c r="E69" s="12" t="s">
        <v>362</v>
      </c>
      <c r="F69" s="21" t="n">
        <v>10.7</v>
      </c>
    </row>
    <row r="70" customFormat="false" ht="15" hidden="false" customHeight="false" outlineLevel="0" collapsed="false">
      <c r="A70" s="12" t="s">
        <v>65</v>
      </c>
      <c r="B70" s="12" t="s">
        <v>28</v>
      </c>
      <c r="C70" s="12" t="s">
        <v>377</v>
      </c>
      <c r="D70" s="12" t="s">
        <v>276</v>
      </c>
      <c r="E70" s="12" t="s">
        <v>373</v>
      </c>
      <c r="F70" s="21" t="n">
        <v>113.1</v>
      </c>
    </row>
    <row r="71" customFormat="false" ht="15" hidden="false" customHeight="false" outlineLevel="0" collapsed="false">
      <c r="A71" s="12" t="s">
        <v>65</v>
      </c>
      <c r="B71" s="12" t="s">
        <v>28</v>
      </c>
      <c r="C71" s="12" t="s">
        <v>377</v>
      </c>
      <c r="D71" s="12" t="s">
        <v>276</v>
      </c>
      <c r="E71" s="12" t="s">
        <v>374</v>
      </c>
      <c r="F71" s="21" t="n">
        <v>27.9</v>
      </c>
    </row>
    <row r="72" customFormat="false" ht="15" hidden="false" customHeight="false" outlineLevel="0" collapsed="false">
      <c r="A72" s="12" t="s">
        <v>65</v>
      </c>
      <c r="B72" s="12" t="s">
        <v>28</v>
      </c>
      <c r="C72" s="12" t="s">
        <v>378</v>
      </c>
      <c r="D72" s="12" t="s">
        <v>276</v>
      </c>
      <c r="E72" s="12" t="s">
        <v>196</v>
      </c>
      <c r="F72" s="21" t="n">
        <v>9364.2</v>
      </c>
    </row>
    <row r="73" customFormat="false" ht="15" hidden="false" customHeight="false" outlineLevel="0" collapsed="false">
      <c r="A73" s="12" t="s">
        <v>65</v>
      </c>
      <c r="B73" s="12" t="s">
        <v>28</v>
      </c>
      <c r="C73" s="12" t="s">
        <v>378</v>
      </c>
      <c r="D73" s="12" t="s">
        <v>276</v>
      </c>
      <c r="E73" s="12" t="s">
        <v>361</v>
      </c>
      <c r="F73" s="21" t="n">
        <v>72.8</v>
      </c>
    </row>
    <row r="74" customFormat="false" ht="15" hidden="false" customHeight="false" outlineLevel="0" collapsed="false">
      <c r="A74" s="12" t="s">
        <v>65</v>
      </c>
      <c r="B74" s="12" t="s">
        <v>28</v>
      </c>
      <c r="C74" s="12" t="s">
        <v>378</v>
      </c>
      <c r="D74" s="12" t="s">
        <v>276</v>
      </c>
      <c r="E74" s="12" t="s">
        <v>362</v>
      </c>
      <c r="F74" s="21" t="n">
        <v>513.3</v>
      </c>
    </row>
    <row r="75" customFormat="false" ht="15" hidden="false" customHeight="false" outlineLevel="0" collapsed="false">
      <c r="A75" s="12" t="s">
        <v>65</v>
      </c>
      <c r="B75" s="12" t="s">
        <v>28</v>
      </c>
      <c r="C75" s="12" t="s">
        <v>378</v>
      </c>
      <c r="D75" s="12" t="s">
        <v>276</v>
      </c>
      <c r="E75" s="12" t="s">
        <v>373</v>
      </c>
      <c r="F75" s="21" t="n">
        <v>6701.5</v>
      </c>
    </row>
    <row r="76" customFormat="false" ht="15" hidden="false" customHeight="false" outlineLevel="0" collapsed="false">
      <c r="A76" s="12" t="s">
        <v>65</v>
      </c>
      <c r="B76" s="12" t="s">
        <v>28</v>
      </c>
      <c r="C76" s="12" t="s">
        <v>378</v>
      </c>
      <c r="D76" s="12" t="s">
        <v>276</v>
      </c>
      <c r="E76" s="12" t="s">
        <v>374</v>
      </c>
      <c r="F76" s="21" t="n">
        <v>2076.5</v>
      </c>
    </row>
    <row r="77" customFormat="false" ht="15" hidden="false" customHeight="false" outlineLevel="0" collapsed="false">
      <c r="A77" s="12" t="s">
        <v>66</v>
      </c>
      <c r="B77" s="12" t="s">
        <v>28</v>
      </c>
      <c r="C77" s="12" t="s">
        <v>196</v>
      </c>
      <c r="D77" s="12" t="s">
        <v>195</v>
      </c>
      <c r="E77" s="12" t="s">
        <v>196</v>
      </c>
      <c r="F77" s="21" t="n">
        <v>3631.3</v>
      </c>
    </row>
    <row r="78" customFormat="false" ht="15" hidden="false" customHeight="false" outlineLevel="0" collapsed="false">
      <c r="A78" s="12" t="s">
        <v>66</v>
      </c>
      <c r="B78" s="12" t="s">
        <v>28</v>
      </c>
      <c r="C78" s="12" t="s">
        <v>196</v>
      </c>
      <c r="D78" s="12" t="s">
        <v>195</v>
      </c>
      <c r="E78" s="12" t="s">
        <v>361</v>
      </c>
      <c r="F78" s="21" t="n">
        <v>27.3</v>
      </c>
    </row>
    <row r="79" customFormat="false" ht="15" hidden="false" customHeight="false" outlineLevel="0" collapsed="false">
      <c r="A79" s="12" t="s">
        <v>66</v>
      </c>
      <c r="B79" s="12" t="s">
        <v>28</v>
      </c>
      <c r="C79" s="12" t="s">
        <v>196</v>
      </c>
      <c r="D79" s="12" t="s">
        <v>195</v>
      </c>
      <c r="E79" s="12" t="s">
        <v>362</v>
      </c>
      <c r="F79" s="21" t="n">
        <v>213.9</v>
      </c>
    </row>
    <row r="80" customFormat="false" ht="15" hidden="false" customHeight="false" outlineLevel="0" collapsed="false">
      <c r="A80" s="12" t="s">
        <v>66</v>
      </c>
      <c r="B80" s="12" t="s">
        <v>28</v>
      </c>
      <c r="C80" s="12" t="s">
        <v>196</v>
      </c>
      <c r="D80" s="12" t="s">
        <v>195</v>
      </c>
      <c r="E80" s="12" t="s">
        <v>373</v>
      </c>
      <c r="F80" s="21" t="n">
        <v>2622.3</v>
      </c>
    </row>
    <row r="81" customFormat="false" ht="15" hidden="false" customHeight="false" outlineLevel="0" collapsed="false">
      <c r="A81" s="12" t="s">
        <v>66</v>
      </c>
      <c r="B81" s="12" t="s">
        <v>28</v>
      </c>
      <c r="C81" s="12" t="s">
        <v>196</v>
      </c>
      <c r="D81" s="12" t="s">
        <v>195</v>
      </c>
      <c r="E81" s="12" t="s">
        <v>374</v>
      </c>
      <c r="F81" s="21" t="n">
        <v>767.7</v>
      </c>
    </row>
    <row r="82" customFormat="false" ht="15" hidden="false" customHeight="false" outlineLevel="0" collapsed="false">
      <c r="A82" s="12" t="s">
        <v>66</v>
      </c>
      <c r="B82" s="12" t="s">
        <v>28</v>
      </c>
      <c r="C82" s="12" t="s">
        <v>375</v>
      </c>
      <c r="D82" s="12" t="s">
        <v>195</v>
      </c>
      <c r="E82" s="12" t="s">
        <v>196</v>
      </c>
      <c r="F82" s="21" t="n">
        <v>6.6</v>
      </c>
    </row>
    <row r="83" customFormat="false" ht="15" hidden="false" customHeight="false" outlineLevel="0" collapsed="false">
      <c r="A83" s="12" t="s">
        <v>66</v>
      </c>
      <c r="B83" s="12" t="s">
        <v>28</v>
      </c>
      <c r="C83" s="12" t="s">
        <v>375</v>
      </c>
      <c r="D83" s="12" t="s">
        <v>195</v>
      </c>
      <c r="E83" s="12" t="s">
        <v>361</v>
      </c>
      <c r="F83" s="12"/>
    </row>
    <row r="84" customFormat="false" ht="15" hidden="false" customHeight="false" outlineLevel="0" collapsed="false">
      <c r="A84" s="12" t="s">
        <v>66</v>
      </c>
      <c r="B84" s="12" t="s">
        <v>28</v>
      </c>
      <c r="C84" s="12" t="s">
        <v>375</v>
      </c>
      <c r="D84" s="12" t="s">
        <v>195</v>
      </c>
      <c r="E84" s="12" t="s">
        <v>362</v>
      </c>
      <c r="F84" s="21" t="n">
        <v>0.8</v>
      </c>
    </row>
    <row r="85" customFormat="false" ht="15" hidden="false" customHeight="false" outlineLevel="0" collapsed="false">
      <c r="A85" s="12" t="s">
        <v>66</v>
      </c>
      <c r="B85" s="12" t="s">
        <v>28</v>
      </c>
      <c r="C85" s="12" t="s">
        <v>375</v>
      </c>
      <c r="D85" s="12" t="s">
        <v>195</v>
      </c>
      <c r="E85" s="12" t="s">
        <v>373</v>
      </c>
      <c r="F85" s="21" t="n">
        <v>4.7</v>
      </c>
    </row>
    <row r="86" customFormat="false" ht="15" hidden="false" customHeight="false" outlineLevel="0" collapsed="false">
      <c r="A86" s="12" t="s">
        <v>66</v>
      </c>
      <c r="B86" s="12" t="s">
        <v>28</v>
      </c>
      <c r="C86" s="12" t="s">
        <v>375</v>
      </c>
      <c r="D86" s="12" t="s">
        <v>195</v>
      </c>
      <c r="E86" s="12" t="s">
        <v>374</v>
      </c>
      <c r="F86" s="21" t="n">
        <v>1.1</v>
      </c>
    </row>
    <row r="87" customFormat="false" ht="15" hidden="false" customHeight="false" outlineLevel="0" collapsed="false">
      <c r="A87" s="12" t="s">
        <v>66</v>
      </c>
      <c r="B87" s="12" t="s">
        <v>28</v>
      </c>
      <c r="C87" s="12" t="s">
        <v>376</v>
      </c>
      <c r="D87" s="12" t="s">
        <v>195</v>
      </c>
      <c r="E87" s="12" t="s">
        <v>196</v>
      </c>
      <c r="F87" s="21" t="n">
        <v>298.7</v>
      </c>
    </row>
    <row r="88" customFormat="false" ht="15" hidden="false" customHeight="false" outlineLevel="0" collapsed="false">
      <c r="A88" s="12" t="s">
        <v>66</v>
      </c>
      <c r="B88" s="12" t="s">
        <v>28</v>
      </c>
      <c r="C88" s="12" t="s">
        <v>376</v>
      </c>
      <c r="D88" s="12" t="s">
        <v>195</v>
      </c>
      <c r="E88" s="12" t="s">
        <v>361</v>
      </c>
      <c r="F88" s="21" t="n">
        <v>2.2</v>
      </c>
    </row>
    <row r="89" customFormat="false" ht="15" hidden="false" customHeight="false" outlineLevel="0" collapsed="false">
      <c r="A89" s="12" t="s">
        <v>66</v>
      </c>
      <c r="B89" s="12" t="s">
        <v>28</v>
      </c>
      <c r="C89" s="12" t="s">
        <v>376</v>
      </c>
      <c r="D89" s="12" t="s">
        <v>195</v>
      </c>
      <c r="E89" s="12" t="s">
        <v>362</v>
      </c>
      <c r="F89" s="21" t="n">
        <v>10.9</v>
      </c>
    </row>
    <row r="90" customFormat="false" ht="15" hidden="false" customHeight="false" outlineLevel="0" collapsed="false">
      <c r="A90" s="12" t="s">
        <v>66</v>
      </c>
      <c r="B90" s="12" t="s">
        <v>28</v>
      </c>
      <c r="C90" s="12" t="s">
        <v>376</v>
      </c>
      <c r="D90" s="12" t="s">
        <v>195</v>
      </c>
      <c r="E90" s="12" t="s">
        <v>373</v>
      </c>
      <c r="F90" s="21" t="n">
        <v>226.1</v>
      </c>
    </row>
    <row r="91" customFormat="false" ht="15" hidden="false" customHeight="false" outlineLevel="0" collapsed="false">
      <c r="A91" s="12" t="s">
        <v>66</v>
      </c>
      <c r="B91" s="12" t="s">
        <v>28</v>
      </c>
      <c r="C91" s="12" t="s">
        <v>376</v>
      </c>
      <c r="D91" s="12" t="s">
        <v>195</v>
      </c>
      <c r="E91" s="12" t="s">
        <v>374</v>
      </c>
      <c r="F91" s="21" t="n">
        <v>59.5</v>
      </c>
    </row>
    <row r="92" customFormat="false" ht="15" hidden="false" customHeight="false" outlineLevel="0" collapsed="false">
      <c r="A92" s="12" t="s">
        <v>66</v>
      </c>
      <c r="B92" s="12" t="s">
        <v>28</v>
      </c>
      <c r="C92" s="12" t="s">
        <v>377</v>
      </c>
      <c r="D92" s="12" t="s">
        <v>195</v>
      </c>
      <c r="E92" s="12" t="s">
        <v>196</v>
      </c>
      <c r="F92" s="21" t="n">
        <v>226.1</v>
      </c>
    </row>
    <row r="93" customFormat="false" ht="15" hidden="false" customHeight="false" outlineLevel="0" collapsed="false">
      <c r="A93" s="12" t="s">
        <v>66</v>
      </c>
      <c r="B93" s="12" t="s">
        <v>28</v>
      </c>
      <c r="C93" s="12" t="s">
        <v>377</v>
      </c>
      <c r="D93" s="12" t="s">
        <v>195</v>
      </c>
      <c r="E93" s="12" t="s">
        <v>361</v>
      </c>
      <c r="F93" s="12"/>
    </row>
    <row r="94" customFormat="false" ht="15" hidden="false" customHeight="false" outlineLevel="0" collapsed="false">
      <c r="A94" s="12" t="s">
        <v>66</v>
      </c>
      <c r="B94" s="12" t="s">
        <v>28</v>
      </c>
      <c r="C94" s="12" t="s">
        <v>377</v>
      </c>
      <c r="D94" s="12" t="s">
        <v>195</v>
      </c>
      <c r="E94" s="12" t="s">
        <v>362</v>
      </c>
      <c r="F94" s="21" t="n">
        <v>12.1</v>
      </c>
    </row>
    <row r="95" customFormat="false" ht="15" hidden="false" customHeight="false" outlineLevel="0" collapsed="false">
      <c r="A95" s="12" t="s">
        <v>66</v>
      </c>
      <c r="B95" s="12" t="s">
        <v>28</v>
      </c>
      <c r="C95" s="12" t="s">
        <v>377</v>
      </c>
      <c r="D95" s="12" t="s">
        <v>195</v>
      </c>
      <c r="E95" s="12" t="s">
        <v>373</v>
      </c>
      <c r="F95" s="21" t="n">
        <v>168.4</v>
      </c>
    </row>
    <row r="96" customFormat="false" ht="15" hidden="false" customHeight="false" outlineLevel="0" collapsed="false">
      <c r="A96" s="12" t="s">
        <v>66</v>
      </c>
      <c r="B96" s="12" t="s">
        <v>28</v>
      </c>
      <c r="C96" s="12" t="s">
        <v>377</v>
      </c>
      <c r="D96" s="12" t="s">
        <v>195</v>
      </c>
      <c r="E96" s="12" t="s">
        <v>374</v>
      </c>
      <c r="F96" s="21" t="n">
        <v>45.5</v>
      </c>
    </row>
    <row r="97" customFormat="false" ht="15" hidden="false" customHeight="false" outlineLevel="0" collapsed="false">
      <c r="A97" s="12" t="s">
        <v>66</v>
      </c>
      <c r="B97" s="12" t="s">
        <v>28</v>
      </c>
      <c r="C97" s="12" t="s">
        <v>378</v>
      </c>
      <c r="D97" s="12" t="s">
        <v>195</v>
      </c>
      <c r="E97" s="12" t="s">
        <v>196</v>
      </c>
      <c r="F97" s="21" t="n">
        <v>3099.9</v>
      </c>
    </row>
    <row r="98" customFormat="false" ht="15" hidden="false" customHeight="false" outlineLevel="0" collapsed="false">
      <c r="A98" s="12" t="s">
        <v>66</v>
      </c>
      <c r="B98" s="12" t="s">
        <v>28</v>
      </c>
      <c r="C98" s="12" t="s">
        <v>378</v>
      </c>
      <c r="D98" s="12" t="s">
        <v>195</v>
      </c>
      <c r="E98" s="12" t="s">
        <v>361</v>
      </c>
      <c r="F98" s="21" t="n">
        <v>25.1</v>
      </c>
    </row>
    <row r="99" customFormat="false" ht="15" hidden="false" customHeight="false" outlineLevel="0" collapsed="false">
      <c r="A99" s="12" t="s">
        <v>66</v>
      </c>
      <c r="B99" s="12" t="s">
        <v>28</v>
      </c>
      <c r="C99" s="12" t="s">
        <v>378</v>
      </c>
      <c r="D99" s="12" t="s">
        <v>195</v>
      </c>
      <c r="E99" s="12" t="s">
        <v>362</v>
      </c>
      <c r="F99" s="21" t="n">
        <v>190</v>
      </c>
    </row>
    <row r="100" customFormat="false" ht="15" hidden="false" customHeight="false" outlineLevel="0" collapsed="false">
      <c r="A100" s="12" t="s">
        <v>66</v>
      </c>
      <c r="B100" s="12" t="s">
        <v>28</v>
      </c>
      <c r="C100" s="12" t="s">
        <v>378</v>
      </c>
      <c r="D100" s="12" t="s">
        <v>195</v>
      </c>
      <c r="E100" s="12" t="s">
        <v>373</v>
      </c>
      <c r="F100" s="21" t="n">
        <v>2223.1</v>
      </c>
    </row>
    <row r="101" customFormat="false" ht="15" hidden="false" customHeight="false" outlineLevel="0" collapsed="false">
      <c r="A101" s="12" t="s">
        <v>66</v>
      </c>
      <c r="B101" s="12" t="s">
        <v>28</v>
      </c>
      <c r="C101" s="12" t="s">
        <v>378</v>
      </c>
      <c r="D101" s="12" t="s">
        <v>195</v>
      </c>
      <c r="E101" s="12" t="s">
        <v>374</v>
      </c>
      <c r="F101" s="21" t="n">
        <v>661.6</v>
      </c>
    </row>
    <row r="102" customFormat="false" ht="15" hidden="false" customHeight="false" outlineLevel="0" collapsed="false">
      <c r="A102" s="12" t="s">
        <v>66</v>
      </c>
      <c r="B102" s="12" t="s">
        <v>28</v>
      </c>
      <c r="C102" s="12" t="s">
        <v>196</v>
      </c>
      <c r="D102" s="12" t="s">
        <v>268</v>
      </c>
      <c r="E102" s="12" t="s">
        <v>196</v>
      </c>
      <c r="F102" s="21" t="n">
        <v>1841.4</v>
      </c>
    </row>
    <row r="103" customFormat="false" ht="15" hidden="false" customHeight="false" outlineLevel="0" collapsed="false">
      <c r="A103" s="12" t="s">
        <v>66</v>
      </c>
      <c r="B103" s="12" t="s">
        <v>28</v>
      </c>
      <c r="C103" s="12" t="s">
        <v>196</v>
      </c>
      <c r="D103" s="12" t="s">
        <v>268</v>
      </c>
      <c r="E103" s="12" t="s">
        <v>361</v>
      </c>
      <c r="F103" s="21" t="n">
        <v>14.7</v>
      </c>
    </row>
    <row r="104" customFormat="false" ht="15" hidden="false" customHeight="false" outlineLevel="0" collapsed="false">
      <c r="A104" s="12" t="s">
        <v>66</v>
      </c>
      <c r="B104" s="12" t="s">
        <v>28</v>
      </c>
      <c r="C104" s="12" t="s">
        <v>196</v>
      </c>
      <c r="D104" s="12" t="s">
        <v>268</v>
      </c>
      <c r="E104" s="12" t="s">
        <v>362</v>
      </c>
      <c r="F104" s="21" t="n">
        <v>111.4</v>
      </c>
    </row>
    <row r="105" customFormat="false" ht="15" hidden="false" customHeight="false" outlineLevel="0" collapsed="false">
      <c r="A105" s="12" t="s">
        <v>66</v>
      </c>
      <c r="B105" s="12" t="s">
        <v>28</v>
      </c>
      <c r="C105" s="12" t="s">
        <v>196</v>
      </c>
      <c r="D105" s="12" t="s">
        <v>268</v>
      </c>
      <c r="E105" s="12" t="s">
        <v>373</v>
      </c>
      <c r="F105" s="21" t="n">
        <v>1326.7</v>
      </c>
    </row>
    <row r="106" customFormat="false" ht="15" hidden="false" customHeight="false" outlineLevel="0" collapsed="false">
      <c r="A106" s="12" t="s">
        <v>66</v>
      </c>
      <c r="B106" s="12" t="s">
        <v>28</v>
      </c>
      <c r="C106" s="12" t="s">
        <v>196</v>
      </c>
      <c r="D106" s="12" t="s">
        <v>268</v>
      </c>
      <c r="E106" s="12" t="s">
        <v>374</v>
      </c>
      <c r="F106" s="21" t="n">
        <v>388.6</v>
      </c>
    </row>
    <row r="107" customFormat="false" ht="15" hidden="false" customHeight="false" outlineLevel="0" collapsed="false">
      <c r="A107" s="12" t="s">
        <v>66</v>
      </c>
      <c r="B107" s="12" t="s">
        <v>28</v>
      </c>
      <c r="C107" s="12" t="s">
        <v>375</v>
      </c>
      <c r="D107" s="12" t="s">
        <v>268</v>
      </c>
      <c r="E107" s="12" t="s">
        <v>196</v>
      </c>
      <c r="F107" s="21" t="n">
        <v>4</v>
      </c>
    </row>
    <row r="108" customFormat="false" ht="15" hidden="false" customHeight="false" outlineLevel="0" collapsed="false">
      <c r="A108" s="12" t="s">
        <v>66</v>
      </c>
      <c r="B108" s="12" t="s">
        <v>28</v>
      </c>
      <c r="C108" s="12" t="s">
        <v>375</v>
      </c>
      <c r="D108" s="12" t="s">
        <v>268</v>
      </c>
      <c r="E108" s="12" t="s">
        <v>361</v>
      </c>
      <c r="F108" s="12"/>
    </row>
    <row r="109" customFormat="false" ht="15" hidden="false" customHeight="false" outlineLevel="0" collapsed="false">
      <c r="A109" s="12" t="s">
        <v>66</v>
      </c>
      <c r="B109" s="12" t="s">
        <v>28</v>
      </c>
      <c r="C109" s="12" t="s">
        <v>375</v>
      </c>
      <c r="D109" s="12" t="s">
        <v>268</v>
      </c>
      <c r="E109" s="12" t="s">
        <v>362</v>
      </c>
      <c r="F109" s="21" t="n">
        <v>0.8</v>
      </c>
    </row>
    <row r="110" customFormat="false" ht="15" hidden="false" customHeight="false" outlineLevel="0" collapsed="false">
      <c r="A110" s="12" t="s">
        <v>66</v>
      </c>
      <c r="B110" s="12" t="s">
        <v>28</v>
      </c>
      <c r="C110" s="12" t="s">
        <v>375</v>
      </c>
      <c r="D110" s="12" t="s">
        <v>268</v>
      </c>
      <c r="E110" s="12" t="s">
        <v>373</v>
      </c>
      <c r="F110" s="21" t="n">
        <v>2.1</v>
      </c>
    </row>
    <row r="111" customFormat="false" ht="15" hidden="false" customHeight="false" outlineLevel="0" collapsed="false">
      <c r="A111" s="12" t="s">
        <v>66</v>
      </c>
      <c r="B111" s="12" t="s">
        <v>28</v>
      </c>
      <c r="C111" s="12" t="s">
        <v>375</v>
      </c>
      <c r="D111" s="12" t="s">
        <v>268</v>
      </c>
      <c r="E111" s="12" t="s">
        <v>374</v>
      </c>
      <c r="F111" s="21" t="n">
        <v>1.1</v>
      </c>
    </row>
    <row r="112" customFormat="false" ht="15" hidden="false" customHeight="false" outlineLevel="0" collapsed="false">
      <c r="A112" s="12" t="s">
        <v>66</v>
      </c>
      <c r="B112" s="12" t="s">
        <v>28</v>
      </c>
      <c r="C112" s="12" t="s">
        <v>376</v>
      </c>
      <c r="D112" s="12" t="s">
        <v>268</v>
      </c>
      <c r="E112" s="12" t="s">
        <v>196</v>
      </c>
      <c r="F112" s="21" t="n">
        <v>194.9</v>
      </c>
    </row>
    <row r="113" customFormat="false" ht="15" hidden="false" customHeight="false" outlineLevel="0" collapsed="false">
      <c r="A113" s="12" t="s">
        <v>66</v>
      </c>
      <c r="B113" s="12" t="s">
        <v>28</v>
      </c>
      <c r="C113" s="12" t="s">
        <v>376</v>
      </c>
      <c r="D113" s="12" t="s">
        <v>268</v>
      </c>
      <c r="E113" s="12" t="s">
        <v>361</v>
      </c>
      <c r="F113" s="21" t="n">
        <v>2.2</v>
      </c>
    </row>
    <row r="114" customFormat="false" ht="15" hidden="false" customHeight="false" outlineLevel="0" collapsed="false">
      <c r="A114" s="12" t="s">
        <v>66</v>
      </c>
      <c r="B114" s="12" t="s">
        <v>28</v>
      </c>
      <c r="C114" s="12" t="s">
        <v>376</v>
      </c>
      <c r="D114" s="12" t="s">
        <v>268</v>
      </c>
      <c r="E114" s="12" t="s">
        <v>362</v>
      </c>
      <c r="F114" s="21" t="n">
        <v>6.1</v>
      </c>
    </row>
    <row r="115" customFormat="false" ht="15" hidden="false" customHeight="false" outlineLevel="0" collapsed="false">
      <c r="A115" s="12" t="s">
        <v>66</v>
      </c>
      <c r="B115" s="12" t="s">
        <v>28</v>
      </c>
      <c r="C115" s="12" t="s">
        <v>376</v>
      </c>
      <c r="D115" s="12" t="s">
        <v>268</v>
      </c>
      <c r="E115" s="12" t="s">
        <v>373</v>
      </c>
      <c r="F115" s="21" t="n">
        <v>141.3</v>
      </c>
    </row>
    <row r="116" customFormat="false" ht="15" hidden="false" customHeight="false" outlineLevel="0" collapsed="false">
      <c r="A116" s="12" t="s">
        <v>66</v>
      </c>
      <c r="B116" s="12" t="s">
        <v>28</v>
      </c>
      <c r="C116" s="12" t="s">
        <v>376</v>
      </c>
      <c r="D116" s="12" t="s">
        <v>268</v>
      </c>
      <c r="E116" s="12" t="s">
        <v>374</v>
      </c>
      <c r="F116" s="21" t="n">
        <v>45.4</v>
      </c>
    </row>
    <row r="117" customFormat="false" ht="15" hidden="false" customHeight="false" outlineLevel="0" collapsed="false">
      <c r="A117" s="12" t="s">
        <v>66</v>
      </c>
      <c r="B117" s="12" t="s">
        <v>28</v>
      </c>
      <c r="C117" s="12" t="s">
        <v>377</v>
      </c>
      <c r="D117" s="12" t="s">
        <v>268</v>
      </c>
      <c r="E117" s="12" t="s">
        <v>196</v>
      </c>
      <c r="F117" s="21" t="n">
        <v>192.6</v>
      </c>
    </row>
    <row r="118" customFormat="false" ht="15" hidden="false" customHeight="false" outlineLevel="0" collapsed="false">
      <c r="A118" s="12" t="s">
        <v>66</v>
      </c>
      <c r="B118" s="12" t="s">
        <v>28</v>
      </c>
      <c r="C118" s="12" t="s">
        <v>377</v>
      </c>
      <c r="D118" s="12" t="s">
        <v>268</v>
      </c>
      <c r="E118" s="12" t="s">
        <v>361</v>
      </c>
      <c r="F118" s="12"/>
    </row>
    <row r="119" customFormat="false" ht="15" hidden="false" customHeight="false" outlineLevel="0" collapsed="false">
      <c r="A119" s="12" t="s">
        <v>66</v>
      </c>
      <c r="B119" s="12" t="s">
        <v>28</v>
      </c>
      <c r="C119" s="12" t="s">
        <v>377</v>
      </c>
      <c r="D119" s="12" t="s">
        <v>268</v>
      </c>
      <c r="E119" s="12" t="s">
        <v>362</v>
      </c>
      <c r="F119" s="21" t="n">
        <v>11.3</v>
      </c>
    </row>
    <row r="120" customFormat="false" ht="15" hidden="false" customHeight="false" outlineLevel="0" collapsed="false">
      <c r="A120" s="12" t="s">
        <v>66</v>
      </c>
      <c r="B120" s="12" t="s">
        <v>28</v>
      </c>
      <c r="C120" s="12" t="s">
        <v>377</v>
      </c>
      <c r="D120" s="12" t="s">
        <v>268</v>
      </c>
      <c r="E120" s="12" t="s">
        <v>373</v>
      </c>
      <c r="F120" s="21" t="n">
        <v>143.6</v>
      </c>
    </row>
    <row r="121" customFormat="false" ht="15" hidden="false" customHeight="false" outlineLevel="0" collapsed="false">
      <c r="A121" s="12" t="s">
        <v>66</v>
      </c>
      <c r="B121" s="12" t="s">
        <v>28</v>
      </c>
      <c r="C121" s="12" t="s">
        <v>377</v>
      </c>
      <c r="D121" s="12" t="s">
        <v>268</v>
      </c>
      <c r="E121" s="12" t="s">
        <v>374</v>
      </c>
      <c r="F121" s="21" t="n">
        <v>37.7</v>
      </c>
    </row>
    <row r="122" customFormat="false" ht="15" hidden="false" customHeight="false" outlineLevel="0" collapsed="false">
      <c r="A122" s="12" t="s">
        <v>66</v>
      </c>
      <c r="B122" s="12" t="s">
        <v>28</v>
      </c>
      <c r="C122" s="12" t="s">
        <v>378</v>
      </c>
      <c r="D122" s="12" t="s">
        <v>268</v>
      </c>
      <c r="E122" s="12" t="s">
        <v>196</v>
      </c>
      <c r="F122" s="21" t="n">
        <v>1449.8</v>
      </c>
    </row>
    <row r="123" customFormat="false" ht="15" hidden="false" customHeight="false" outlineLevel="0" collapsed="false">
      <c r="A123" s="12" t="s">
        <v>66</v>
      </c>
      <c r="B123" s="12" t="s">
        <v>28</v>
      </c>
      <c r="C123" s="12" t="s">
        <v>378</v>
      </c>
      <c r="D123" s="12" t="s">
        <v>268</v>
      </c>
      <c r="E123" s="12" t="s">
        <v>361</v>
      </c>
      <c r="F123" s="21" t="n">
        <v>12.5</v>
      </c>
    </row>
    <row r="124" customFormat="false" ht="15" hidden="false" customHeight="false" outlineLevel="0" collapsed="false">
      <c r="A124" s="12" t="s">
        <v>66</v>
      </c>
      <c r="B124" s="12" t="s">
        <v>28</v>
      </c>
      <c r="C124" s="12" t="s">
        <v>378</v>
      </c>
      <c r="D124" s="12" t="s">
        <v>268</v>
      </c>
      <c r="E124" s="12" t="s">
        <v>362</v>
      </c>
      <c r="F124" s="21" t="n">
        <v>93.2</v>
      </c>
    </row>
    <row r="125" customFormat="false" ht="15" hidden="false" customHeight="false" outlineLevel="0" collapsed="false">
      <c r="A125" s="12" t="s">
        <v>66</v>
      </c>
      <c r="B125" s="12" t="s">
        <v>28</v>
      </c>
      <c r="C125" s="12" t="s">
        <v>378</v>
      </c>
      <c r="D125" s="12" t="s">
        <v>268</v>
      </c>
      <c r="E125" s="12" t="s">
        <v>373</v>
      </c>
      <c r="F125" s="21" t="n">
        <v>1039.7</v>
      </c>
    </row>
    <row r="126" customFormat="false" ht="15" hidden="false" customHeight="false" outlineLevel="0" collapsed="false">
      <c r="A126" s="12" t="s">
        <v>66</v>
      </c>
      <c r="B126" s="12" t="s">
        <v>28</v>
      </c>
      <c r="C126" s="12" t="s">
        <v>378</v>
      </c>
      <c r="D126" s="12" t="s">
        <v>268</v>
      </c>
      <c r="E126" s="12" t="s">
        <v>374</v>
      </c>
      <c r="F126" s="21" t="n">
        <v>304.4</v>
      </c>
    </row>
    <row r="127" customFormat="false" ht="15" hidden="false" customHeight="false" outlineLevel="0" collapsed="false">
      <c r="A127" s="12" t="s">
        <v>66</v>
      </c>
      <c r="B127" s="12" t="s">
        <v>28</v>
      </c>
      <c r="C127" s="12" t="s">
        <v>196</v>
      </c>
      <c r="D127" s="12" t="s">
        <v>276</v>
      </c>
      <c r="E127" s="12" t="s">
        <v>196</v>
      </c>
      <c r="F127" s="21" t="n">
        <v>1789.9</v>
      </c>
    </row>
    <row r="128" customFormat="false" ht="15" hidden="false" customHeight="false" outlineLevel="0" collapsed="false">
      <c r="A128" s="12" t="s">
        <v>66</v>
      </c>
      <c r="B128" s="12" t="s">
        <v>28</v>
      </c>
      <c r="C128" s="12" t="s">
        <v>196</v>
      </c>
      <c r="D128" s="12" t="s">
        <v>276</v>
      </c>
      <c r="E128" s="12" t="s">
        <v>361</v>
      </c>
      <c r="F128" s="21" t="n">
        <v>12.6</v>
      </c>
    </row>
    <row r="129" customFormat="false" ht="15" hidden="false" customHeight="false" outlineLevel="0" collapsed="false">
      <c r="A129" s="12" t="s">
        <v>66</v>
      </c>
      <c r="B129" s="12" t="s">
        <v>28</v>
      </c>
      <c r="C129" s="12" t="s">
        <v>196</v>
      </c>
      <c r="D129" s="12" t="s">
        <v>276</v>
      </c>
      <c r="E129" s="12" t="s">
        <v>362</v>
      </c>
      <c r="F129" s="21" t="n">
        <v>102.5</v>
      </c>
    </row>
    <row r="130" customFormat="false" ht="15" hidden="false" customHeight="false" outlineLevel="0" collapsed="false">
      <c r="A130" s="12" t="s">
        <v>66</v>
      </c>
      <c r="B130" s="12" t="s">
        <v>28</v>
      </c>
      <c r="C130" s="12" t="s">
        <v>196</v>
      </c>
      <c r="D130" s="12" t="s">
        <v>276</v>
      </c>
      <c r="E130" s="12" t="s">
        <v>373</v>
      </c>
      <c r="F130" s="21" t="n">
        <v>1295.6</v>
      </c>
    </row>
    <row r="131" customFormat="false" ht="15" hidden="false" customHeight="false" outlineLevel="0" collapsed="false">
      <c r="A131" s="12" t="s">
        <v>66</v>
      </c>
      <c r="B131" s="12" t="s">
        <v>28</v>
      </c>
      <c r="C131" s="12" t="s">
        <v>196</v>
      </c>
      <c r="D131" s="12" t="s">
        <v>276</v>
      </c>
      <c r="E131" s="12" t="s">
        <v>374</v>
      </c>
      <c r="F131" s="21" t="n">
        <v>379.2</v>
      </c>
    </row>
    <row r="132" customFormat="false" ht="15" hidden="false" customHeight="false" outlineLevel="0" collapsed="false">
      <c r="A132" s="12" t="s">
        <v>66</v>
      </c>
      <c r="B132" s="12" t="s">
        <v>28</v>
      </c>
      <c r="C132" s="12" t="s">
        <v>375</v>
      </c>
      <c r="D132" s="12" t="s">
        <v>276</v>
      </c>
      <c r="E132" s="12" t="s">
        <v>196</v>
      </c>
      <c r="F132" s="21" t="n">
        <v>2.6</v>
      </c>
    </row>
    <row r="133" customFormat="false" ht="15" hidden="false" customHeight="false" outlineLevel="0" collapsed="false">
      <c r="A133" s="12" t="s">
        <v>66</v>
      </c>
      <c r="B133" s="12" t="s">
        <v>28</v>
      </c>
      <c r="C133" s="12" t="s">
        <v>375</v>
      </c>
      <c r="D133" s="12" t="s">
        <v>276</v>
      </c>
      <c r="E133" s="12" t="s">
        <v>361</v>
      </c>
      <c r="F133" s="12"/>
    </row>
    <row r="134" customFormat="false" ht="15" hidden="false" customHeight="false" outlineLevel="0" collapsed="false">
      <c r="A134" s="12" t="s">
        <v>66</v>
      </c>
      <c r="B134" s="12" t="s">
        <v>28</v>
      </c>
      <c r="C134" s="12" t="s">
        <v>375</v>
      </c>
      <c r="D134" s="12" t="s">
        <v>276</v>
      </c>
      <c r="E134" s="12" t="s">
        <v>362</v>
      </c>
      <c r="F134" s="12"/>
    </row>
    <row r="135" customFormat="false" ht="15" hidden="false" customHeight="false" outlineLevel="0" collapsed="false">
      <c r="A135" s="12" t="s">
        <v>66</v>
      </c>
      <c r="B135" s="12" t="s">
        <v>28</v>
      </c>
      <c r="C135" s="12" t="s">
        <v>375</v>
      </c>
      <c r="D135" s="12" t="s">
        <v>276</v>
      </c>
      <c r="E135" s="12" t="s">
        <v>373</v>
      </c>
      <c r="F135" s="21" t="n">
        <v>2.6</v>
      </c>
    </row>
    <row r="136" customFormat="false" ht="15" hidden="false" customHeight="false" outlineLevel="0" collapsed="false">
      <c r="A136" s="12" t="s">
        <v>66</v>
      </c>
      <c r="B136" s="12" t="s">
        <v>28</v>
      </c>
      <c r="C136" s="12" t="s">
        <v>375</v>
      </c>
      <c r="D136" s="12" t="s">
        <v>276</v>
      </c>
      <c r="E136" s="12" t="s">
        <v>374</v>
      </c>
      <c r="F136" s="12"/>
    </row>
    <row r="137" customFormat="false" ht="15" hidden="false" customHeight="false" outlineLevel="0" collapsed="false">
      <c r="A137" s="12" t="s">
        <v>66</v>
      </c>
      <c r="B137" s="12" t="s">
        <v>28</v>
      </c>
      <c r="C137" s="12" t="s">
        <v>376</v>
      </c>
      <c r="D137" s="12" t="s">
        <v>276</v>
      </c>
      <c r="E137" s="12" t="s">
        <v>196</v>
      </c>
      <c r="F137" s="21" t="n">
        <v>103.8</v>
      </c>
    </row>
    <row r="138" customFormat="false" ht="15" hidden="false" customHeight="false" outlineLevel="0" collapsed="false">
      <c r="A138" s="12" t="s">
        <v>66</v>
      </c>
      <c r="B138" s="12" t="s">
        <v>28</v>
      </c>
      <c r="C138" s="12" t="s">
        <v>376</v>
      </c>
      <c r="D138" s="12" t="s">
        <v>276</v>
      </c>
      <c r="E138" s="12" t="s">
        <v>361</v>
      </c>
      <c r="F138" s="12"/>
    </row>
    <row r="139" customFormat="false" ht="15" hidden="false" customHeight="false" outlineLevel="0" collapsed="false">
      <c r="A139" s="12" t="s">
        <v>66</v>
      </c>
      <c r="B139" s="12" t="s">
        <v>28</v>
      </c>
      <c r="C139" s="12" t="s">
        <v>376</v>
      </c>
      <c r="D139" s="12" t="s">
        <v>276</v>
      </c>
      <c r="E139" s="12" t="s">
        <v>362</v>
      </c>
      <c r="F139" s="21" t="n">
        <v>4.8</v>
      </c>
    </row>
    <row r="140" customFormat="false" ht="15" hidden="false" customHeight="false" outlineLevel="0" collapsed="false">
      <c r="A140" s="12" t="s">
        <v>66</v>
      </c>
      <c r="B140" s="12" t="s">
        <v>28</v>
      </c>
      <c r="C140" s="12" t="s">
        <v>376</v>
      </c>
      <c r="D140" s="12" t="s">
        <v>276</v>
      </c>
      <c r="E140" s="12" t="s">
        <v>373</v>
      </c>
      <c r="F140" s="21" t="n">
        <v>84.9</v>
      </c>
    </row>
    <row r="141" customFormat="false" ht="15" hidden="false" customHeight="false" outlineLevel="0" collapsed="false">
      <c r="A141" s="12" t="s">
        <v>66</v>
      </c>
      <c r="B141" s="12" t="s">
        <v>28</v>
      </c>
      <c r="C141" s="12" t="s">
        <v>376</v>
      </c>
      <c r="D141" s="12" t="s">
        <v>276</v>
      </c>
      <c r="E141" s="12" t="s">
        <v>374</v>
      </c>
      <c r="F141" s="21" t="n">
        <v>14.1</v>
      </c>
    </row>
    <row r="142" customFormat="false" ht="15" hidden="false" customHeight="false" outlineLevel="0" collapsed="false">
      <c r="A142" s="12" t="s">
        <v>66</v>
      </c>
      <c r="B142" s="12" t="s">
        <v>28</v>
      </c>
      <c r="C142" s="12" t="s">
        <v>377</v>
      </c>
      <c r="D142" s="12" t="s">
        <v>276</v>
      </c>
      <c r="E142" s="12" t="s">
        <v>196</v>
      </c>
      <c r="F142" s="21" t="n">
        <v>33.4</v>
      </c>
    </row>
    <row r="143" customFormat="false" ht="15" hidden="false" customHeight="false" outlineLevel="0" collapsed="false">
      <c r="A143" s="12" t="s">
        <v>66</v>
      </c>
      <c r="B143" s="12" t="s">
        <v>28</v>
      </c>
      <c r="C143" s="12" t="s">
        <v>377</v>
      </c>
      <c r="D143" s="12" t="s">
        <v>276</v>
      </c>
      <c r="E143" s="12" t="s">
        <v>361</v>
      </c>
      <c r="F143" s="12"/>
    </row>
    <row r="144" customFormat="false" ht="15" hidden="false" customHeight="false" outlineLevel="0" collapsed="false">
      <c r="A144" s="12" t="s">
        <v>66</v>
      </c>
      <c r="B144" s="12" t="s">
        <v>28</v>
      </c>
      <c r="C144" s="12" t="s">
        <v>377</v>
      </c>
      <c r="D144" s="12" t="s">
        <v>276</v>
      </c>
      <c r="E144" s="12" t="s">
        <v>362</v>
      </c>
      <c r="F144" s="21" t="n">
        <v>0.8</v>
      </c>
    </row>
    <row r="145" customFormat="false" ht="15" hidden="false" customHeight="false" outlineLevel="0" collapsed="false">
      <c r="A145" s="12" t="s">
        <v>66</v>
      </c>
      <c r="B145" s="12" t="s">
        <v>28</v>
      </c>
      <c r="C145" s="12" t="s">
        <v>377</v>
      </c>
      <c r="D145" s="12" t="s">
        <v>276</v>
      </c>
      <c r="E145" s="12" t="s">
        <v>373</v>
      </c>
      <c r="F145" s="21" t="n">
        <v>24.8</v>
      </c>
    </row>
    <row r="146" customFormat="false" ht="15" hidden="false" customHeight="false" outlineLevel="0" collapsed="false">
      <c r="A146" s="12" t="s">
        <v>66</v>
      </c>
      <c r="B146" s="12" t="s">
        <v>28</v>
      </c>
      <c r="C146" s="12" t="s">
        <v>377</v>
      </c>
      <c r="D146" s="12" t="s">
        <v>276</v>
      </c>
      <c r="E146" s="12" t="s">
        <v>374</v>
      </c>
      <c r="F146" s="21" t="n">
        <v>7.8</v>
      </c>
    </row>
    <row r="147" customFormat="false" ht="15" hidden="false" customHeight="false" outlineLevel="0" collapsed="false">
      <c r="A147" s="12" t="s">
        <v>66</v>
      </c>
      <c r="B147" s="12" t="s">
        <v>28</v>
      </c>
      <c r="C147" s="12" t="s">
        <v>378</v>
      </c>
      <c r="D147" s="12" t="s">
        <v>276</v>
      </c>
      <c r="E147" s="12" t="s">
        <v>196</v>
      </c>
      <c r="F147" s="21" t="n">
        <v>1650.1</v>
      </c>
    </row>
    <row r="148" customFormat="false" ht="15" hidden="false" customHeight="false" outlineLevel="0" collapsed="false">
      <c r="A148" s="12" t="s">
        <v>66</v>
      </c>
      <c r="B148" s="12" t="s">
        <v>28</v>
      </c>
      <c r="C148" s="12" t="s">
        <v>378</v>
      </c>
      <c r="D148" s="12" t="s">
        <v>276</v>
      </c>
      <c r="E148" s="12" t="s">
        <v>361</v>
      </c>
      <c r="F148" s="21" t="n">
        <v>12.6</v>
      </c>
    </row>
    <row r="149" customFormat="false" ht="15" hidden="false" customHeight="false" outlineLevel="0" collapsed="false">
      <c r="A149" s="12" t="s">
        <v>66</v>
      </c>
      <c r="B149" s="12" t="s">
        <v>28</v>
      </c>
      <c r="C149" s="12" t="s">
        <v>378</v>
      </c>
      <c r="D149" s="12" t="s">
        <v>276</v>
      </c>
      <c r="E149" s="12" t="s">
        <v>362</v>
      </c>
      <c r="F149" s="21" t="n">
        <v>96.8</v>
      </c>
    </row>
    <row r="150" customFormat="false" ht="15" hidden="false" customHeight="false" outlineLevel="0" collapsed="false">
      <c r="A150" s="12" t="s">
        <v>66</v>
      </c>
      <c r="B150" s="12" t="s">
        <v>28</v>
      </c>
      <c r="C150" s="12" t="s">
        <v>378</v>
      </c>
      <c r="D150" s="12" t="s">
        <v>276</v>
      </c>
      <c r="E150" s="12" t="s">
        <v>373</v>
      </c>
      <c r="F150" s="21" t="n">
        <v>1183.4</v>
      </c>
    </row>
    <row r="151" customFormat="false" ht="15" hidden="false" customHeight="false" outlineLevel="0" collapsed="false">
      <c r="A151" s="12" t="s">
        <v>66</v>
      </c>
      <c r="B151" s="12" t="s">
        <v>28</v>
      </c>
      <c r="C151" s="12" t="s">
        <v>378</v>
      </c>
      <c r="D151" s="12" t="s">
        <v>276</v>
      </c>
      <c r="E151" s="12" t="s">
        <v>374</v>
      </c>
      <c r="F151" s="21" t="n">
        <v>357.2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9" min="8" style="0" width="15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8"/>
  </cols>
  <sheetData>
    <row r="1" customFormat="false" ht="17.3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11" t="s">
        <v>380</v>
      </c>
    </row>
    <row r="4" customFormat="false" ht="31.5" hidden="false" customHeight="true" outlineLevel="0" collapsed="false">
      <c r="A4" s="4" t="s">
        <v>372</v>
      </c>
      <c r="B4" s="4" t="s">
        <v>381</v>
      </c>
      <c r="C4" s="4" t="s">
        <v>382</v>
      </c>
      <c r="D4" s="4" t="s">
        <v>383</v>
      </c>
      <c r="E4" s="4" t="s">
        <v>384</v>
      </c>
      <c r="F4" s="4" t="s">
        <v>385</v>
      </c>
      <c r="G4" s="4" t="s">
        <v>386</v>
      </c>
      <c r="H4" s="4" t="s">
        <v>387</v>
      </c>
      <c r="I4" s="4" t="s">
        <v>388</v>
      </c>
      <c r="J4" s="4" t="s">
        <v>389</v>
      </c>
      <c r="K4" s="4" t="s">
        <v>390</v>
      </c>
      <c r="L4" s="4" t="s">
        <v>391</v>
      </c>
    </row>
    <row r="5" customFormat="false" ht="15" hidden="false" customHeight="false" outlineLevel="0" collapsed="false">
      <c r="A5" s="2" t="s">
        <v>196</v>
      </c>
      <c r="B5" s="15" t="n">
        <f aca="false">SUMIFS(EPA_Sectores_2026T2!$F$2:$F$151,EPA_Sectores_2026T2!$A$2:$A$151,"España",EPA_Sectores_2026T2!$C$2:$C$151,$A5,EPA_Sectores_2026T2!$D$2:$D$151,"Ambos sexos",EPA_Sectores_2026T2!$E$2:$E$151,"Total")</f>
        <v>22779</v>
      </c>
      <c r="C5" s="15" t="n">
        <f aca="false">SUMIFS(EPA_Sectores_2026T2!$F$2:$F$151,EPA_Sectores_2026T2!$A$2:$A$151,"España",EPA_Sectores_2026T2!$C$2:$C$151,$A5,EPA_Sectores_2026T2!$D$2:$D$151,"Hombres",EPA_Sectores_2026T2!$E$2:$E$151,"Total")</f>
        <v>12162</v>
      </c>
      <c r="D5" s="15" t="n">
        <f aca="false">SUMIFS(EPA_Sectores_2026T2!$F$2:$F$151,EPA_Sectores_2026T2!$A$2:$A$151,"España",EPA_Sectores_2026T2!$C$2:$C$151,$A5,EPA_Sectores_2026T2!$D$2:$D$151,"Mujeres",EPA_Sectores_2026T2!$E$2:$E$151,"Total")</f>
        <v>10616.9</v>
      </c>
      <c r="E5" s="18" t="n">
        <f aca="false">B5/B$5*100</f>
        <v>100</v>
      </c>
      <c r="F5" s="18" t="n">
        <f aca="false">D5/B5*100</f>
        <v>46.6082795557312</v>
      </c>
      <c r="G5" s="15" t="n">
        <f aca="false">SUMIFS(EPA_Sectores_2026T2!$F$2:$F$151,EPA_Sectores_2026T2!$A$2:$A$151,"Madrid",EPA_Sectores_2026T2!$C$2:$C$151,$A5,EPA_Sectores_2026T2!$D$2:$D$151,"Ambos sexos",EPA_Sectores_2026T2!$E$2:$E$151,"Total")</f>
        <v>3631.3</v>
      </c>
      <c r="H5" s="15" t="n">
        <f aca="false">SUMIFS(EPA_Sectores_2026T2!$F$2:$F$151,EPA_Sectores_2026T2!$A$2:$A$151,"Madrid",EPA_Sectores_2026T2!$C$2:$C$151,$A5,EPA_Sectores_2026T2!$D$2:$D$151,"Hombres",EPA_Sectores_2026T2!$E$2:$E$151,"Total")</f>
        <v>1841.4</v>
      </c>
      <c r="I5" s="15" t="n">
        <f aca="false">SUMIFS(EPA_Sectores_2026T2!$F$2:$F$151,EPA_Sectores_2026T2!$A$2:$A$151,"Madrid",EPA_Sectores_2026T2!$C$2:$C$151,$A5,EPA_Sectores_2026T2!$D$2:$D$151,"Mujeres",EPA_Sectores_2026T2!$E$2:$E$151,"Total")</f>
        <v>1789.9</v>
      </c>
      <c r="J5" s="18" t="n">
        <f aca="false">G5/G$5*100</f>
        <v>100</v>
      </c>
      <c r="K5" s="18" t="n">
        <f aca="false">I5/G5*100</f>
        <v>49.2908875609286</v>
      </c>
      <c r="L5" s="18" t="n">
        <f aca="false">G5/B5*100</f>
        <v>15.9414372887309</v>
      </c>
    </row>
    <row r="6" customFormat="false" ht="15" hidden="false" customHeight="false" outlineLevel="0" collapsed="false">
      <c r="A6" s="12" t="s">
        <v>375</v>
      </c>
      <c r="B6" s="15" t="n">
        <f aca="false">SUMIFS(EPA_Sectores_2026T2!$F$2:$F$151,EPA_Sectores_2026T2!$A$2:$A$151,"España",EPA_Sectores_2026T2!$C$2:$C$151,$A6,EPA_Sectores_2026T2!$D$2:$D$151,"Ambos sexos",EPA_Sectores_2026T2!$E$2:$E$151,"Total")</f>
        <v>787.2</v>
      </c>
      <c r="C6" s="15" t="n">
        <f aca="false">SUMIFS(EPA_Sectores_2026T2!$F$2:$F$151,EPA_Sectores_2026T2!$A$2:$A$151,"España",EPA_Sectores_2026T2!$C$2:$C$151,$A6,EPA_Sectores_2026T2!$D$2:$D$151,"Hombres",EPA_Sectores_2026T2!$E$2:$E$151,"Total")</f>
        <v>585.8</v>
      </c>
      <c r="D6" s="15" t="n">
        <f aca="false">SUMIFS(EPA_Sectores_2026T2!$F$2:$F$151,EPA_Sectores_2026T2!$A$2:$A$151,"España",EPA_Sectores_2026T2!$C$2:$C$151,$A6,EPA_Sectores_2026T2!$D$2:$D$151,"Mujeres",EPA_Sectores_2026T2!$E$2:$E$151,"Total")</f>
        <v>201.4</v>
      </c>
      <c r="E6" s="18" t="n">
        <f aca="false">B6/B$5*100</f>
        <v>3.45581456604768</v>
      </c>
      <c r="F6" s="18" t="n">
        <f aca="false">D6/B6*100</f>
        <v>25.5843495934959</v>
      </c>
      <c r="G6" s="15" t="n">
        <f aca="false">SUMIFS(EPA_Sectores_2026T2!$F$2:$F$151,EPA_Sectores_2026T2!$A$2:$A$151,"Madrid",EPA_Sectores_2026T2!$C$2:$C$151,$A6,EPA_Sectores_2026T2!$D$2:$D$151,"Ambos sexos",EPA_Sectores_2026T2!$E$2:$E$151,"Total")</f>
        <v>6.6</v>
      </c>
      <c r="H6" s="15" t="n">
        <f aca="false">SUMIFS(EPA_Sectores_2026T2!$F$2:$F$151,EPA_Sectores_2026T2!$A$2:$A$151,"Madrid",EPA_Sectores_2026T2!$C$2:$C$151,$A6,EPA_Sectores_2026T2!$D$2:$D$151,"Hombres",EPA_Sectores_2026T2!$E$2:$E$151,"Total")</f>
        <v>4</v>
      </c>
      <c r="I6" s="15" t="n">
        <f aca="false">SUMIFS(EPA_Sectores_2026T2!$F$2:$F$151,EPA_Sectores_2026T2!$A$2:$A$151,"Madrid",EPA_Sectores_2026T2!$C$2:$C$151,$A6,EPA_Sectores_2026T2!$D$2:$D$151,"Mujeres",EPA_Sectores_2026T2!$E$2:$E$151,"Total")</f>
        <v>2.6</v>
      </c>
      <c r="J6" s="18" t="n">
        <f aca="false">G6/G$5*100</f>
        <v>0.181753091179467</v>
      </c>
      <c r="K6" s="18" t="n">
        <f aca="false">I6/G6*100</f>
        <v>39.3939393939394</v>
      </c>
      <c r="L6" s="18" t="n">
        <f aca="false">G6/B6*100</f>
        <v>0.838414634146341</v>
      </c>
    </row>
    <row r="7" customFormat="false" ht="15" hidden="false" customHeight="false" outlineLevel="0" collapsed="false">
      <c r="A7" s="12" t="s">
        <v>376</v>
      </c>
      <c r="B7" s="15" t="n">
        <f aca="false">SUMIFS(EPA_Sectores_2026T2!$F$2:$F$151,EPA_Sectores_2026T2!$A$2:$A$151,"España",EPA_Sectores_2026T2!$C$2:$C$151,$A7,EPA_Sectores_2026T2!$D$2:$D$151,"Ambos sexos",EPA_Sectores_2026T2!$E$2:$E$151,"Total")</f>
        <v>3103</v>
      </c>
      <c r="C7" s="15" t="n">
        <f aca="false">SUMIFS(EPA_Sectores_2026T2!$F$2:$F$151,EPA_Sectores_2026T2!$A$2:$A$151,"España",EPA_Sectores_2026T2!$C$2:$C$151,$A7,EPA_Sectores_2026T2!$D$2:$D$151,"Hombres",EPA_Sectores_2026T2!$E$2:$E$151,"Total")</f>
        <v>2203.4</v>
      </c>
      <c r="D7" s="15" t="n">
        <f aca="false">SUMIFS(EPA_Sectores_2026T2!$F$2:$F$151,EPA_Sectores_2026T2!$A$2:$A$151,"España",EPA_Sectores_2026T2!$C$2:$C$151,$A7,EPA_Sectores_2026T2!$D$2:$D$151,"Mujeres",EPA_Sectores_2026T2!$E$2:$E$151,"Total")</f>
        <v>899.7</v>
      </c>
      <c r="E7" s="18" t="n">
        <f aca="false">B7/B$5*100</f>
        <v>13.6221958821722</v>
      </c>
      <c r="F7" s="18" t="n">
        <f aca="false">D7/B7*100</f>
        <v>28.9945214308734</v>
      </c>
      <c r="G7" s="15" t="n">
        <f aca="false">SUMIFS(EPA_Sectores_2026T2!$F$2:$F$151,EPA_Sectores_2026T2!$A$2:$A$151,"Madrid",EPA_Sectores_2026T2!$C$2:$C$151,$A7,EPA_Sectores_2026T2!$D$2:$D$151,"Ambos sexos",EPA_Sectores_2026T2!$E$2:$E$151,"Total")</f>
        <v>298.7</v>
      </c>
      <c r="H7" s="15" t="n">
        <f aca="false">SUMIFS(EPA_Sectores_2026T2!$F$2:$F$151,EPA_Sectores_2026T2!$A$2:$A$151,"Madrid",EPA_Sectores_2026T2!$C$2:$C$151,$A7,EPA_Sectores_2026T2!$D$2:$D$151,"Hombres",EPA_Sectores_2026T2!$E$2:$E$151,"Total")</f>
        <v>194.9</v>
      </c>
      <c r="I7" s="15" t="n">
        <f aca="false">SUMIFS(EPA_Sectores_2026T2!$F$2:$F$151,EPA_Sectores_2026T2!$A$2:$A$151,"Madrid",EPA_Sectores_2026T2!$C$2:$C$151,$A7,EPA_Sectores_2026T2!$D$2:$D$151,"Mujeres",EPA_Sectores_2026T2!$E$2:$E$151,"Total")</f>
        <v>103.8</v>
      </c>
      <c r="J7" s="18" t="n">
        <f aca="false">G7/G$5*100</f>
        <v>8.22570429322832</v>
      </c>
      <c r="K7" s="18" t="n">
        <f aca="false">I7/G7*100</f>
        <v>34.7505858721125</v>
      </c>
      <c r="L7" s="18" t="n">
        <f aca="false">G7/B7*100</f>
        <v>9.62616822429907</v>
      </c>
    </row>
    <row r="8" customFormat="false" ht="15" hidden="false" customHeight="false" outlineLevel="0" collapsed="false">
      <c r="A8" s="12" t="s">
        <v>377</v>
      </c>
      <c r="B8" s="15" t="n">
        <f aca="false">SUMIFS(EPA_Sectores_2026T2!$F$2:$F$151,EPA_Sectores_2026T2!$A$2:$A$151,"España",EPA_Sectores_2026T2!$C$2:$C$151,$A8,EPA_Sectores_2026T2!$D$2:$D$151,"Ambos sexos",EPA_Sectores_2026T2!$E$2:$E$151,"Total")</f>
        <v>1612</v>
      </c>
      <c r="C8" s="15" t="n">
        <f aca="false">SUMIFS(EPA_Sectores_2026T2!$F$2:$F$151,EPA_Sectores_2026T2!$A$2:$A$151,"España",EPA_Sectores_2026T2!$C$2:$C$151,$A8,EPA_Sectores_2026T2!$D$2:$D$151,"Hombres",EPA_Sectores_2026T2!$E$2:$E$151,"Total")</f>
        <v>1460.4</v>
      </c>
      <c r="D8" s="15" t="n">
        <f aca="false">SUMIFS(EPA_Sectores_2026T2!$F$2:$F$151,EPA_Sectores_2026T2!$A$2:$A$151,"España",EPA_Sectores_2026T2!$C$2:$C$151,$A8,EPA_Sectores_2026T2!$D$2:$D$151,"Mujeres",EPA_Sectores_2026T2!$E$2:$E$151,"Total")</f>
        <v>151.7</v>
      </c>
      <c r="E8" s="18" t="n">
        <f aca="false">B8/B$5*100</f>
        <v>7.07669344571755</v>
      </c>
      <c r="F8" s="18" t="n">
        <f aca="false">D8/B8*100</f>
        <v>9.4106699751861</v>
      </c>
      <c r="G8" s="15" t="n">
        <f aca="false">SUMIFS(EPA_Sectores_2026T2!$F$2:$F$151,EPA_Sectores_2026T2!$A$2:$A$151,"Madrid",EPA_Sectores_2026T2!$C$2:$C$151,$A8,EPA_Sectores_2026T2!$D$2:$D$151,"Ambos sexos",EPA_Sectores_2026T2!$E$2:$E$151,"Total")</f>
        <v>226.1</v>
      </c>
      <c r="H8" s="15" t="n">
        <f aca="false">SUMIFS(EPA_Sectores_2026T2!$F$2:$F$151,EPA_Sectores_2026T2!$A$2:$A$151,"Madrid",EPA_Sectores_2026T2!$C$2:$C$151,$A8,EPA_Sectores_2026T2!$D$2:$D$151,"Hombres",EPA_Sectores_2026T2!$E$2:$E$151,"Total")</f>
        <v>192.6</v>
      </c>
      <c r="I8" s="15" t="n">
        <f aca="false">SUMIFS(EPA_Sectores_2026T2!$F$2:$F$151,EPA_Sectores_2026T2!$A$2:$A$151,"Madrid",EPA_Sectores_2026T2!$C$2:$C$151,$A8,EPA_Sectores_2026T2!$D$2:$D$151,"Mujeres",EPA_Sectores_2026T2!$E$2:$E$151,"Total")</f>
        <v>33.4</v>
      </c>
      <c r="J8" s="18" t="n">
        <f aca="false">G8/G$5*100</f>
        <v>6.22642029025418</v>
      </c>
      <c r="K8" s="18" t="n">
        <f aca="false">I8/G8*100</f>
        <v>14.7722246793454</v>
      </c>
      <c r="L8" s="18" t="n">
        <f aca="false">G8/B8*100</f>
        <v>14.0260545905707</v>
      </c>
    </row>
    <row r="9" customFormat="false" ht="15" hidden="false" customHeight="false" outlineLevel="0" collapsed="false">
      <c r="A9" s="12" t="s">
        <v>378</v>
      </c>
      <c r="B9" s="15" t="n">
        <f aca="false">SUMIFS(EPA_Sectores_2026T2!$F$2:$F$151,EPA_Sectores_2026T2!$A$2:$A$151,"España",EPA_Sectores_2026T2!$C$2:$C$151,$A9,EPA_Sectores_2026T2!$D$2:$D$151,"Ambos sexos",EPA_Sectores_2026T2!$E$2:$E$151,"Total")</f>
        <v>17276.7</v>
      </c>
      <c r="C9" s="15" t="n">
        <f aca="false">SUMIFS(EPA_Sectores_2026T2!$F$2:$F$151,EPA_Sectores_2026T2!$A$2:$A$151,"España",EPA_Sectores_2026T2!$C$2:$C$151,$A9,EPA_Sectores_2026T2!$D$2:$D$151,"Hombres",EPA_Sectores_2026T2!$E$2:$E$151,"Total")</f>
        <v>7912.5</v>
      </c>
      <c r="D9" s="15" t="n">
        <f aca="false">SUMIFS(EPA_Sectores_2026T2!$F$2:$F$151,EPA_Sectores_2026T2!$A$2:$A$151,"España",EPA_Sectores_2026T2!$C$2:$C$151,$A9,EPA_Sectores_2026T2!$D$2:$D$151,"Mujeres",EPA_Sectores_2026T2!$E$2:$E$151,"Total")</f>
        <v>9364.2</v>
      </c>
      <c r="E9" s="18" t="n">
        <f aca="false">B9/B$5*100</f>
        <v>75.8448571052285</v>
      </c>
      <c r="F9" s="18" t="n">
        <f aca="false">D9/B9*100</f>
        <v>54.2013231693553</v>
      </c>
      <c r="G9" s="15" t="n">
        <f aca="false">SUMIFS(EPA_Sectores_2026T2!$F$2:$F$151,EPA_Sectores_2026T2!$A$2:$A$151,"Madrid",EPA_Sectores_2026T2!$C$2:$C$151,$A9,EPA_Sectores_2026T2!$D$2:$D$151,"Ambos sexos",EPA_Sectores_2026T2!$E$2:$E$151,"Total")</f>
        <v>3099.9</v>
      </c>
      <c r="H9" s="15" t="n">
        <f aca="false">SUMIFS(EPA_Sectores_2026T2!$F$2:$F$151,EPA_Sectores_2026T2!$A$2:$A$151,"Madrid",EPA_Sectores_2026T2!$C$2:$C$151,$A9,EPA_Sectores_2026T2!$D$2:$D$151,"Hombres",EPA_Sectores_2026T2!$E$2:$E$151,"Total")</f>
        <v>1449.8</v>
      </c>
      <c r="I9" s="15" t="n">
        <f aca="false">SUMIFS(EPA_Sectores_2026T2!$F$2:$F$151,EPA_Sectores_2026T2!$A$2:$A$151,"Madrid",EPA_Sectores_2026T2!$C$2:$C$151,$A9,EPA_Sectores_2026T2!$D$2:$D$151,"Mujeres",EPA_Sectores_2026T2!$E$2:$E$151,"Total")</f>
        <v>1650.1</v>
      </c>
      <c r="J9" s="18" t="n">
        <f aca="false">G9/G$5*100</f>
        <v>85.366122325338</v>
      </c>
      <c r="K9" s="18" t="n">
        <f aca="false">I9/G9*100</f>
        <v>53.2307493790122</v>
      </c>
      <c r="L9" s="18" t="n">
        <f aca="false">G9/B9*100</f>
        <v>17.9426626612721</v>
      </c>
    </row>
    <row r="11" customFormat="false" ht="15" hidden="false" customHeight="false" outlineLevel="0" collapsed="false">
      <c r="A11" s="11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4" t="s">
        <v>393</v>
      </c>
      <c r="B1" s="4" t="s">
        <v>394</v>
      </c>
      <c r="C1" s="4" t="s">
        <v>395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80</v>
      </c>
    </row>
    <row r="2" customFormat="false" ht="15" hidden="false" customHeight="false" outlineLevel="0" collapsed="false">
      <c r="A2" s="12" t="s">
        <v>396</v>
      </c>
      <c r="B2" s="12" t="s">
        <v>397</v>
      </c>
      <c r="C2" s="12" t="s">
        <v>398</v>
      </c>
      <c r="D2" s="23" t="n">
        <v>16.7</v>
      </c>
      <c r="E2" s="23" t="n">
        <v>14.7</v>
      </c>
      <c r="F2" s="23" t="n">
        <v>16.8</v>
      </c>
      <c r="G2" s="23" t="n">
        <v>20.8</v>
      </c>
      <c r="H2" s="23" t="n">
        <v>34.2</v>
      </c>
      <c r="I2" s="23" t="n">
        <v>37.1</v>
      </c>
      <c r="J2" s="23" t="n">
        <v>40.8</v>
      </c>
      <c r="K2" s="23" t="n">
        <v>48.1</v>
      </c>
      <c r="L2" s="23" t="n">
        <v>48.8</v>
      </c>
      <c r="M2" s="23" t="n">
        <v>49</v>
      </c>
      <c r="N2" s="23" t="n">
        <v>44.2</v>
      </c>
      <c r="O2" s="23" t="n">
        <v>40.7</v>
      </c>
      <c r="P2" s="23" t="n">
        <v>34.7</v>
      </c>
      <c r="Q2" s="23" t="n">
        <v>27.5</v>
      </c>
      <c r="R2" s="23" t="n">
        <v>29</v>
      </c>
      <c r="S2" s="23" t="n">
        <v>31.8</v>
      </c>
      <c r="T2" s="23" t="n">
        <v>29.5</v>
      </c>
      <c r="U2" s="23" t="n">
        <v>27.8</v>
      </c>
      <c r="V2" s="23" t="n">
        <v>27.4</v>
      </c>
      <c r="W2" s="23" t="n">
        <v>20.4</v>
      </c>
      <c r="X2" s="23" t="n">
        <v>19.3</v>
      </c>
    </row>
    <row r="3" customFormat="false" ht="15" hidden="false" customHeight="false" outlineLevel="0" collapsed="false">
      <c r="A3" s="12" t="s">
        <v>396</v>
      </c>
      <c r="B3" s="12" t="s">
        <v>397</v>
      </c>
      <c r="C3" s="12" t="s">
        <v>399</v>
      </c>
      <c r="D3" s="23" t="n">
        <v>11.4</v>
      </c>
      <c r="E3" s="23" t="n">
        <v>10.9</v>
      </c>
      <c r="F3" s="23" t="n">
        <v>10.9</v>
      </c>
      <c r="G3" s="23" t="n">
        <v>14.2</v>
      </c>
      <c r="H3" s="23" t="n">
        <v>23</v>
      </c>
      <c r="I3" s="23" t="n">
        <v>26.3</v>
      </c>
      <c r="J3" s="23" t="n">
        <v>27.6</v>
      </c>
      <c r="K3" s="23" t="n">
        <v>32.1</v>
      </c>
      <c r="L3" s="23" t="n">
        <v>32.6</v>
      </c>
      <c r="M3" s="23" t="n">
        <v>33.4</v>
      </c>
      <c r="N3" s="23" t="n">
        <v>31.8</v>
      </c>
      <c r="O3" s="23" t="n">
        <v>29.1</v>
      </c>
      <c r="P3" s="23" t="n">
        <v>25.5</v>
      </c>
      <c r="Q3" s="23" t="n">
        <v>20.9</v>
      </c>
      <c r="R3" s="23" t="n">
        <v>19.3</v>
      </c>
      <c r="S3" s="23" t="n">
        <v>22.9</v>
      </c>
      <c r="T3" s="23" t="n">
        <v>21.1</v>
      </c>
      <c r="U3" s="23" t="n">
        <v>18.2</v>
      </c>
      <c r="V3" s="23" t="n">
        <v>18.3</v>
      </c>
      <c r="W3" s="23" t="n">
        <v>15.7</v>
      </c>
      <c r="X3" s="23" t="n">
        <v>14.3</v>
      </c>
    </row>
    <row r="4" customFormat="false" ht="15" hidden="false" customHeight="false" outlineLevel="0" collapsed="false">
      <c r="A4" s="12" t="s">
        <v>396</v>
      </c>
      <c r="B4" s="12" t="s">
        <v>397</v>
      </c>
      <c r="C4" s="12" t="s">
        <v>400</v>
      </c>
      <c r="D4" s="23" t="n">
        <v>6.8</v>
      </c>
      <c r="E4" s="23" t="n">
        <v>6.3</v>
      </c>
      <c r="F4" s="23" t="n">
        <v>6.2</v>
      </c>
      <c r="G4" s="23" t="n">
        <v>8.6</v>
      </c>
      <c r="H4" s="23" t="n">
        <v>13.9</v>
      </c>
      <c r="I4" s="23" t="n">
        <v>15.9</v>
      </c>
      <c r="J4" s="23" t="n">
        <v>16.4</v>
      </c>
      <c r="K4" s="23" t="n">
        <v>18.6</v>
      </c>
      <c r="L4" s="23" t="n">
        <v>19.8</v>
      </c>
      <c r="M4" s="23" t="n">
        <v>18.8</v>
      </c>
      <c r="N4" s="23" t="n">
        <v>17.1</v>
      </c>
      <c r="O4" s="23" t="n">
        <v>15.7</v>
      </c>
      <c r="P4" s="23" t="n">
        <v>13.4</v>
      </c>
      <c r="Q4" s="23" t="n">
        <v>12.2</v>
      </c>
      <c r="R4" s="23" t="n">
        <v>10.6</v>
      </c>
      <c r="S4" s="23" t="n">
        <v>12.5</v>
      </c>
      <c r="T4" s="23" t="n">
        <v>11.7</v>
      </c>
      <c r="U4" s="23" t="n">
        <v>11.2</v>
      </c>
      <c r="V4" s="23" t="n">
        <v>10</v>
      </c>
      <c r="W4" s="23" t="n">
        <v>9</v>
      </c>
      <c r="X4" s="23" t="n">
        <v>8</v>
      </c>
    </row>
    <row r="5" customFormat="false" ht="15" hidden="false" customHeight="false" outlineLevel="0" collapsed="false">
      <c r="A5" s="12" t="s">
        <v>396</v>
      </c>
      <c r="B5" s="12" t="s">
        <v>397</v>
      </c>
      <c r="C5" s="12" t="s">
        <v>401</v>
      </c>
      <c r="D5" s="23" t="n">
        <v>6.8</v>
      </c>
      <c r="E5" s="23" t="n">
        <v>6.3</v>
      </c>
      <c r="F5" s="23" t="n">
        <v>6.2</v>
      </c>
      <c r="G5" s="23" t="n">
        <v>8.6</v>
      </c>
      <c r="H5" s="23" t="n">
        <v>13.9</v>
      </c>
      <c r="I5" s="23" t="n">
        <v>15.8</v>
      </c>
      <c r="J5" s="23" t="n">
        <v>16.3</v>
      </c>
      <c r="K5" s="23" t="n">
        <v>18.5</v>
      </c>
      <c r="L5" s="23" t="n">
        <v>19.8</v>
      </c>
      <c r="M5" s="23" t="n">
        <v>18.7</v>
      </c>
      <c r="N5" s="23" t="n">
        <v>17.1</v>
      </c>
      <c r="O5" s="23" t="n">
        <v>15.7</v>
      </c>
      <c r="P5" s="23" t="n">
        <v>13.3</v>
      </c>
      <c r="Q5" s="23" t="n">
        <v>12.2</v>
      </c>
      <c r="R5" s="23" t="n">
        <v>10.6</v>
      </c>
      <c r="S5" s="23" t="n">
        <v>12.5</v>
      </c>
      <c r="T5" s="23" t="n">
        <v>11.7</v>
      </c>
      <c r="U5" s="23" t="n">
        <v>11.2</v>
      </c>
      <c r="V5" s="23" t="n">
        <v>10</v>
      </c>
      <c r="W5" s="23" t="n">
        <v>9</v>
      </c>
      <c r="X5" s="23" t="n">
        <v>8</v>
      </c>
    </row>
    <row r="6" customFormat="false" ht="15" hidden="false" customHeight="false" outlineLevel="0" collapsed="false">
      <c r="A6" s="12" t="s">
        <v>396</v>
      </c>
      <c r="B6" s="12" t="s">
        <v>397</v>
      </c>
      <c r="C6" s="12" t="s">
        <v>402</v>
      </c>
      <c r="D6" s="23" t="n">
        <v>6.4</v>
      </c>
      <c r="E6" s="23" t="n">
        <v>5.8</v>
      </c>
      <c r="F6" s="23" t="n">
        <v>5.8</v>
      </c>
      <c r="G6" s="23" t="n">
        <v>8.1</v>
      </c>
      <c r="H6" s="23" t="n">
        <v>13.3</v>
      </c>
      <c r="I6" s="23" t="n">
        <v>15.4</v>
      </c>
      <c r="J6" s="23" t="n">
        <v>15.9</v>
      </c>
      <c r="K6" s="23" t="n">
        <v>18.1</v>
      </c>
      <c r="L6" s="23" t="n">
        <v>19.3</v>
      </c>
      <c r="M6" s="23" t="n">
        <v>18.3</v>
      </c>
      <c r="N6" s="23" t="n">
        <v>16.7</v>
      </c>
      <c r="O6" s="23" t="n">
        <v>15.4</v>
      </c>
      <c r="P6" s="23" t="n">
        <v>13</v>
      </c>
      <c r="Q6" s="23" t="n">
        <v>11.9</v>
      </c>
      <c r="R6" s="23" t="n">
        <v>10.4</v>
      </c>
      <c r="S6" s="23" t="n">
        <v>12.2</v>
      </c>
      <c r="T6" s="23" t="n">
        <v>11.3</v>
      </c>
      <c r="U6" s="23" t="n">
        <v>10.9</v>
      </c>
      <c r="V6" s="23" t="n">
        <v>9.7</v>
      </c>
      <c r="W6" s="23" t="n">
        <v>8.8</v>
      </c>
      <c r="X6" s="23" t="n">
        <v>7.8</v>
      </c>
    </row>
    <row r="7" customFormat="false" ht="15" hidden="false" customHeight="false" outlineLevel="0" collapsed="false">
      <c r="A7" s="12" t="s">
        <v>396</v>
      </c>
      <c r="B7" s="12" t="s">
        <v>397</v>
      </c>
      <c r="C7" s="12" t="s">
        <v>403</v>
      </c>
      <c r="D7" s="23" t="n">
        <v>6.7</v>
      </c>
      <c r="E7" s="23" t="n">
        <v>7.1</v>
      </c>
      <c r="F7" s="23" t="n">
        <v>6.4</v>
      </c>
      <c r="G7" s="23" t="n">
        <v>8.8</v>
      </c>
      <c r="H7" s="23" t="n">
        <v>14.6</v>
      </c>
      <c r="I7" s="23" t="n">
        <v>17.1</v>
      </c>
      <c r="J7" s="23" t="n">
        <v>17.5</v>
      </c>
      <c r="K7" s="23" t="n">
        <v>19.2</v>
      </c>
      <c r="L7" s="23" t="n">
        <v>20.1</v>
      </c>
      <c r="M7" s="23" t="n">
        <v>19.8</v>
      </c>
      <c r="N7" s="23" t="n">
        <v>19.3</v>
      </c>
      <c r="O7" s="23" t="n">
        <v>17.5</v>
      </c>
      <c r="P7" s="23" t="n">
        <v>14.9</v>
      </c>
      <c r="Q7" s="23" t="n">
        <v>13.7</v>
      </c>
      <c r="R7" s="23" t="n">
        <v>11.6</v>
      </c>
      <c r="S7" s="23" t="n">
        <v>15.4</v>
      </c>
      <c r="T7" s="23" t="n">
        <v>12.7</v>
      </c>
      <c r="U7" s="23" t="n">
        <v>10.5</v>
      </c>
      <c r="V7" s="23" t="n">
        <v>11.1</v>
      </c>
      <c r="W7" s="23" t="n">
        <v>11.2</v>
      </c>
      <c r="X7" s="23" t="n">
        <v>8.4</v>
      </c>
    </row>
    <row r="8" customFormat="false" ht="15" hidden="false" customHeight="false" outlineLevel="0" collapsed="false">
      <c r="A8" s="12" t="s">
        <v>396</v>
      </c>
      <c r="B8" s="12" t="s">
        <v>397</v>
      </c>
      <c r="C8" s="12" t="s">
        <v>404</v>
      </c>
      <c r="D8" s="23" t="n">
        <v>5.6</v>
      </c>
      <c r="E8" s="23" t="n">
        <v>5.3</v>
      </c>
      <c r="F8" s="23" t="n">
        <v>5</v>
      </c>
      <c r="G8" s="23" t="n">
        <v>7.3</v>
      </c>
      <c r="H8" s="23" t="n">
        <v>11.9</v>
      </c>
      <c r="I8" s="23" t="n">
        <v>14</v>
      </c>
      <c r="J8" s="23" t="n">
        <v>14.4</v>
      </c>
      <c r="K8" s="23" t="n">
        <v>16.4</v>
      </c>
      <c r="L8" s="23" t="n">
        <v>17.7</v>
      </c>
      <c r="M8" s="23" t="n">
        <v>16.7</v>
      </c>
      <c r="N8" s="23" t="n">
        <v>15.2</v>
      </c>
      <c r="O8" s="23" t="n">
        <v>14.1</v>
      </c>
      <c r="P8" s="23" t="n">
        <v>12</v>
      </c>
      <c r="Q8" s="23" t="n">
        <v>11.2</v>
      </c>
      <c r="R8" s="23" t="n">
        <v>9.4</v>
      </c>
      <c r="S8" s="23" t="n">
        <v>11.3</v>
      </c>
      <c r="T8" s="23" t="n">
        <v>10.5</v>
      </c>
      <c r="U8" s="23" t="n">
        <v>10</v>
      </c>
      <c r="V8" s="23" t="n">
        <v>8.7</v>
      </c>
      <c r="W8" s="23" t="n">
        <v>8.1</v>
      </c>
      <c r="X8" s="23" t="n">
        <v>7.1</v>
      </c>
    </row>
    <row r="9" customFormat="false" ht="15" hidden="false" customHeight="false" outlineLevel="0" collapsed="false">
      <c r="A9" s="12" t="s">
        <v>396</v>
      </c>
      <c r="B9" s="12" t="s">
        <v>397</v>
      </c>
      <c r="C9" s="12" t="s">
        <v>405</v>
      </c>
      <c r="D9" s="23" t="n">
        <v>5.6</v>
      </c>
      <c r="E9" s="23" t="n">
        <v>4.7</v>
      </c>
      <c r="F9" s="23" t="n">
        <v>4.5</v>
      </c>
      <c r="G9" s="23" t="n">
        <v>6.7</v>
      </c>
      <c r="H9" s="23" t="n">
        <v>11.2</v>
      </c>
      <c r="I9" s="23" t="n">
        <v>14.2</v>
      </c>
      <c r="J9" s="23" t="n">
        <v>14.5</v>
      </c>
      <c r="K9" s="23" t="n">
        <v>15.7</v>
      </c>
      <c r="L9" s="23" t="n">
        <v>16.8</v>
      </c>
      <c r="M9" s="23" t="n">
        <v>15.4</v>
      </c>
      <c r="N9" s="23" t="n">
        <v>13.1</v>
      </c>
      <c r="O9" s="23" t="n">
        <v>12.9</v>
      </c>
      <c r="P9" s="23" t="n">
        <v>10.4</v>
      </c>
      <c r="Q9" s="23" t="n">
        <v>10.5</v>
      </c>
      <c r="R9" s="23" t="n">
        <v>8.8</v>
      </c>
      <c r="S9" s="23" t="n">
        <v>11.2</v>
      </c>
      <c r="T9" s="23" t="n">
        <v>9.9</v>
      </c>
      <c r="U9" s="23" t="n">
        <v>10.1</v>
      </c>
      <c r="V9" s="23" t="n">
        <v>7.4</v>
      </c>
      <c r="W9" s="23" t="n">
        <v>5.8</v>
      </c>
      <c r="X9" s="23" t="n">
        <v>6.2</v>
      </c>
    </row>
    <row r="10" customFormat="false" ht="15" hidden="false" customHeight="false" outlineLevel="0" collapsed="false">
      <c r="A10" s="12" t="s">
        <v>396</v>
      </c>
      <c r="B10" s="12" t="s">
        <v>397</v>
      </c>
      <c r="C10" s="12" t="s">
        <v>406</v>
      </c>
      <c r="D10" s="23" t="n">
        <v>4.7</v>
      </c>
      <c r="E10" s="23" t="n">
        <v>3.7</v>
      </c>
      <c r="F10" s="23" t="n">
        <v>4</v>
      </c>
      <c r="G10" s="23" t="n">
        <v>6.1</v>
      </c>
      <c r="H10" s="23" t="n">
        <v>9.6</v>
      </c>
      <c r="I10" s="23" t="n">
        <v>11.8</v>
      </c>
      <c r="J10" s="23" t="n">
        <v>12.2</v>
      </c>
      <c r="K10" s="23" t="n">
        <v>16</v>
      </c>
      <c r="L10" s="23" t="n">
        <v>16.9</v>
      </c>
      <c r="M10" s="23" t="n">
        <v>15.6</v>
      </c>
      <c r="N10" s="23" t="n">
        <v>15.3</v>
      </c>
      <c r="O10" s="23" t="n">
        <v>12.6</v>
      </c>
      <c r="P10" s="23" t="n">
        <v>11.9</v>
      </c>
      <c r="Q10" s="23" t="n">
        <v>10.1</v>
      </c>
      <c r="R10" s="23" t="n">
        <v>7.6</v>
      </c>
      <c r="S10" s="23" t="n">
        <v>9</v>
      </c>
      <c r="T10" s="23" t="n">
        <v>8.9</v>
      </c>
      <c r="U10" s="23" t="n">
        <v>9.7</v>
      </c>
      <c r="V10" s="23" t="n">
        <v>7.9</v>
      </c>
      <c r="W10" s="23" t="n">
        <v>7.3</v>
      </c>
      <c r="X10" s="23" t="n">
        <v>5.7</v>
      </c>
    </row>
    <row r="11" customFormat="false" ht="15" hidden="false" customHeight="false" outlineLevel="0" collapsed="false">
      <c r="A11" s="12" t="s">
        <v>396</v>
      </c>
      <c r="B11" s="12" t="s">
        <v>397</v>
      </c>
      <c r="C11" s="12" t="s">
        <v>407</v>
      </c>
      <c r="D11" s="23" t="n">
        <v>4.4</v>
      </c>
      <c r="E11" s="23" t="n">
        <v>4.7</v>
      </c>
      <c r="F11" s="23" t="n">
        <v>5</v>
      </c>
      <c r="G11" s="23" t="n">
        <v>7.6</v>
      </c>
      <c r="H11" s="23" t="n">
        <v>11.9</v>
      </c>
      <c r="I11" s="23" t="n">
        <v>10.8</v>
      </c>
      <c r="J11" s="23" t="n">
        <v>11.9</v>
      </c>
      <c r="K11" s="23" t="n">
        <v>14.1</v>
      </c>
      <c r="L11" s="23" t="n">
        <v>17.2</v>
      </c>
      <c r="M11" s="23" t="n">
        <v>16.7</v>
      </c>
      <c r="N11" s="23" t="n">
        <v>13.8</v>
      </c>
      <c r="O11" s="23" t="n">
        <v>15.2</v>
      </c>
      <c r="P11" s="23" t="n">
        <v>11.8</v>
      </c>
      <c r="Q11" s="23" t="n">
        <v>11.3</v>
      </c>
      <c r="R11" s="23" t="n">
        <v>11.2</v>
      </c>
      <c r="S11" s="23" t="n">
        <v>10.7</v>
      </c>
      <c r="T11" s="23" t="n">
        <v>11.5</v>
      </c>
      <c r="U11" s="23" t="n">
        <v>10.3</v>
      </c>
      <c r="V11" s="23" t="n">
        <v>9.4</v>
      </c>
      <c r="W11" s="23" t="n">
        <v>9</v>
      </c>
      <c r="X11" s="23" t="n">
        <v>8.9</v>
      </c>
    </row>
    <row r="12" customFormat="false" ht="15" hidden="false" customHeight="false" outlineLevel="0" collapsed="false">
      <c r="A12" s="12" t="s">
        <v>396</v>
      </c>
      <c r="B12" s="12" t="s">
        <v>408</v>
      </c>
      <c r="C12" s="12" t="s">
        <v>398</v>
      </c>
      <c r="D12" s="23" t="n">
        <v>14.5</v>
      </c>
      <c r="E12" s="23" t="n">
        <v>13.3</v>
      </c>
      <c r="F12" s="23" t="n">
        <v>13.3</v>
      </c>
      <c r="G12" s="23" t="n">
        <v>20.3</v>
      </c>
      <c r="H12" s="23" t="n">
        <v>36.2</v>
      </c>
      <c r="I12" s="23" t="n">
        <v>38.8</v>
      </c>
      <c r="J12" s="23" t="n">
        <v>42.3</v>
      </c>
      <c r="K12" s="23" t="n">
        <v>52.3</v>
      </c>
      <c r="L12" s="23" t="n">
        <v>49</v>
      </c>
      <c r="M12" s="23" t="n">
        <v>46.9</v>
      </c>
      <c r="N12" s="23" t="n">
        <v>46.2</v>
      </c>
      <c r="O12" s="23" t="n">
        <v>41.4</v>
      </c>
      <c r="P12" s="23" t="n">
        <v>37.6</v>
      </c>
      <c r="Q12" s="23" t="n">
        <v>30.1</v>
      </c>
      <c r="R12" s="23" t="n">
        <v>28.3</v>
      </c>
      <c r="S12" s="23" t="n">
        <v>30.4</v>
      </c>
      <c r="T12" s="23" t="n">
        <v>30.4</v>
      </c>
      <c r="U12" s="23" t="n">
        <v>29.4</v>
      </c>
      <c r="V12" s="23" t="n">
        <v>28.5</v>
      </c>
      <c r="W12" s="23" t="n">
        <v>22.7</v>
      </c>
      <c r="X12" s="23" t="n">
        <v>18.3</v>
      </c>
    </row>
    <row r="13" customFormat="false" ht="15" hidden="false" customHeight="false" outlineLevel="0" collapsed="false">
      <c r="A13" s="12" t="s">
        <v>396</v>
      </c>
      <c r="B13" s="12" t="s">
        <v>408</v>
      </c>
      <c r="C13" s="12" t="s">
        <v>399</v>
      </c>
      <c r="D13" s="23" t="n">
        <v>11</v>
      </c>
      <c r="E13" s="23" t="n">
        <v>9.3</v>
      </c>
      <c r="F13" s="23" t="n">
        <v>9</v>
      </c>
      <c r="G13" s="23" t="n">
        <v>14.2</v>
      </c>
      <c r="H13" s="23" t="n">
        <v>24.3</v>
      </c>
      <c r="I13" s="23" t="n">
        <v>27.9</v>
      </c>
      <c r="J13" s="23" t="n">
        <v>28.8</v>
      </c>
      <c r="K13" s="23" t="n">
        <v>35.6</v>
      </c>
      <c r="L13" s="23" t="n">
        <v>32.8</v>
      </c>
      <c r="M13" s="23" t="n">
        <v>32.3</v>
      </c>
      <c r="N13" s="23" t="n">
        <v>33.4</v>
      </c>
      <c r="O13" s="23" t="n">
        <v>29</v>
      </c>
      <c r="P13" s="23" t="n">
        <v>27.7</v>
      </c>
      <c r="Q13" s="23" t="n">
        <v>21.4</v>
      </c>
      <c r="R13" s="23" t="n">
        <v>19.3</v>
      </c>
      <c r="S13" s="23" t="n">
        <v>23.5</v>
      </c>
      <c r="T13" s="23" t="n">
        <v>22.1</v>
      </c>
      <c r="U13" s="23" t="n">
        <v>17.6</v>
      </c>
      <c r="V13" s="23" t="n">
        <v>17.9</v>
      </c>
      <c r="W13" s="23" t="n">
        <v>16.5</v>
      </c>
      <c r="X13" s="23" t="n">
        <v>15.7</v>
      </c>
    </row>
    <row r="14" customFormat="false" ht="15" hidden="false" customHeight="false" outlineLevel="0" collapsed="false">
      <c r="A14" s="12" t="s">
        <v>396</v>
      </c>
      <c r="B14" s="12" t="s">
        <v>408</v>
      </c>
      <c r="C14" s="12" t="s">
        <v>400</v>
      </c>
      <c r="D14" s="23" t="n">
        <v>6.2</v>
      </c>
      <c r="E14" s="23" t="n">
        <v>4.6</v>
      </c>
      <c r="F14" s="23" t="n">
        <v>4.9</v>
      </c>
      <c r="G14" s="23" t="n">
        <v>7.9</v>
      </c>
      <c r="H14" s="23" t="n">
        <v>13.9</v>
      </c>
      <c r="I14" s="23" t="n">
        <v>15.6</v>
      </c>
      <c r="J14" s="23" t="n">
        <v>16.4</v>
      </c>
      <c r="K14" s="23" t="n">
        <v>19.1</v>
      </c>
      <c r="L14" s="23" t="n">
        <v>19.2</v>
      </c>
      <c r="M14" s="23" t="n">
        <v>18</v>
      </c>
      <c r="N14" s="23" t="n">
        <v>16.8</v>
      </c>
      <c r="O14" s="23" t="n">
        <v>15</v>
      </c>
      <c r="P14" s="23" t="n">
        <v>12.8</v>
      </c>
      <c r="Q14" s="23" t="n">
        <v>11.6</v>
      </c>
      <c r="R14" s="23" t="n">
        <v>9.8</v>
      </c>
      <c r="S14" s="23" t="n">
        <v>11.6</v>
      </c>
      <c r="T14" s="23" t="n">
        <v>10.8</v>
      </c>
      <c r="U14" s="23" t="n">
        <v>9.5</v>
      </c>
      <c r="V14" s="23" t="n">
        <v>8.7</v>
      </c>
      <c r="W14" s="23" t="n">
        <v>8.5</v>
      </c>
      <c r="X14" s="23" t="n">
        <v>7.8</v>
      </c>
    </row>
    <row r="15" customFormat="false" ht="15" hidden="false" customHeight="false" outlineLevel="0" collapsed="false">
      <c r="A15" s="12" t="s">
        <v>396</v>
      </c>
      <c r="B15" s="12" t="s">
        <v>408</v>
      </c>
      <c r="C15" s="12" t="s">
        <v>401</v>
      </c>
      <c r="D15" s="23" t="n">
        <v>6.2</v>
      </c>
      <c r="E15" s="23" t="n">
        <v>4.6</v>
      </c>
      <c r="F15" s="23" t="n">
        <v>4.9</v>
      </c>
      <c r="G15" s="23" t="n">
        <v>7.8</v>
      </c>
      <c r="H15" s="23" t="n">
        <v>13.9</v>
      </c>
      <c r="I15" s="23" t="n">
        <v>15.6</v>
      </c>
      <c r="J15" s="23" t="n">
        <v>16.4</v>
      </c>
      <c r="K15" s="23" t="n">
        <v>19.1</v>
      </c>
      <c r="L15" s="23" t="n">
        <v>19.2</v>
      </c>
      <c r="M15" s="23" t="n">
        <v>18</v>
      </c>
      <c r="N15" s="23" t="n">
        <v>16.8</v>
      </c>
      <c r="O15" s="23" t="n">
        <v>15</v>
      </c>
      <c r="P15" s="23" t="n">
        <v>12.8</v>
      </c>
      <c r="Q15" s="23" t="n">
        <v>11.6</v>
      </c>
      <c r="R15" s="23" t="n">
        <v>9.8</v>
      </c>
      <c r="S15" s="23" t="n">
        <v>11.6</v>
      </c>
      <c r="T15" s="23" t="n">
        <v>10.8</v>
      </c>
      <c r="U15" s="23" t="n">
        <v>9.5</v>
      </c>
      <c r="V15" s="23" t="n">
        <v>8.7</v>
      </c>
      <c r="W15" s="23" t="n">
        <v>8.5</v>
      </c>
      <c r="X15" s="23" t="n">
        <v>7.8</v>
      </c>
    </row>
    <row r="16" customFormat="false" ht="15" hidden="false" customHeight="false" outlineLevel="0" collapsed="false">
      <c r="A16" s="12" t="s">
        <v>396</v>
      </c>
      <c r="B16" s="12" t="s">
        <v>408</v>
      </c>
      <c r="C16" s="12" t="s">
        <v>402</v>
      </c>
      <c r="D16" s="23" t="n">
        <v>5.8</v>
      </c>
      <c r="E16" s="23" t="n">
        <v>4.2</v>
      </c>
      <c r="F16" s="23" t="n">
        <v>4.6</v>
      </c>
      <c r="G16" s="23" t="n">
        <v>7.5</v>
      </c>
      <c r="H16" s="23" t="n">
        <v>13.3</v>
      </c>
      <c r="I16" s="23" t="n">
        <v>15.1</v>
      </c>
      <c r="J16" s="23" t="n">
        <v>16</v>
      </c>
      <c r="K16" s="23" t="n">
        <v>18.6</v>
      </c>
      <c r="L16" s="23" t="n">
        <v>18.7</v>
      </c>
      <c r="M16" s="23" t="n">
        <v>17.7</v>
      </c>
      <c r="N16" s="23" t="n">
        <v>16.4</v>
      </c>
      <c r="O16" s="23" t="n">
        <v>14.6</v>
      </c>
      <c r="P16" s="23" t="n">
        <v>12.4</v>
      </c>
      <c r="Q16" s="23" t="n">
        <v>11.2</v>
      </c>
      <c r="R16" s="23" t="n">
        <v>9.6</v>
      </c>
      <c r="S16" s="23" t="n">
        <v>11.3</v>
      </c>
      <c r="T16" s="23" t="n">
        <v>10.4</v>
      </c>
      <c r="U16" s="23" t="n">
        <v>9.1</v>
      </c>
      <c r="V16" s="23" t="n">
        <v>8.4</v>
      </c>
      <c r="W16" s="23" t="n">
        <v>8.3</v>
      </c>
      <c r="X16" s="23" t="n">
        <v>7.6</v>
      </c>
    </row>
    <row r="17" customFormat="false" ht="15" hidden="false" customHeight="false" outlineLevel="0" collapsed="false">
      <c r="A17" s="12" t="s">
        <v>396</v>
      </c>
      <c r="B17" s="12" t="s">
        <v>408</v>
      </c>
      <c r="C17" s="12" t="s">
        <v>403</v>
      </c>
      <c r="D17" s="23" t="n">
        <v>7</v>
      </c>
      <c r="E17" s="23" t="n">
        <v>5.6</v>
      </c>
      <c r="F17" s="23" t="n">
        <v>5.5</v>
      </c>
      <c r="G17" s="23" t="n">
        <v>8.7</v>
      </c>
      <c r="H17" s="23" t="n">
        <v>15.1</v>
      </c>
      <c r="I17" s="23" t="n">
        <v>16.5</v>
      </c>
      <c r="J17" s="23" t="n">
        <v>18.1</v>
      </c>
      <c r="K17" s="23" t="n">
        <v>21.9</v>
      </c>
      <c r="L17" s="23" t="n">
        <v>21</v>
      </c>
      <c r="M17" s="23" t="n">
        <v>20.4</v>
      </c>
      <c r="N17" s="23" t="n">
        <v>19.6</v>
      </c>
      <c r="O17" s="23" t="n">
        <v>16.9</v>
      </c>
      <c r="P17" s="23" t="n">
        <v>14.2</v>
      </c>
      <c r="Q17" s="23" t="n">
        <v>11.6</v>
      </c>
      <c r="R17" s="23" t="n">
        <v>10.8</v>
      </c>
      <c r="S17" s="23" t="n">
        <v>15.1</v>
      </c>
      <c r="T17" s="23" t="n">
        <v>12.6</v>
      </c>
      <c r="U17" s="23" t="n">
        <v>9.2</v>
      </c>
      <c r="V17" s="23" t="n">
        <v>9.4</v>
      </c>
      <c r="W17" s="23" t="n">
        <v>10.8</v>
      </c>
      <c r="X17" s="23" t="n">
        <v>10.3</v>
      </c>
    </row>
    <row r="18" customFormat="false" ht="15" hidden="false" customHeight="false" outlineLevel="0" collapsed="false">
      <c r="A18" s="12" t="s">
        <v>396</v>
      </c>
      <c r="B18" s="12" t="s">
        <v>408</v>
      </c>
      <c r="C18" s="12" t="s">
        <v>404</v>
      </c>
      <c r="D18" s="23" t="n">
        <v>5.2</v>
      </c>
      <c r="E18" s="23" t="n">
        <v>3.7</v>
      </c>
      <c r="F18" s="23" t="n">
        <v>4</v>
      </c>
      <c r="G18" s="23" t="n">
        <v>6.6</v>
      </c>
      <c r="H18" s="23" t="n">
        <v>11.8</v>
      </c>
      <c r="I18" s="23" t="n">
        <v>13.6</v>
      </c>
      <c r="J18" s="23" t="n">
        <v>14.4</v>
      </c>
      <c r="K18" s="23" t="n">
        <v>16.7</v>
      </c>
      <c r="L18" s="23" t="n">
        <v>17.1</v>
      </c>
      <c r="M18" s="23" t="n">
        <v>16.1</v>
      </c>
      <c r="N18" s="23" t="n">
        <v>14.8</v>
      </c>
      <c r="O18" s="23" t="n">
        <v>13.4</v>
      </c>
      <c r="P18" s="23" t="n">
        <v>11.2</v>
      </c>
      <c r="Q18" s="23" t="n">
        <v>10.4</v>
      </c>
      <c r="R18" s="23" t="n">
        <v>8.6</v>
      </c>
      <c r="S18" s="23" t="n">
        <v>10.4</v>
      </c>
      <c r="T18" s="23" t="n">
        <v>9.4</v>
      </c>
      <c r="U18" s="23" t="n">
        <v>8.1</v>
      </c>
      <c r="V18" s="23" t="n">
        <v>7.2</v>
      </c>
      <c r="W18" s="23" t="n">
        <v>7.4</v>
      </c>
      <c r="X18" s="23" t="n">
        <v>7</v>
      </c>
    </row>
    <row r="19" customFormat="false" ht="15" hidden="false" customHeight="false" outlineLevel="0" collapsed="false">
      <c r="A19" s="12" t="s">
        <v>396</v>
      </c>
      <c r="B19" s="12" t="s">
        <v>408</v>
      </c>
      <c r="C19" s="12" t="s">
        <v>405</v>
      </c>
      <c r="D19" s="23" t="n">
        <v>4.2</v>
      </c>
      <c r="E19" s="23" t="n">
        <v>3.3</v>
      </c>
      <c r="F19" s="23" t="n">
        <v>3.5</v>
      </c>
      <c r="G19" s="23" t="n">
        <v>5.5</v>
      </c>
      <c r="H19" s="23" t="n">
        <v>12.3</v>
      </c>
      <c r="I19" s="23" t="n">
        <v>14.6</v>
      </c>
      <c r="J19" s="23" t="n">
        <v>14.4</v>
      </c>
      <c r="K19" s="23" t="n">
        <v>14.9</v>
      </c>
      <c r="L19" s="23" t="n">
        <v>15.4</v>
      </c>
      <c r="M19" s="23" t="n">
        <v>14.6</v>
      </c>
      <c r="N19" s="23" t="n">
        <v>12.8</v>
      </c>
      <c r="O19" s="23" t="n">
        <v>11.9</v>
      </c>
      <c r="P19" s="23" t="n">
        <v>9.7</v>
      </c>
      <c r="Q19" s="23" t="n">
        <v>10.8</v>
      </c>
      <c r="R19" s="23" t="n">
        <v>8.3</v>
      </c>
      <c r="S19" s="23" t="n">
        <v>10</v>
      </c>
      <c r="T19" s="23" t="n">
        <v>8.8</v>
      </c>
      <c r="U19" s="23" t="n">
        <v>6.8</v>
      </c>
      <c r="V19" s="23" t="n">
        <v>6.3</v>
      </c>
      <c r="W19" s="23" t="n">
        <v>5.3</v>
      </c>
      <c r="X19" s="23" t="n">
        <v>5.5</v>
      </c>
    </row>
    <row r="20" customFormat="false" ht="15" hidden="false" customHeight="false" outlineLevel="0" collapsed="false">
      <c r="A20" s="12" t="s">
        <v>396</v>
      </c>
      <c r="B20" s="12" t="s">
        <v>408</v>
      </c>
      <c r="C20" s="12" t="s">
        <v>406</v>
      </c>
      <c r="D20" s="23" t="n">
        <v>4.2</v>
      </c>
      <c r="E20" s="23" t="n">
        <v>1.6</v>
      </c>
      <c r="F20" s="23" t="n">
        <v>2.8</v>
      </c>
      <c r="G20" s="23" t="n">
        <v>5.1</v>
      </c>
      <c r="H20" s="23" t="n">
        <v>8.4</v>
      </c>
      <c r="I20" s="23" t="n">
        <v>10.6</v>
      </c>
      <c r="J20" s="23" t="n">
        <v>11.9</v>
      </c>
      <c r="K20" s="23" t="n">
        <v>15.8</v>
      </c>
      <c r="L20" s="23" t="n">
        <v>16.3</v>
      </c>
      <c r="M20" s="23" t="n">
        <v>14.5</v>
      </c>
      <c r="N20" s="23" t="n">
        <v>14.3</v>
      </c>
      <c r="O20" s="23" t="n">
        <v>11.7</v>
      </c>
      <c r="P20" s="23" t="n">
        <v>10.7</v>
      </c>
      <c r="Q20" s="23" t="n">
        <v>9.4</v>
      </c>
      <c r="R20" s="23" t="n">
        <v>6.6</v>
      </c>
      <c r="S20" s="23" t="n">
        <v>7.9</v>
      </c>
      <c r="T20" s="23" t="n">
        <v>7.4</v>
      </c>
      <c r="U20" s="23" t="n">
        <v>8.4</v>
      </c>
      <c r="V20" s="23" t="n">
        <v>5.9</v>
      </c>
      <c r="W20" s="23" t="n">
        <v>6.7</v>
      </c>
      <c r="X20" s="23" t="n">
        <v>4.9</v>
      </c>
    </row>
    <row r="21" customFormat="false" ht="15" hidden="false" customHeight="false" outlineLevel="0" collapsed="false">
      <c r="A21" s="12" t="s">
        <v>396</v>
      </c>
      <c r="B21" s="12" t="s">
        <v>408</v>
      </c>
      <c r="C21" s="12" t="s">
        <v>407</v>
      </c>
      <c r="D21" s="23" t="n">
        <v>4.9</v>
      </c>
      <c r="E21" s="23" t="n">
        <v>3.5</v>
      </c>
      <c r="F21" s="23" t="n">
        <v>3.8</v>
      </c>
      <c r="G21" s="23" t="n">
        <v>6.5</v>
      </c>
      <c r="H21" s="23" t="n">
        <v>9.6</v>
      </c>
      <c r="I21" s="23" t="n">
        <v>10.9</v>
      </c>
      <c r="J21" s="23" t="n">
        <v>12</v>
      </c>
      <c r="K21" s="23" t="n">
        <v>13.7</v>
      </c>
      <c r="L21" s="23" t="n">
        <v>16.2</v>
      </c>
      <c r="M21" s="23" t="n">
        <v>15.6</v>
      </c>
      <c r="N21" s="23" t="n">
        <v>13.3</v>
      </c>
      <c r="O21" s="23" t="n">
        <v>14.9</v>
      </c>
      <c r="P21" s="23" t="n">
        <v>11.4</v>
      </c>
      <c r="Q21" s="23" t="n">
        <v>9.8</v>
      </c>
      <c r="R21" s="23" t="n">
        <v>10.2</v>
      </c>
      <c r="S21" s="23" t="n">
        <v>10.1</v>
      </c>
      <c r="T21" s="23" t="n">
        <v>10.4</v>
      </c>
      <c r="U21" s="23" t="n">
        <v>8.6</v>
      </c>
      <c r="V21" s="23" t="n">
        <v>8.4</v>
      </c>
      <c r="W21" s="23" t="n">
        <v>7.2</v>
      </c>
      <c r="X21" s="23" t="n">
        <v>8.6</v>
      </c>
    </row>
    <row r="22" customFormat="false" ht="15" hidden="false" customHeight="false" outlineLevel="0" collapsed="false">
      <c r="A22" s="12" t="s">
        <v>396</v>
      </c>
      <c r="B22" s="12" t="s">
        <v>409</v>
      </c>
      <c r="C22" s="12" t="s">
        <v>398</v>
      </c>
      <c r="D22" s="23" t="n">
        <v>19.2</v>
      </c>
      <c r="E22" s="23" t="n">
        <v>16.1</v>
      </c>
      <c r="F22" s="23" t="n">
        <v>20.5</v>
      </c>
      <c r="G22" s="23" t="n">
        <v>21.3</v>
      </c>
      <c r="H22" s="23" t="n">
        <v>31.9</v>
      </c>
      <c r="I22" s="23" t="n">
        <v>35.2</v>
      </c>
      <c r="J22" s="23" t="n">
        <v>39.3</v>
      </c>
      <c r="K22" s="23" t="n">
        <v>43.5</v>
      </c>
      <c r="L22" s="23" t="n">
        <v>48.5</v>
      </c>
      <c r="M22" s="23" t="n">
        <v>51</v>
      </c>
      <c r="N22" s="23" t="n">
        <v>41.9</v>
      </c>
      <c r="O22" s="23" t="n">
        <v>39.9</v>
      </c>
      <c r="P22" s="23" t="n">
        <v>31.4</v>
      </c>
      <c r="Q22" s="23" t="n">
        <v>24.6</v>
      </c>
      <c r="R22" s="23" t="n">
        <v>29.7</v>
      </c>
      <c r="S22" s="23" t="n">
        <v>33.2</v>
      </c>
      <c r="T22" s="23" t="n">
        <v>28.7</v>
      </c>
      <c r="U22" s="23" t="n">
        <v>26.2</v>
      </c>
      <c r="V22" s="23" t="n">
        <v>26.3</v>
      </c>
      <c r="W22" s="23" t="n">
        <v>17.8</v>
      </c>
      <c r="X22" s="23" t="n">
        <v>20.3</v>
      </c>
    </row>
    <row r="23" customFormat="false" ht="15" hidden="false" customHeight="false" outlineLevel="0" collapsed="false">
      <c r="A23" s="12" t="s">
        <v>396</v>
      </c>
      <c r="B23" s="12" t="s">
        <v>409</v>
      </c>
      <c r="C23" s="12" t="s">
        <v>399</v>
      </c>
      <c r="D23" s="23" t="n">
        <v>12</v>
      </c>
      <c r="E23" s="23" t="n">
        <v>12.6</v>
      </c>
      <c r="F23" s="23" t="n">
        <v>12.8</v>
      </c>
      <c r="G23" s="23" t="n">
        <v>14.1</v>
      </c>
      <c r="H23" s="23" t="n">
        <v>21.7</v>
      </c>
      <c r="I23" s="23" t="n">
        <v>24.7</v>
      </c>
      <c r="J23" s="23" t="n">
        <v>26.2</v>
      </c>
      <c r="K23" s="23" t="n">
        <v>28.4</v>
      </c>
      <c r="L23" s="23" t="n">
        <v>32.3</v>
      </c>
      <c r="M23" s="23" t="n">
        <v>34.4</v>
      </c>
      <c r="N23" s="23" t="n">
        <v>30.1</v>
      </c>
      <c r="O23" s="23" t="n">
        <v>29.2</v>
      </c>
      <c r="P23" s="23" t="n">
        <v>23.4</v>
      </c>
      <c r="Q23" s="23" t="n">
        <v>20.3</v>
      </c>
      <c r="R23" s="23" t="n">
        <v>19.3</v>
      </c>
      <c r="S23" s="23" t="n">
        <v>22.3</v>
      </c>
      <c r="T23" s="23" t="n">
        <v>20</v>
      </c>
      <c r="U23" s="23" t="n">
        <v>18.8</v>
      </c>
      <c r="V23" s="23" t="n">
        <v>18.8</v>
      </c>
      <c r="W23" s="23" t="n">
        <v>14.9</v>
      </c>
      <c r="X23" s="23" t="n">
        <v>12.8</v>
      </c>
    </row>
    <row r="24" customFormat="false" ht="15" hidden="false" customHeight="false" outlineLevel="0" collapsed="false">
      <c r="A24" s="12" t="s">
        <v>396</v>
      </c>
      <c r="B24" s="12" t="s">
        <v>409</v>
      </c>
      <c r="C24" s="12" t="s">
        <v>400</v>
      </c>
      <c r="D24" s="23" t="n">
        <v>7.6</v>
      </c>
      <c r="E24" s="23" t="n">
        <v>8.3</v>
      </c>
      <c r="F24" s="23" t="n">
        <v>7.8</v>
      </c>
      <c r="G24" s="23" t="n">
        <v>9.5</v>
      </c>
      <c r="H24" s="23" t="n">
        <v>13.8</v>
      </c>
      <c r="I24" s="23" t="n">
        <v>16.2</v>
      </c>
      <c r="J24" s="23" t="n">
        <v>16.3</v>
      </c>
      <c r="K24" s="23" t="n">
        <v>17.9</v>
      </c>
      <c r="L24" s="23" t="n">
        <v>20.3</v>
      </c>
      <c r="M24" s="23" t="n">
        <v>19.6</v>
      </c>
      <c r="N24" s="23" t="n">
        <v>17.3</v>
      </c>
      <c r="O24" s="23" t="n">
        <v>16.5</v>
      </c>
      <c r="P24" s="23" t="n">
        <v>13.9</v>
      </c>
      <c r="Q24" s="23" t="n">
        <v>12.9</v>
      </c>
      <c r="R24" s="23" t="n">
        <v>11.5</v>
      </c>
      <c r="S24" s="23" t="n">
        <v>13.5</v>
      </c>
      <c r="T24" s="23" t="n">
        <v>12.6</v>
      </c>
      <c r="U24" s="23" t="n">
        <v>13</v>
      </c>
      <c r="V24" s="23" t="n">
        <v>11.2</v>
      </c>
      <c r="W24" s="23" t="n">
        <v>9.5</v>
      </c>
      <c r="X24" s="23" t="n">
        <v>8.1</v>
      </c>
    </row>
    <row r="25" customFormat="false" ht="15" hidden="false" customHeight="false" outlineLevel="0" collapsed="false">
      <c r="A25" s="12" t="s">
        <v>396</v>
      </c>
      <c r="B25" s="12" t="s">
        <v>409</v>
      </c>
      <c r="C25" s="12" t="s">
        <v>401</v>
      </c>
      <c r="D25" s="23" t="n">
        <v>7.6</v>
      </c>
      <c r="E25" s="23" t="n">
        <v>8.3</v>
      </c>
      <c r="F25" s="23" t="n">
        <v>7.8</v>
      </c>
      <c r="G25" s="23" t="n">
        <v>9.5</v>
      </c>
      <c r="H25" s="23" t="n">
        <v>13.8</v>
      </c>
      <c r="I25" s="23" t="n">
        <v>16.1</v>
      </c>
      <c r="J25" s="23" t="n">
        <v>16.3</v>
      </c>
      <c r="K25" s="23" t="n">
        <v>17.9</v>
      </c>
      <c r="L25" s="23" t="n">
        <v>20.3</v>
      </c>
      <c r="M25" s="23" t="n">
        <v>19.6</v>
      </c>
      <c r="N25" s="23" t="n">
        <v>17.3</v>
      </c>
      <c r="O25" s="23" t="n">
        <v>16.5</v>
      </c>
      <c r="P25" s="23" t="n">
        <v>13.9</v>
      </c>
      <c r="Q25" s="23" t="n">
        <v>12.9</v>
      </c>
      <c r="R25" s="23" t="n">
        <v>11.5</v>
      </c>
      <c r="S25" s="23" t="n">
        <v>13.4</v>
      </c>
      <c r="T25" s="23" t="n">
        <v>12.6</v>
      </c>
      <c r="U25" s="23" t="n">
        <v>13</v>
      </c>
      <c r="V25" s="23" t="n">
        <v>11.2</v>
      </c>
      <c r="W25" s="23" t="n">
        <v>9.5</v>
      </c>
      <c r="X25" s="23" t="n">
        <v>8.1</v>
      </c>
    </row>
    <row r="26" customFormat="false" ht="15" hidden="false" customHeight="false" outlineLevel="0" collapsed="false">
      <c r="A26" s="12" t="s">
        <v>396</v>
      </c>
      <c r="B26" s="12" t="s">
        <v>409</v>
      </c>
      <c r="C26" s="12" t="s">
        <v>402</v>
      </c>
      <c r="D26" s="23" t="n">
        <v>7.2</v>
      </c>
      <c r="E26" s="23" t="n">
        <v>7.8</v>
      </c>
      <c r="F26" s="23" t="n">
        <v>7.3</v>
      </c>
      <c r="G26" s="23" t="n">
        <v>8.9</v>
      </c>
      <c r="H26" s="23" t="n">
        <v>13.4</v>
      </c>
      <c r="I26" s="23" t="n">
        <v>15.7</v>
      </c>
      <c r="J26" s="23" t="n">
        <v>15.7</v>
      </c>
      <c r="K26" s="23" t="n">
        <v>17.5</v>
      </c>
      <c r="L26" s="23" t="n">
        <v>20</v>
      </c>
      <c r="M26" s="23" t="n">
        <v>19.1</v>
      </c>
      <c r="N26" s="23" t="n">
        <v>17</v>
      </c>
      <c r="O26" s="23" t="n">
        <v>16.2</v>
      </c>
      <c r="P26" s="23" t="n">
        <v>13.7</v>
      </c>
      <c r="Q26" s="23" t="n">
        <v>12.6</v>
      </c>
      <c r="R26" s="23" t="n">
        <v>11.2</v>
      </c>
      <c r="S26" s="23" t="n">
        <v>13.2</v>
      </c>
      <c r="T26" s="23" t="n">
        <v>12.3</v>
      </c>
      <c r="U26" s="23" t="n">
        <v>12.8</v>
      </c>
      <c r="V26" s="23" t="n">
        <v>11.1</v>
      </c>
      <c r="W26" s="23" t="n">
        <v>9.3</v>
      </c>
      <c r="X26" s="23" t="n">
        <v>7.9</v>
      </c>
    </row>
    <row r="27" customFormat="false" ht="15" hidden="false" customHeight="false" outlineLevel="0" collapsed="false">
      <c r="A27" s="12" t="s">
        <v>396</v>
      </c>
      <c r="B27" s="12" t="s">
        <v>409</v>
      </c>
      <c r="C27" s="12" t="s">
        <v>403</v>
      </c>
      <c r="D27" s="23" t="n">
        <v>6.3</v>
      </c>
      <c r="E27" s="23" t="n">
        <v>8.8</v>
      </c>
      <c r="F27" s="23" t="n">
        <v>7.4</v>
      </c>
      <c r="G27" s="23" t="n">
        <v>8.9</v>
      </c>
      <c r="H27" s="23" t="n">
        <v>14</v>
      </c>
      <c r="I27" s="23" t="n">
        <v>17.7</v>
      </c>
      <c r="J27" s="23" t="n">
        <v>16.8</v>
      </c>
      <c r="K27" s="23" t="n">
        <v>16.4</v>
      </c>
      <c r="L27" s="23" t="n">
        <v>19.1</v>
      </c>
      <c r="M27" s="23" t="n">
        <v>19.1</v>
      </c>
      <c r="N27" s="23" t="n">
        <v>19</v>
      </c>
      <c r="O27" s="23" t="n">
        <v>18.1</v>
      </c>
      <c r="P27" s="23" t="n">
        <v>15.7</v>
      </c>
      <c r="Q27" s="23" t="n">
        <v>15.8</v>
      </c>
      <c r="R27" s="23" t="n">
        <v>12.5</v>
      </c>
      <c r="S27" s="23" t="n">
        <v>15.6</v>
      </c>
      <c r="T27" s="23" t="n">
        <v>12.8</v>
      </c>
      <c r="U27" s="23" t="n">
        <v>11.9</v>
      </c>
      <c r="V27" s="23" t="n">
        <v>12.9</v>
      </c>
      <c r="W27" s="23" t="n">
        <v>11.5</v>
      </c>
      <c r="X27" s="23" t="n">
        <v>6.5</v>
      </c>
    </row>
    <row r="28" customFormat="false" ht="15" hidden="false" customHeight="false" outlineLevel="0" collapsed="false">
      <c r="A28" s="12" t="s">
        <v>396</v>
      </c>
      <c r="B28" s="12" t="s">
        <v>409</v>
      </c>
      <c r="C28" s="12" t="s">
        <v>404</v>
      </c>
      <c r="D28" s="23" t="n">
        <v>6.1</v>
      </c>
      <c r="E28" s="23" t="n">
        <v>7.3</v>
      </c>
      <c r="F28" s="23" t="n">
        <v>6.3</v>
      </c>
      <c r="G28" s="23" t="n">
        <v>8.2</v>
      </c>
      <c r="H28" s="23" t="n">
        <v>12</v>
      </c>
      <c r="I28" s="23" t="n">
        <v>14.5</v>
      </c>
      <c r="J28" s="23" t="n">
        <v>14.4</v>
      </c>
      <c r="K28" s="23" t="n">
        <v>16.1</v>
      </c>
      <c r="L28" s="23" t="n">
        <v>18.3</v>
      </c>
      <c r="M28" s="23" t="n">
        <v>17.3</v>
      </c>
      <c r="N28" s="23" t="n">
        <v>15.6</v>
      </c>
      <c r="O28" s="23" t="n">
        <v>15</v>
      </c>
      <c r="P28" s="23" t="n">
        <v>12.9</v>
      </c>
      <c r="Q28" s="23" t="n">
        <v>12.1</v>
      </c>
      <c r="R28" s="23" t="n">
        <v>10.3</v>
      </c>
      <c r="S28" s="23" t="n">
        <v>12.3</v>
      </c>
      <c r="T28" s="23" t="n">
        <v>11.5</v>
      </c>
      <c r="U28" s="23" t="n">
        <v>12</v>
      </c>
      <c r="V28" s="23" t="n">
        <v>10.2</v>
      </c>
      <c r="W28" s="23" t="n">
        <v>8.9</v>
      </c>
      <c r="X28" s="23" t="n">
        <v>7.2</v>
      </c>
    </row>
    <row r="29" customFormat="false" ht="15" hidden="false" customHeight="false" outlineLevel="0" collapsed="false">
      <c r="A29" s="12" t="s">
        <v>396</v>
      </c>
      <c r="B29" s="12" t="s">
        <v>409</v>
      </c>
      <c r="C29" s="12" t="s">
        <v>405</v>
      </c>
      <c r="D29" s="23" t="n">
        <v>7.4</v>
      </c>
      <c r="E29" s="23" t="n">
        <v>6.4</v>
      </c>
      <c r="F29" s="23" t="n">
        <v>5.7</v>
      </c>
      <c r="G29" s="23" t="n">
        <v>8.1</v>
      </c>
      <c r="H29" s="23" t="n">
        <v>9.9</v>
      </c>
      <c r="I29" s="23" t="n">
        <v>13.8</v>
      </c>
      <c r="J29" s="23" t="n">
        <v>14.7</v>
      </c>
      <c r="K29" s="23" t="n">
        <v>16.5</v>
      </c>
      <c r="L29" s="23" t="n">
        <v>18.4</v>
      </c>
      <c r="M29" s="23" t="n">
        <v>16.3</v>
      </c>
      <c r="N29" s="23" t="n">
        <v>13.5</v>
      </c>
      <c r="O29" s="23" t="n">
        <v>13.8</v>
      </c>
      <c r="P29" s="23" t="n">
        <v>11.2</v>
      </c>
      <c r="Q29" s="23" t="n">
        <v>10.3</v>
      </c>
      <c r="R29" s="23" t="n">
        <v>9.3</v>
      </c>
      <c r="S29" s="23" t="n">
        <v>12.4</v>
      </c>
      <c r="T29" s="23" t="n">
        <v>11.1</v>
      </c>
      <c r="U29" s="23" t="n">
        <v>13.5</v>
      </c>
      <c r="V29" s="23" t="n">
        <v>8.5</v>
      </c>
      <c r="W29" s="23" t="n">
        <v>6.3</v>
      </c>
      <c r="X29" s="23" t="n">
        <v>6.9</v>
      </c>
    </row>
    <row r="30" customFormat="false" ht="15" hidden="false" customHeight="false" outlineLevel="0" collapsed="false">
      <c r="A30" s="12" t="s">
        <v>396</v>
      </c>
      <c r="B30" s="12" t="s">
        <v>409</v>
      </c>
      <c r="C30" s="12" t="s">
        <v>406</v>
      </c>
      <c r="D30" s="23" t="n">
        <v>5.3</v>
      </c>
      <c r="E30" s="23" t="n">
        <v>6.5</v>
      </c>
      <c r="F30" s="23" t="n">
        <v>5.4</v>
      </c>
      <c r="G30" s="23" t="n">
        <v>7.1</v>
      </c>
      <c r="H30" s="23" t="n">
        <v>11.1</v>
      </c>
      <c r="I30" s="23" t="n">
        <v>13.1</v>
      </c>
      <c r="J30" s="23" t="n">
        <v>12.6</v>
      </c>
      <c r="K30" s="23" t="n">
        <v>16.2</v>
      </c>
      <c r="L30" s="23" t="n">
        <v>17.5</v>
      </c>
      <c r="M30" s="23" t="n">
        <v>16.8</v>
      </c>
      <c r="N30" s="23" t="n">
        <v>16.3</v>
      </c>
      <c r="O30" s="23" t="n">
        <v>13.7</v>
      </c>
      <c r="P30" s="23" t="n">
        <v>13.2</v>
      </c>
      <c r="Q30" s="23" t="n">
        <v>11</v>
      </c>
      <c r="R30" s="23" t="n">
        <v>8.7</v>
      </c>
      <c r="S30" s="23" t="n">
        <v>10.2</v>
      </c>
      <c r="T30" s="23" t="n">
        <v>10.4</v>
      </c>
      <c r="U30" s="23" t="n">
        <v>11.2</v>
      </c>
      <c r="V30" s="23" t="n">
        <v>9.9</v>
      </c>
      <c r="W30" s="23" t="n">
        <v>7.9</v>
      </c>
      <c r="X30" s="23" t="n">
        <v>6.6</v>
      </c>
    </row>
    <row r="31" customFormat="false" ht="15" hidden="false" customHeight="false" outlineLevel="0" collapsed="false">
      <c r="A31" s="12" t="s">
        <v>396</v>
      </c>
      <c r="B31" s="12" t="s">
        <v>409</v>
      </c>
      <c r="C31" s="12" t="s">
        <v>407</v>
      </c>
      <c r="D31" s="23" t="n">
        <v>3.4</v>
      </c>
      <c r="E31" s="23" t="n">
        <v>6.9</v>
      </c>
      <c r="F31" s="23" t="n">
        <v>7</v>
      </c>
      <c r="G31" s="23" t="n">
        <v>9.3</v>
      </c>
      <c r="H31" s="23" t="n">
        <v>15.3</v>
      </c>
      <c r="I31" s="23" t="n">
        <v>10.6</v>
      </c>
      <c r="J31" s="23" t="n">
        <v>11.8</v>
      </c>
      <c r="K31" s="23" t="n">
        <v>14.7</v>
      </c>
      <c r="L31" s="23" t="n">
        <v>18.2</v>
      </c>
      <c r="M31" s="23" t="n">
        <v>18</v>
      </c>
      <c r="N31" s="23" t="n">
        <v>14.4</v>
      </c>
      <c r="O31" s="23" t="n">
        <v>15.5</v>
      </c>
      <c r="P31" s="23" t="n">
        <v>12.3</v>
      </c>
      <c r="Q31" s="23" t="n">
        <v>13</v>
      </c>
      <c r="R31" s="23" t="n">
        <v>12.4</v>
      </c>
      <c r="S31" s="23" t="n">
        <v>11.2</v>
      </c>
      <c r="T31" s="23" t="n">
        <v>12.6</v>
      </c>
      <c r="U31" s="23" t="n">
        <v>12.1</v>
      </c>
      <c r="V31" s="23" t="n">
        <v>10.5</v>
      </c>
      <c r="W31" s="23" t="n">
        <v>10.9</v>
      </c>
      <c r="X31" s="23" t="n">
        <v>9.2</v>
      </c>
    </row>
    <row r="32" customFormat="false" ht="15" hidden="false" customHeight="false" outlineLevel="0" collapsed="false">
      <c r="A32" s="12" t="s">
        <v>410</v>
      </c>
      <c r="B32" s="12" t="s">
        <v>397</v>
      </c>
      <c r="C32" s="12" t="s">
        <v>398</v>
      </c>
      <c r="D32" s="23" t="n">
        <v>19.6</v>
      </c>
      <c r="E32" s="23" t="n">
        <v>17.9</v>
      </c>
      <c r="F32" s="23" t="n">
        <v>18.1</v>
      </c>
      <c r="G32" s="23" t="n">
        <v>24.5</v>
      </c>
      <c r="H32" s="23" t="n">
        <v>37.7</v>
      </c>
      <c r="I32" s="23" t="n">
        <v>41.5</v>
      </c>
      <c r="J32" s="23" t="n">
        <v>46.2</v>
      </c>
      <c r="K32" s="23" t="n">
        <v>52.9</v>
      </c>
      <c r="L32" s="23" t="n">
        <v>55.5</v>
      </c>
      <c r="M32" s="23" t="n">
        <v>53.2</v>
      </c>
      <c r="N32" s="23" t="n">
        <v>48.3</v>
      </c>
      <c r="O32" s="23" t="n">
        <v>44.4</v>
      </c>
      <c r="P32" s="23" t="n">
        <v>38.6</v>
      </c>
      <c r="Q32" s="23" t="n">
        <v>34.3</v>
      </c>
      <c r="R32" s="23" t="n">
        <v>32.5</v>
      </c>
      <c r="S32" s="23" t="n">
        <v>38.3</v>
      </c>
      <c r="T32" s="23" t="n">
        <v>35</v>
      </c>
      <c r="U32" s="23" t="n">
        <v>29.7</v>
      </c>
      <c r="V32" s="23" t="n">
        <v>28.7</v>
      </c>
      <c r="W32" s="23" t="n">
        <v>26.5</v>
      </c>
      <c r="X32" s="23" t="n">
        <v>24.9</v>
      </c>
    </row>
    <row r="33" customFormat="false" ht="15" hidden="false" customHeight="false" outlineLevel="0" collapsed="false">
      <c r="A33" s="12" t="s">
        <v>410</v>
      </c>
      <c r="B33" s="12" t="s">
        <v>397</v>
      </c>
      <c r="C33" s="12" t="s">
        <v>399</v>
      </c>
      <c r="D33" s="23" t="n">
        <v>14.8</v>
      </c>
      <c r="E33" s="23" t="n">
        <v>13.5</v>
      </c>
      <c r="F33" s="23" t="n">
        <v>12.9</v>
      </c>
      <c r="G33" s="23" t="n">
        <v>18.2</v>
      </c>
      <c r="H33" s="23" t="n">
        <v>28.5</v>
      </c>
      <c r="I33" s="23" t="n">
        <v>31.7</v>
      </c>
      <c r="J33" s="23" t="n">
        <v>34.6</v>
      </c>
      <c r="K33" s="23" t="n">
        <v>40.3</v>
      </c>
      <c r="L33" s="23" t="n">
        <v>42.4</v>
      </c>
      <c r="M33" s="23" t="n">
        <v>39.7</v>
      </c>
      <c r="N33" s="23" t="n">
        <v>36.7</v>
      </c>
      <c r="O33" s="23" t="n">
        <v>33.3</v>
      </c>
      <c r="P33" s="23" t="n">
        <v>29.4</v>
      </c>
      <c r="Q33" s="23" t="n">
        <v>26.2</v>
      </c>
      <c r="R33" s="23" t="n">
        <v>24.7</v>
      </c>
      <c r="S33" s="23" t="n">
        <v>29.2</v>
      </c>
      <c r="T33" s="23" t="n">
        <v>27.2</v>
      </c>
      <c r="U33" s="23" t="n">
        <v>22.3</v>
      </c>
      <c r="V33" s="23" t="n">
        <v>21.4</v>
      </c>
      <c r="W33" s="23" t="n">
        <v>20.2</v>
      </c>
      <c r="X33" s="23" t="n">
        <v>18.6</v>
      </c>
    </row>
    <row r="34" customFormat="false" ht="15" hidden="false" customHeight="false" outlineLevel="0" collapsed="false">
      <c r="A34" s="12" t="s">
        <v>410</v>
      </c>
      <c r="B34" s="12" t="s">
        <v>397</v>
      </c>
      <c r="C34" s="12" t="s">
        <v>400</v>
      </c>
      <c r="D34" s="23" t="n">
        <v>9.2</v>
      </c>
      <c r="E34" s="23" t="n">
        <v>8.5</v>
      </c>
      <c r="F34" s="23" t="n">
        <v>8.2</v>
      </c>
      <c r="G34" s="23" t="n">
        <v>11.3</v>
      </c>
      <c r="H34" s="23" t="n">
        <v>17.9</v>
      </c>
      <c r="I34" s="23" t="n">
        <v>19.9</v>
      </c>
      <c r="J34" s="23" t="n">
        <v>21.4</v>
      </c>
      <c r="K34" s="23" t="n">
        <v>24.8</v>
      </c>
      <c r="L34" s="23" t="n">
        <v>26.1</v>
      </c>
      <c r="M34" s="23" t="n">
        <v>24.5</v>
      </c>
      <c r="N34" s="23" t="n">
        <v>22.1</v>
      </c>
      <c r="O34" s="23" t="n">
        <v>19.6</v>
      </c>
      <c r="P34" s="23" t="n">
        <v>17.2</v>
      </c>
      <c r="Q34" s="23" t="n">
        <v>15.3</v>
      </c>
      <c r="R34" s="23" t="n">
        <v>14.1</v>
      </c>
      <c r="S34" s="23" t="n">
        <v>15.5</v>
      </c>
      <c r="T34" s="23" t="n">
        <v>14.9</v>
      </c>
      <c r="U34" s="23" t="n">
        <v>13</v>
      </c>
      <c r="V34" s="23" t="n">
        <v>12.2</v>
      </c>
      <c r="W34" s="23" t="n">
        <v>11.4</v>
      </c>
      <c r="X34" s="23" t="n">
        <v>10.5</v>
      </c>
    </row>
    <row r="35" customFormat="false" ht="15" hidden="false" customHeight="false" outlineLevel="0" collapsed="false">
      <c r="A35" s="12" t="s">
        <v>410</v>
      </c>
      <c r="B35" s="12" t="s">
        <v>397</v>
      </c>
      <c r="C35" s="12" t="s">
        <v>401</v>
      </c>
      <c r="D35" s="23" t="n">
        <v>9.1</v>
      </c>
      <c r="E35" s="23" t="n">
        <v>8.5</v>
      </c>
      <c r="F35" s="23" t="n">
        <v>8.2</v>
      </c>
      <c r="G35" s="23" t="n">
        <v>11.3</v>
      </c>
      <c r="H35" s="23" t="n">
        <v>17.9</v>
      </c>
      <c r="I35" s="23" t="n">
        <v>19.9</v>
      </c>
      <c r="J35" s="23" t="n">
        <v>21.4</v>
      </c>
      <c r="K35" s="23" t="n">
        <v>24.8</v>
      </c>
      <c r="L35" s="23" t="n">
        <v>26.1</v>
      </c>
      <c r="M35" s="23" t="n">
        <v>24.4</v>
      </c>
      <c r="N35" s="23" t="n">
        <v>22.1</v>
      </c>
      <c r="O35" s="23" t="n">
        <v>19.6</v>
      </c>
      <c r="P35" s="23" t="n">
        <v>17.2</v>
      </c>
      <c r="Q35" s="23" t="n">
        <v>15.3</v>
      </c>
      <c r="R35" s="23" t="n">
        <v>14.1</v>
      </c>
      <c r="S35" s="23" t="n">
        <v>15.5</v>
      </c>
      <c r="T35" s="23" t="n">
        <v>14.9</v>
      </c>
      <c r="U35" s="23" t="n">
        <v>13</v>
      </c>
      <c r="V35" s="23" t="n">
        <v>12.2</v>
      </c>
      <c r="W35" s="23" t="n">
        <v>11.3</v>
      </c>
      <c r="X35" s="23" t="n">
        <v>10.5</v>
      </c>
    </row>
    <row r="36" customFormat="false" ht="15" hidden="false" customHeight="false" outlineLevel="0" collapsed="false">
      <c r="A36" s="12" t="s">
        <v>410</v>
      </c>
      <c r="B36" s="12" t="s">
        <v>397</v>
      </c>
      <c r="C36" s="12" t="s">
        <v>402</v>
      </c>
      <c r="D36" s="23" t="n">
        <v>8.7</v>
      </c>
      <c r="E36" s="23" t="n">
        <v>8</v>
      </c>
      <c r="F36" s="23" t="n">
        <v>7.8</v>
      </c>
      <c r="G36" s="23" t="n">
        <v>10.6</v>
      </c>
      <c r="H36" s="23" t="n">
        <v>17.2</v>
      </c>
      <c r="I36" s="23" t="n">
        <v>19.3</v>
      </c>
      <c r="J36" s="23" t="n">
        <v>20.9</v>
      </c>
      <c r="K36" s="23" t="n">
        <v>24.3</v>
      </c>
      <c r="L36" s="23" t="n">
        <v>25.6</v>
      </c>
      <c r="M36" s="23" t="n">
        <v>24.1</v>
      </c>
      <c r="N36" s="23" t="n">
        <v>21.7</v>
      </c>
      <c r="O36" s="23" t="n">
        <v>19.3</v>
      </c>
      <c r="P36" s="23" t="n">
        <v>16.9</v>
      </c>
      <c r="Q36" s="23" t="n">
        <v>14.9</v>
      </c>
      <c r="R36" s="23" t="n">
        <v>13.8</v>
      </c>
      <c r="S36" s="23" t="n">
        <v>15.2</v>
      </c>
      <c r="T36" s="23" t="n">
        <v>14.6</v>
      </c>
      <c r="U36" s="23" t="n">
        <v>12.7</v>
      </c>
      <c r="V36" s="23" t="n">
        <v>11.9</v>
      </c>
      <c r="W36" s="23" t="n">
        <v>11</v>
      </c>
      <c r="X36" s="23" t="n">
        <v>10.3</v>
      </c>
    </row>
    <row r="37" customFormat="false" ht="15" hidden="false" customHeight="false" outlineLevel="0" collapsed="false">
      <c r="A37" s="12" t="s">
        <v>410</v>
      </c>
      <c r="B37" s="12" t="s">
        <v>397</v>
      </c>
      <c r="C37" s="12" t="s">
        <v>403</v>
      </c>
      <c r="D37" s="23" t="n">
        <v>9.5</v>
      </c>
      <c r="E37" s="23" t="n">
        <v>8.9</v>
      </c>
      <c r="F37" s="23" t="n">
        <v>8.1</v>
      </c>
      <c r="G37" s="23" t="n">
        <v>11.7</v>
      </c>
      <c r="H37" s="23" t="n">
        <v>19.2</v>
      </c>
      <c r="I37" s="23" t="n">
        <v>21.6</v>
      </c>
      <c r="J37" s="23" t="n">
        <v>23.5</v>
      </c>
      <c r="K37" s="23" t="n">
        <v>27.6</v>
      </c>
      <c r="L37" s="23" t="n">
        <v>29.1</v>
      </c>
      <c r="M37" s="23" t="n">
        <v>26.8</v>
      </c>
      <c r="N37" s="23" t="n">
        <v>24.6</v>
      </c>
      <c r="O37" s="23" t="n">
        <v>22.1</v>
      </c>
      <c r="P37" s="23" t="n">
        <v>19.5</v>
      </c>
      <c r="Q37" s="23" t="n">
        <v>17.6</v>
      </c>
      <c r="R37" s="23" t="n">
        <v>16.2</v>
      </c>
      <c r="S37" s="23" t="n">
        <v>19.6</v>
      </c>
      <c r="T37" s="23" t="n">
        <v>18.3</v>
      </c>
      <c r="U37" s="23" t="n">
        <v>14.6</v>
      </c>
      <c r="V37" s="23" t="n">
        <v>13.7</v>
      </c>
      <c r="W37" s="23" t="n">
        <v>13</v>
      </c>
      <c r="X37" s="23" t="n">
        <v>11.5</v>
      </c>
    </row>
    <row r="38" customFormat="false" ht="15" hidden="false" customHeight="false" outlineLevel="0" collapsed="false">
      <c r="A38" s="12" t="s">
        <v>410</v>
      </c>
      <c r="B38" s="12" t="s">
        <v>397</v>
      </c>
      <c r="C38" s="12" t="s">
        <v>404</v>
      </c>
      <c r="D38" s="23" t="n">
        <v>7.7</v>
      </c>
      <c r="E38" s="23" t="n">
        <v>7.2</v>
      </c>
      <c r="F38" s="23" t="n">
        <v>7</v>
      </c>
      <c r="G38" s="23" t="n">
        <v>9.7</v>
      </c>
      <c r="H38" s="23" t="n">
        <v>15.7</v>
      </c>
      <c r="I38" s="23" t="n">
        <v>17.8</v>
      </c>
      <c r="J38" s="23" t="n">
        <v>19.2</v>
      </c>
      <c r="K38" s="23" t="n">
        <v>22.4</v>
      </c>
      <c r="L38" s="23" t="n">
        <v>23.7</v>
      </c>
      <c r="M38" s="23" t="n">
        <v>22.3</v>
      </c>
      <c r="N38" s="23" t="n">
        <v>20.1</v>
      </c>
      <c r="O38" s="23" t="n">
        <v>17.9</v>
      </c>
      <c r="P38" s="23" t="n">
        <v>15.7</v>
      </c>
      <c r="Q38" s="23" t="n">
        <v>13.9</v>
      </c>
      <c r="R38" s="23" t="n">
        <v>12.8</v>
      </c>
      <c r="S38" s="23" t="n">
        <v>14</v>
      </c>
      <c r="T38" s="23" t="n">
        <v>13.5</v>
      </c>
      <c r="U38" s="23" t="n">
        <v>11.8</v>
      </c>
      <c r="V38" s="23" t="n">
        <v>10.9</v>
      </c>
      <c r="W38" s="23" t="n">
        <v>10.1</v>
      </c>
      <c r="X38" s="23" t="n">
        <v>9.4</v>
      </c>
    </row>
    <row r="39" customFormat="false" ht="15" hidden="false" customHeight="false" outlineLevel="0" collapsed="false">
      <c r="A39" s="12" t="s">
        <v>410</v>
      </c>
      <c r="B39" s="12" t="s">
        <v>397</v>
      </c>
      <c r="C39" s="12" t="s">
        <v>405</v>
      </c>
      <c r="D39" s="23" t="n">
        <v>7.4</v>
      </c>
      <c r="E39" s="23" t="n">
        <v>7</v>
      </c>
      <c r="F39" s="23" t="n">
        <v>6.8</v>
      </c>
      <c r="G39" s="23" t="n">
        <v>9.6</v>
      </c>
      <c r="H39" s="23" t="n">
        <v>15.7</v>
      </c>
      <c r="I39" s="23" t="n">
        <v>17.6</v>
      </c>
      <c r="J39" s="23" t="n">
        <v>18.9</v>
      </c>
      <c r="K39" s="23" t="n">
        <v>21.8</v>
      </c>
      <c r="L39" s="23" t="n">
        <v>22.6</v>
      </c>
      <c r="M39" s="23" t="n">
        <v>21.1</v>
      </c>
      <c r="N39" s="23" t="n">
        <v>18.5</v>
      </c>
      <c r="O39" s="23" t="n">
        <v>16.4</v>
      </c>
      <c r="P39" s="23" t="n">
        <v>14.2</v>
      </c>
      <c r="Q39" s="23" t="n">
        <v>12.4</v>
      </c>
      <c r="R39" s="23" t="n">
        <v>11.5</v>
      </c>
      <c r="S39" s="23" t="n">
        <v>13</v>
      </c>
      <c r="T39" s="23" t="n">
        <v>12.2</v>
      </c>
      <c r="U39" s="23" t="n">
        <v>11</v>
      </c>
      <c r="V39" s="23" t="n">
        <v>10</v>
      </c>
      <c r="W39" s="23" t="n">
        <v>9.1</v>
      </c>
      <c r="X39" s="23" t="n">
        <v>8.8</v>
      </c>
    </row>
    <row r="40" customFormat="false" ht="15" hidden="false" customHeight="false" outlineLevel="0" collapsed="false">
      <c r="A40" s="12" t="s">
        <v>410</v>
      </c>
      <c r="B40" s="12" t="s">
        <v>397</v>
      </c>
      <c r="C40" s="12" t="s">
        <v>406</v>
      </c>
      <c r="D40" s="23" t="n">
        <v>6.3</v>
      </c>
      <c r="E40" s="23" t="n">
        <v>6</v>
      </c>
      <c r="F40" s="23" t="n">
        <v>6.3</v>
      </c>
      <c r="G40" s="23" t="n">
        <v>8.4</v>
      </c>
      <c r="H40" s="23" t="n">
        <v>13.4</v>
      </c>
      <c r="I40" s="23" t="n">
        <v>15.3</v>
      </c>
      <c r="J40" s="23" t="n">
        <v>17.1</v>
      </c>
      <c r="K40" s="23" t="n">
        <v>20.5</v>
      </c>
      <c r="L40" s="23" t="n">
        <v>22.2</v>
      </c>
      <c r="M40" s="23" t="n">
        <v>21.2</v>
      </c>
      <c r="N40" s="23" t="n">
        <v>19.5</v>
      </c>
      <c r="O40" s="23" t="n">
        <v>17.2</v>
      </c>
      <c r="P40" s="23" t="n">
        <v>15.1</v>
      </c>
      <c r="Q40" s="23" t="n">
        <v>13.2</v>
      </c>
      <c r="R40" s="23" t="n">
        <v>12</v>
      </c>
      <c r="S40" s="23" t="n">
        <v>12.3</v>
      </c>
      <c r="T40" s="23" t="n">
        <v>11.9</v>
      </c>
      <c r="U40" s="23" t="n">
        <v>11</v>
      </c>
      <c r="V40" s="23" t="n">
        <v>9.7</v>
      </c>
      <c r="W40" s="23" t="n">
        <v>9</v>
      </c>
      <c r="X40" s="23" t="n">
        <v>8.1</v>
      </c>
    </row>
    <row r="41" customFormat="false" ht="15" hidden="false" customHeight="false" outlineLevel="0" collapsed="false">
      <c r="A41" s="12" t="s">
        <v>410</v>
      </c>
      <c r="B41" s="12" t="s">
        <v>397</v>
      </c>
      <c r="C41" s="12" t="s">
        <v>407</v>
      </c>
      <c r="D41" s="23" t="n">
        <v>6.3</v>
      </c>
      <c r="E41" s="23" t="n">
        <v>5.8</v>
      </c>
      <c r="F41" s="23" t="n">
        <v>6</v>
      </c>
      <c r="G41" s="23" t="n">
        <v>7.4</v>
      </c>
      <c r="H41" s="23" t="n">
        <v>12.1</v>
      </c>
      <c r="I41" s="23" t="n">
        <v>14.2</v>
      </c>
      <c r="J41" s="23" t="n">
        <v>15.1</v>
      </c>
      <c r="K41" s="23" t="n">
        <v>18</v>
      </c>
      <c r="L41" s="23" t="n">
        <v>20</v>
      </c>
      <c r="M41" s="23" t="n">
        <v>20</v>
      </c>
      <c r="N41" s="23" t="n">
        <v>18.6</v>
      </c>
      <c r="O41" s="23" t="n">
        <v>17</v>
      </c>
      <c r="P41" s="23" t="n">
        <v>15.3</v>
      </c>
      <c r="Q41" s="23" t="n">
        <v>13.8</v>
      </c>
      <c r="R41" s="23" t="n">
        <v>12.6</v>
      </c>
      <c r="S41" s="23" t="n">
        <v>12.5</v>
      </c>
      <c r="T41" s="23" t="n">
        <v>13.4</v>
      </c>
      <c r="U41" s="23" t="n">
        <v>11.8</v>
      </c>
      <c r="V41" s="23" t="n">
        <v>11.4</v>
      </c>
      <c r="W41" s="23" t="n">
        <v>10.5</v>
      </c>
      <c r="X41" s="23" t="n">
        <v>10.1</v>
      </c>
    </row>
    <row r="42" customFormat="false" ht="15" hidden="false" customHeight="false" outlineLevel="0" collapsed="false">
      <c r="A42" s="12" t="s">
        <v>410</v>
      </c>
      <c r="B42" s="12" t="s">
        <v>408</v>
      </c>
      <c r="C42" s="12" t="s">
        <v>398</v>
      </c>
      <c r="D42" s="23" t="n">
        <v>16.7</v>
      </c>
      <c r="E42" s="23" t="n">
        <v>15</v>
      </c>
      <c r="F42" s="23" t="n">
        <v>15.2</v>
      </c>
      <c r="G42" s="23" t="n">
        <v>23.6</v>
      </c>
      <c r="H42" s="23" t="n">
        <v>39.1</v>
      </c>
      <c r="I42" s="23" t="n">
        <v>43.1</v>
      </c>
      <c r="J42" s="23" t="n">
        <v>48.2</v>
      </c>
      <c r="K42" s="23" t="n">
        <v>54.1</v>
      </c>
      <c r="L42" s="23" t="n">
        <v>56.2</v>
      </c>
      <c r="M42" s="23" t="n">
        <v>53.4</v>
      </c>
      <c r="N42" s="23" t="n">
        <v>48.6</v>
      </c>
      <c r="O42" s="23" t="n">
        <v>44</v>
      </c>
      <c r="P42" s="23" t="n">
        <v>39.5</v>
      </c>
      <c r="Q42" s="23" t="n">
        <v>35.2</v>
      </c>
      <c r="R42" s="23" t="n">
        <v>30.9</v>
      </c>
      <c r="S42" s="23" t="n">
        <v>37.1</v>
      </c>
      <c r="T42" s="23" t="n">
        <v>34</v>
      </c>
      <c r="U42" s="23" t="n">
        <v>28.7</v>
      </c>
      <c r="V42" s="23" t="n">
        <v>28.8</v>
      </c>
      <c r="W42" s="23" t="n">
        <v>26</v>
      </c>
      <c r="X42" s="23" t="n">
        <v>24.1</v>
      </c>
    </row>
    <row r="43" customFormat="false" ht="15" hidden="false" customHeight="false" outlineLevel="0" collapsed="false">
      <c r="A43" s="12" t="s">
        <v>410</v>
      </c>
      <c r="B43" s="12" t="s">
        <v>408</v>
      </c>
      <c r="C43" s="12" t="s">
        <v>399</v>
      </c>
      <c r="D43" s="23" t="n">
        <v>12.5</v>
      </c>
      <c r="E43" s="23" t="n">
        <v>11.1</v>
      </c>
      <c r="F43" s="23" t="n">
        <v>10.9</v>
      </c>
      <c r="G43" s="23" t="n">
        <v>17.9</v>
      </c>
      <c r="H43" s="23" t="n">
        <v>30.2</v>
      </c>
      <c r="I43" s="23" t="n">
        <v>33.3</v>
      </c>
      <c r="J43" s="23" t="n">
        <v>36</v>
      </c>
      <c r="K43" s="23" t="n">
        <v>42.1</v>
      </c>
      <c r="L43" s="23" t="n">
        <v>43.7</v>
      </c>
      <c r="M43" s="23" t="n">
        <v>40.2</v>
      </c>
      <c r="N43" s="23" t="n">
        <v>37.3</v>
      </c>
      <c r="O43" s="23" t="n">
        <v>32.9</v>
      </c>
      <c r="P43" s="23" t="n">
        <v>29.5</v>
      </c>
      <c r="Q43" s="23" t="n">
        <v>26.2</v>
      </c>
      <c r="R43" s="23" t="n">
        <v>24.1</v>
      </c>
      <c r="S43" s="23" t="n">
        <v>28.5</v>
      </c>
      <c r="T43" s="23" t="n">
        <v>26.9</v>
      </c>
      <c r="U43" s="23" t="n">
        <v>21.6</v>
      </c>
      <c r="V43" s="23" t="n">
        <v>21.3</v>
      </c>
      <c r="W43" s="23" t="n">
        <v>20</v>
      </c>
      <c r="X43" s="23" t="n">
        <v>18.3</v>
      </c>
    </row>
    <row r="44" customFormat="false" ht="15" hidden="false" customHeight="false" outlineLevel="0" collapsed="false">
      <c r="A44" s="12" t="s">
        <v>410</v>
      </c>
      <c r="B44" s="12" t="s">
        <v>408</v>
      </c>
      <c r="C44" s="12" t="s">
        <v>400</v>
      </c>
      <c r="D44" s="23" t="n">
        <v>7.1</v>
      </c>
      <c r="E44" s="23" t="n">
        <v>6.4</v>
      </c>
      <c r="F44" s="23" t="n">
        <v>6.4</v>
      </c>
      <c r="G44" s="23" t="n">
        <v>10.1</v>
      </c>
      <c r="H44" s="23" t="n">
        <v>17.7</v>
      </c>
      <c r="I44" s="23" t="n">
        <v>19.6</v>
      </c>
      <c r="J44" s="23" t="n">
        <v>21.1</v>
      </c>
      <c r="K44" s="23" t="n">
        <v>24.6</v>
      </c>
      <c r="L44" s="23" t="n">
        <v>25.6</v>
      </c>
      <c r="M44" s="23" t="n">
        <v>23.6</v>
      </c>
      <c r="N44" s="23" t="n">
        <v>20.8</v>
      </c>
      <c r="O44" s="23" t="n">
        <v>18.1</v>
      </c>
      <c r="P44" s="23" t="n">
        <v>15.7</v>
      </c>
      <c r="Q44" s="23" t="n">
        <v>13.7</v>
      </c>
      <c r="R44" s="23" t="n">
        <v>12.5</v>
      </c>
      <c r="S44" s="23" t="n">
        <v>13.9</v>
      </c>
      <c r="T44" s="23" t="n">
        <v>13.2</v>
      </c>
      <c r="U44" s="23" t="n">
        <v>11.4</v>
      </c>
      <c r="V44" s="23" t="n">
        <v>10.7</v>
      </c>
      <c r="W44" s="23" t="n">
        <v>10.2</v>
      </c>
      <c r="X44" s="23" t="n">
        <v>9.3</v>
      </c>
    </row>
    <row r="45" customFormat="false" ht="15" hidden="false" customHeight="false" outlineLevel="0" collapsed="false">
      <c r="A45" s="12" t="s">
        <v>410</v>
      </c>
      <c r="B45" s="12" t="s">
        <v>408</v>
      </c>
      <c r="C45" s="12" t="s">
        <v>401</v>
      </c>
      <c r="D45" s="23" t="n">
        <v>7.1</v>
      </c>
      <c r="E45" s="23" t="n">
        <v>6.3</v>
      </c>
      <c r="F45" s="23" t="n">
        <v>6.4</v>
      </c>
      <c r="G45" s="23" t="n">
        <v>10.1</v>
      </c>
      <c r="H45" s="23" t="n">
        <v>17.6</v>
      </c>
      <c r="I45" s="23" t="n">
        <v>19.6</v>
      </c>
      <c r="J45" s="23" t="n">
        <v>21</v>
      </c>
      <c r="K45" s="23" t="n">
        <v>24.6</v>
      </c>
      <c r="L45" s="23" t="n">
        <v>25.6</v>
      </c>
      <c r="M45" s="23" t="n">
        <v>23.6</v>
      </c>
      <c r="N45" s="23" t="n">
        <v>20.8</v>
      </c>
      <c r="O45" s="23" t="n">
        <v>18.1</v>
      </c>
      <c r="P45" s="23" t="n">
        <v>15.7</v>
      </c>
      <c r="Q45" s="23" t="n">
        <v>13.7</v>
      </c>
      <c r="R45" s="23" t="n">
        <v>12.4</v>
      </c>
      <c r="S45" s="23" t="n">
        <v>13.9</v>
      </c>
      <c r="T45" s="23" t="n">
        <v>13.2</v>
      </c>
      <c r="U45" s="23" t="n">
        <v>11.4</v>
      </c>
      <c r="V45" s="23" t="n">
        <v>10.7</v>
      </c>
      <c r="W45" s="23" t="n">
        <v>10.2</v>
      </c>
      <c r="X45" s="23" t="n">
        <v>9.3</v>
      </c>
    </row>
    <row r="46" customFormat="false" ht="15" hidden="false" customHeight="false" outlineLevel="0" collapsed="false">
      <c r="A46" s="12" t="s">
        <v>410</v>
      </c>
      <c r="B46" s="12" t="s">
        <v>408</v>
      </c>
      <c r="C46" s="12" t="s">
        <v>402</v>
      </c>
      <c r="D46" s="23" t="n">
        <v>6.7</v>
      </c>
      <c r="E46" s="23" t="n">
        <v>5.9</v>
      </c>
      <c r="F46" s="23" t="n">
        <v>6</v>
      </c>
      <c r="G46" s="23" t="n">
        <v>9.5</v>
      </c>
      <c r="H46" s="23" t="n">
        <v>16.9</v>
      </c>
      <c r="I46" s="23" t="n">
        <v>18.9</v>
      </c>
      <c r="J46" s="23" t="n">
        <v>20.5</v>
      </c>
      <c r="K46" s="23" t="n">
        <v>24.1</v>
      </c>
      <c r="L46" s="23" t="n">
        <v>25.1</v>
      </c>
      <c r="M46" s="23" t="n">
        <v>23.2</v>
      </c>
      <c r="N46" s="23" t="n">
        <v>20.4</v>
      </c>
      <c r="O46" s="23" t="n">
        <v>17.8</v>
      </c>
      <c r="P46" s="23" t="n">
        <v>15.3</v>
      </c>
      <c r="Q46" s="23" t="n">
        <v>13.4</v>
      </c>
      <c r="R46" s="23" t="n">
        <v>12.1</v>
      </c>
      <c r="S46" s="23" t="n">
        <v>13.6</v>
      </c>
      <c r="T46" s="23" t="n">
        <v>12.9</v>
      </c>
      <c r="U46" s="23" t="n">
        <v>11</v>
      </c>
      <c r="V46" s="23" t="n">
        <v>10.3</v>
      </c>
      <c r="W46" s="23" t="n">
        <v>9.8</v>
      </c>
      <c r="X46" s="23" t="n">
        <v>9</v>
      </c>
    </row>
    <row r="47" customFormat="false" ht="15" hidden="false" customHeight="false" outlineLevel="0" collapsed="false">
      <c r="A47" s="12" t="s">
        <v>410</v>
      </c>
      <c r="B47" s="12" t="s">
        <v>408</v>
      </c>
      <c r="C47" s="12" t="s">
        <v>403</v>
      </c>
      <c r="D47" s="23" t="n">
        <v>7.5</v>
      </c>
      <c r="E47" s="23" t="n">
        <v>6.8</v>
      </c>
      <c r="F47" s="23" t="n">
        <v>6.5</v>
      </c>
      <c r="G47" s="23" t="n">
        <v>11</v>
      </c>
      <c r="H47" s="23" t="n">
        <v>19.9</v>
      </c>
      <c r="I47" s="23" t="n">
        <v>22.1</v>
      </c>
      <c r="J47" s="23" t="n">
        <v>23.8</v>
      </c>
      <c r="K47" s="23" t="n">
        <v>28.7</v>
      </c>
      <c r="L47" s="23" t="n">
        <v>29.4</v>
      </c>
      <c r="M47" s="23" t="n">
        <v>26.4</v>
      </c>
      <c r="N47" s="23" t="n">
        <v>24</v>
      </c>
      <c r="O47" s="23" t="n">
        <v>20.8</v>
      </c>
      <c r="P47" s="23" t="n">
        <v>18.3</v>
      </c>
      <c r="Q47" s="23" t="n">
        <v>16.1</v>
      </c>
      <c r="R47" s="23" t="n">
        <v>15</v>
      </c>
      <c r="S47" s="23" t="n">
        <v>18.3</v>
      </c>
      <c r="T47" s="23" t="n">
        <v>17.9</v>
      </c>
      <c r="U47" s="23" t="n">
        <v>13.7</v>
      </c>
      <c r="V47" s="23" t="n">
        <v>12.7</v>
      </c>
      <c r="W47" s="23" t="n">
        <v>12.5</v>
      </c>
      <c r="X47" s="23" t="n">
        <v>11.3</v>
      </c>
    </row>
    <row r="48" customFormat="false" ht="15" hidden="false" customHeight="false" outlineLevel="0" collapsed="false">
      <c r="A48" s="12" t="s">
        <v>410</v>
      </c>
      <c r="B48" s="12" t="s">
        <v>408</v>
      </c>
      <c r="C48" s="12" t="s">
        <v>404</v>
      </c>
      <c r="D48" s="23" t="n">
        <v>5.9</v>
      </c>
      <c r="E48" s="23" t="n">
        <v>5.3</v>
      </c>
      <c r="F48" s="23" t="n">
        <v>5.4</v>
      </c>
      <c r="G48" s="23" t="n">
        <v>8.5</v>
      </c>
      <c r="H48" s="23" t="n">
        <v>15.4</v>
      </c>
      <c r="I48" s="23" t="n">
        <v>17.4</v>
      </c>
      <c r="J48" s="23" t="n">
        <v>18.7</v>
      </c>
      <c r="K48" s="23" t="n">
        <v>22.2</v>
      </c>
      <c r="L48" s="23" t="n">
        <v>23.2</v>
      </c>
      <c r="M48" s="23" t="n">
        <v>21.4</v>
      </c>
      <c r="N48" s="23" t="n">
        <v>18.8</v>
      </c>
      <c r="O48" s="23" t="n">
        <v>16.3</v>
      </c>
      <c r="P48" s="23" t="n">
        <v>14</v>
      </c>
      <c r="Q48" s="23" t="n">
        <v>12.2</v>
      </c>
      <c r="R48" s="23" t="n">
        <v>11.1</v>
      </c>
      <c r="S48" s="23" t="n">
        <v>12.2</v>
      </c>
      <c r="T48" s="23" t="n">
        <v>11.7</v>
      </c>
      <c r="U48" s="23" t="n">
        <v>10.1</v>
      </c>
      <c r="V48" s="23" t="n">
        <v>9.2</v>
      </c>
      <c r="W48" s="23" t="n">
        <v>8.8</v>
      </c>
      <c r="X48" s="23" t="n">
        <v>8.1</v>
      </c>
    </row>
    <row r="49" customFormat="false" ht="15" hidden="false" customHeight="false" outlineLevel="0" collapsed="false">
      <c r="A49" s="12" t="s">
        <v>410</v>
      </c>
      <c r="B49" s="12" t="s">
        <v>408</v>
      </c>
      <c r="C49" s="12" t="s">
        <v>405</v>
      </c>
      <c r="D49" s="23" t="n">
        <v>5.2</v>
      </c>
      <c r="E49" s="23" t="n">
        <v>4.9</v>
      </c>
      <c r="F49" s="23" t="n">
        <v>4.9</v>
      </c>
      <c r="G49" s="23" t="n">
        <v>8</v>
      </c>
      <c r="H49" s="23" t="n">
        <v>15.3</v>
      </c>
      <c r="I49" s="23" t="n">
        <v>16.7</v>
      </c>
      <c r="J49" s="23" t="n">
        <v>17.9</v>
      </c>
      <c r="K49" s="23" t="n">
        <v>20.7</v>
      </c>
      <c r="L49" s="23" t="n">
        <v>21.4</v>
      </c>
      <c r="M49" s="23" t="n">
        <v>19.5</v>
      </c>
      <c r="N49" s="23" t="n">
        <v>16.4</v>
      </c>
      <c r="O49" s="23" t="n">
        <v>14.4</v>
      </c>
      <c r="P49" s="23" t="n">
        <v>11.7</v>
      </c>
      <c r="Q49" s="23" t="n">
        <v>10.3</v>
      </c>
      <c r="R49" s="23" t="n">
        <v>9.4</v>
      </c>
      <c r="S49" s="23" t="n">
        <v>10.7</v>
      </c>
      <c r="T49" s="23" t="n">
        <v>10.2</v>
      </c>
      <c r="U49" s="23" t="n">
        <v>8.9</v>
      </c>
      <c r="V49" s="23" t="n">
        <v>8.2</v>
      </c>
      <c r="W49" s="23" t="n">
        <v>7.6</v>
      </c>
      <c r="X49" s="23" t="n">
        <v>7.3</v>
      </c>
    </row>
    <row r="50" customFormat="false" ht="15" hidden="false" customHeight="false" outlineLevel="0" collapsed="false">
      <c r="A50" s="12" t="s">
        <v>410</v>
      </c>
      <c r="B50" s="12" t="s">
        <v>408</v>
      </c>
      <c r="C50" s="12" t="s">
        <v>406</v>
      </c>
      <c r="D50" s="23" t="n">
        <v>4.7</v>
      </c>
      <c r="E50" s="23" t="n">
        <v>4</v>
      </c>
      <c r="F50" s="23" t="n">
        <v>4.7</v>
      </c>
      <c r="G50" s="23" t="n">
        <v>7.3</v>
      </c>
      <c r="H50" s="23" t="n">
        <v>12.6</v>
      </c>
      <c r="I50" s="23" t="n">
        <v>14.6</v>
      </c>
      <c r="J50" s="23" t="n">
        <v>16.4</v>
      </c>
      <c r="K50" s="23" t="n">
        <v>20</v>
      </c>
      <c r="L50" s="23" t="n">
        <v>21.5</v>
      </c>
      <c r="M50" s="23" t="n">
        <v>20.2</v>
      </c>
      <c r="N50" s="23" t="n">
        <v>17.8</v>
      </c>
      <c r="O50" s="23" t="n">
        <v>15.2</v>
      </c>
      <c r="P50" s="23" t="n">
        <v>13.1</v>
      </c>
      <c r="Q50" s="23" t="n">
        <v>11.3</v>
      </c>
      <c r="R50" s="23" t="n">
        <v>9.9</v>
      </c>
      <c r="S50" s="23" t="n">
        <v>10.4</v>
      </c>
      <c r="T50" s="23" t="n">
        <v>9.4</v>
      </c>
      <c r="U50" s="23" t="n">
        <v>8.8</v>
      </c>
      <c r="V50" s="23" t="n">
        <v>7.7</v>
      </c>
      <c r="W50" s="23" t="n">
        <v>7.5</v>
      </c>
      <c r="X50" s="23" t="n">
        <v>6.3</v>
      </c>
    </row>
    <row r="51" customFormat="false" ht="15" hidden="false" customHeight="false" outlineLevel="0" collapsed="false">
      <c r="A51" s="12" t="s">
        <v>410</v>
      </c>
      <c r="B51" s="12" t="s">
        <v>408</v>
      </c>
      <c r="C51" s="12" t="s">
        <v>407</v>
      </c>
      <c r="D51" s="23" t="n">
        <v>5.7</v>
      </c>
      <c r="E51" s="23" t="n">
        <v>4.9</v>
      </c>
      <c r="F51" s="23" t="n">
        <v>5</v>
      </c>
      <c r="G51" s="23" t="n">
        <v>6.5</v>
      </c>
      <c r="H51" s="23" t="n">
        <v>11.3</v>
      </c>
      <c r="I51" s="23" t="n">
        <v>14.4</v>
      </c>
      <c r="J51" s="23" t="n">
        <v>15.4</v>
      </c>
      <c r="K51" s="23" t="n">
        <v>18.1</v>
      </c>
      <c r="L51" s="23" t="n">
        <v>20.3</v>
      </c>
      <c r="M51" s="23" t="n">
        <v>20.4</v>
      </c>
      <c r="N51" s="23" t="n">
        <v>18.5</v>
      </c>
      <c r="O51" s="23" t="n">
        <v>16.9</v>
      </c>
      <c r="P51" s="23" t="n">
        <v>14.8</v>
      </c>
      <c r="Q51" s="23" t="n">
        <v>12.7</v>
      </c>
      <c r="R51" s="23" t="n">
        <v>11.7</v>
      </c>
      <c r="S51" s="23" t="n">
        <v>11.5</v>
      </c>
      <c r="T51" s="23" t="n">
        <v>11.7</v>
      </c>
      <c r="U51" s="23" t="n">
        <v>10.4</v>
      </c>
      <c r="V51" s="23" t="n">
        <v>9.8</v>
      </c>
      <c r="W51" s="23" t="n">
        <v>9.1</v>
      </c>
      <c r="X51" s="23" t="n">
        <v>8.6</v>
      </c>
    </row>
    <row r="52" customFormat="false" ht="15" hidden="false" customHeight="false" outlineLevel="0" collapsed="false">
      <c r="A52" s="12" t="s">
        <v>410</v>
      </c>
      <c r="B52" s="12" t="s">
        <v>409</v>
      </c>
      <c r="C52" s="12" t="s">
        <v>398</v>
      </c>
      <c r="D52" s="23" t="n">
        <v>23.4</v>
      </c>
      <c r="E52" s="23" t="n">
        <v>21.5</v>
      </c>
      <c r="F52" s="23" t="n">
        <v>21.7</v>
      </c>
      <c r="G52" s="23" t="n">
        <v>25.5</v>
      </c>
      <c r="H52" s="23" t="n">
        <v>36.1</v>
      </c>
      <c r="I52" s="23" t="n">
        <v>39.6</v>
      </c>
      <c r="J52" s="23" t="n">
        <v>44</v>
      </c>
      <c r="K52" s="23" t="n">
        <v>51.4</v>
      </c>
      <c r="L52" s="23" t="n">
        <v>54.6</v>
      </c>
      <c r="M52" s="23" t="n">
        <v>52.9</v>
      </c>
      <c r="N52" s="23" t="n">
        <v>48</v>
      </c>
      <c r="O52" s="23" t="n">
        <v>44.9</v>
      </c>
      <c r="P52" s="23" t="n">
        <v>37.4</v>
      </c>
      <c r="Q52" s="23" t="n">
        <v>33.3</v>
      </c>
      <c r="R52" s="23" t="n">
        <v>34.5</v>
      </c>
      <c r="S52" s="23" t="n">
        <v>39.7</v>
      </c>
      <c r="T52" s="23" t="n">
        <v>36.2</v>
      </c>
      <c r="U52" s="23" t="n">
        <v>30.9</v>
      </c>
      <c r="V52" s="23" t="n">
        <v>28.5</v>
      </c>
      <c r="W52" s="23" t="n">
        <v>27.1</v>
      </c>
      <c r="X52" s="23" t="n">
        <v>25.8</v>
      </c>
    </row>
    <row r="53" customFormat="false" ht="15" hidden="false" customHeight="false" outlineLevel="0" collapsed="false">
      <c r="A53" s="12" t="s">
        <v>410</v>
      </c>
      <c r="B53" s="12" t="s">
        <v>409</v>
      </c>
      <c r="C53" s="12" t="s">
        <v>399</v>
      </c>
      <c r="D53" s="23" t="n">
        <v>17.6</v>
      </c>
      <c r="E53" s="23" t="n">
        <v>16.4</v>
      </c>
      <c r="F53" s="23" t="n">
        <v>15.4</v>
      </c>
      <c r="G53" s="23" t="n">
        <v>18.5</v>
      </c>
      <c r="H53" s="23" t="n">
        <v>26.6</v>
      </c>
      <c r="I53" s="23" t="n">
        <v>30</v>
      </c>
      <c r="J53" s="23" t="n">
        <v>33</v>
      </c>
      <c r="K53" s="23" t="n">
        <v>38.3</v>
      </c>
      <c r="L53" s="23" t="n">
        <v>41.1</v>
      </c>
      <c r="M53" s="23" t="n">
        <v>39.1</v>
      </c>
      <c r="N53" s="23" t="n">
        <v>36.1</v>
      </c>
      <c r="O53" s="23" t="n">
        <v>33.8</v>
      </c>
      <c r="P53" s="23" t="n">
        <v>29.4</v>
      </c>
      <c r="Q53" s="23" t="n">
        <v>26.2</v>
      </c>
      <c r="R53" s="23" t="n">
        <v>25.4</v>
      </c>
      <c r="S53" s="23" t="n">
        <v>29.9</v>
      </c>
      <c r="T53" s="23" t="n">
        <v>27.6</v>
      </c>
      <c r="U53" s="23" t="n">
        <v>23.2</v>
      </c>
      <c r="V53" s="23" t="n">
        <v>21.5</v>
      </c>
      <c r="W53" s="23" t="n">
        <v>20.5</v>
      </c>
      <c r="X53" s="23" t="n">
        <v>19</v>
      </c>
    </row>
    <row r="54" customFormat="false" ht="15" hidden="false" customHeight="false" outlineLevel="0" collapsed="false">
      <c r="A54" s="12" t="s">
        <v>410</v>
      </c>
      <c r="B54" s="12" t="s">
        <v>409</v>
      </c>
      <c r="C54" s="12" t="s">
        <v>400</v>
      </c>
      <c r="D54" s="23" t="n">
        <v>12</v>
      </c>
      <c r="E54" s="23" t="n">
        <v>11.4</v>
      </c>
      <c r="F54" s="23" t="n">
        <v>10.7</v>
      </c>
      <c r="G54" s="23" t="n">
        <v>12.8</v>
      </c>
      <c r="H54" s="23" t="n">
        <v>18.1</v>
      </c>
      <c r="I54" s="23" t="n">
        <v>20.2</v>
      </c>
      <c r="J54" s="23" t="n">
        <v>21.8</v>
      </c>
      <c r="K54" s="23" t="n">
        <v>25.1</v>
      </c>
      <c r="L54" s="23" t="n">
        <v>26.7</v>
      </c>
      <c r="M54" s="23" t="n">
        <v>25.4</v>
      </c>
      <c r="N54" s="23" t="n">
        <v>23.6</v>
      </c>
      <c r="O54" s="23" t="n">
        <v>21.4</v>
      </c>
      <c r="P54" s="23" t="n">
        <v>19</v>
      </c>
      <c r="Q54" s="23" t="n">
        <v>17</v>
      </c>
      <c r="R54" s="23" t="n">
        <v>16</v>
      </c>
      <c r="S54" s="23" t="n">
        <v>17.4</v>
      </c>
      <c r="T54" s="23" t="n">
        <v>16.8</v>
      </c>
      <c r="U54" s="23" t="n">
        <v>14.9</v>
      </c>
      <c r="V54" s="23" t="n">
        <v>13.9</v>
      </c>
      <c r="W54" s="23" t="n">
        <v>12.7</v>
      </c>
      <c r="X54" s="23" t="n">
        <v>11.9</v>
      </c>
    </row>
    <row r="55" customFormat="false" ht="15" hidden="false" customHeight="false" outlineLevel="0" collapsed="false">
      <c r="A55" s="12" t="s">
        <v>410</v>
      </c>
      <c r="B55" s="12" t="s">
        <v>409</v>
      </c>
      <c r="C55" s="12" t="s">
        <v>401</v>
      </c>
      <c r="D55" s="23" t="n">
        <v>12</v>
      </c>
      <c r="E55" s="23" t="n">
        <v>11.3</v>
      </c>
      <c r="F55" s="23" t="n">
        <v>10.7</v>
      </c>
      <c r="G55" s="23" t="n">
        <v>12.8</v>
      </c>
      <c r="H55" s="23" t="n">
        <v>18.1</v>
      </c>
      <c r="I55" s="23" t="n">
        <v>20.2</v>
      </c>
      <c r="J55" s="23" t="n">
        <v>21.8</v>
      </c>
      <c r="K55" s="23" t="n">
        <v>25</v>
      </c>
      <c r="L55" s="23" t="n">
        <v>26.7</v>
      </c>
      <c r="M55" s="23" t="n">
        <v>25.4</v>
      </c>
      <c r="N55" s="23" t="n">
        <v>23.5</v>
      </c>
      <c r="O55" s="23" t="n">
        <v>21.4</v>
      </c>
      <c r="P55" s="23" t="n">
        <v>19</v>
      </c>
      <c r="Q55" s="23" t="n">
        <v>17</v>
      </c>
      <c r="R55" s="23" t="n">
        <v>16</v>
      </c>
      <c r="S55" s="23" t="n">
        <v>17.4</v>
      </c>
      <c r="T55" s="23" t="n">
        <v>16.8</v>
      </c>
      <c r="U55" s="23" t="n">
        <v>14.9</v>
      </c>
      <c r="V55" s="23" t="n">
        <v>13.9</v>
      </c>
      <c r="W55" s="23" t="n">
        <v>12.7</v>
      </c>
      <c r="X55" s="23" t="n">
        <v>11.9</v>
      </c>
    </row>
    <row r="56" customFormat="false" ht="15" hidden="false" customHeight="false" outlineLevel="0" collapsed="false">
      <c r="A56" s="12" t="s">
        <v>410</v>
      </c>
      <c r="B56" s="12" t="s">
        <v>409</v>
      </c>
      <c r="C56" s="12" t="s">
        <v>402</v>
      </c>
      <c r="D56" s="23" t="n">
        <v>11.4</v>
      </c>
      <c r="E56" s="23" t="n">
        <v>10.8</v>
      </c>
      <c r="F56" s="23" t="n">
        <v>10.1</v>
      </c>
      <c r="G56" s="23" t="n">
        <v>12.1</v>
      </c>
      <c r="H56" s="23" t="n">
        <v>17.5</v>
      </c>
      <c r="I56" s="23" t="n">
        <v>19.7</v>
      </c>
      <c r="J56" s="23" t="n">
        <v>21.3</v>
      </c>
      <c r="K56" s="23" t="n">
        <v>24.6</v>
      </c>
      <c r="L56" s="23" t="n">
        <v>26.2</v>
      </c>
      <c r="M56" s="23" t="n">
        <v>25</v>
      </c>
      <c r="N56" s="23" t="n">
        <v>23.2</v>
      </c>
      <c r="O56" s="23" t="n">
        <v>21.1</v>
      </c>
      <c r="P56" s="23" t="n">
        <v>18.8</v>
      </c>
      <c r="Q56" s="23" t="n">
        <v>16.8</v>
      </c>
      <c r="R56" s="23" t="n">
        <v>15.7</v>
      </c>
      <c r="S56" s="23" t="n">
        <v>17.2</v>
      </c>
      <c r="T56" s="23" t="n">
        <v>16.6</v>
      </c>
      <c r="U56" s="23" t="n">
        <v>14.7</v>
      </c>
      <c r="V56" s="23" t="n">
        <v>13.6</v>
      </c>
      <c r="W56" s="23" t="n">
        <v>12.3</v>
      </c>
      <c r="X56" s="23" t="n">
        <v>11.7</v>
      </c>
    </row>
    <row r="57" customFormat="false" ht="15" hidden="false" customHeight="false" outlineLevel="0" collapsed="false">
      <c r="A57" s="12" t="s">
        <v>410</v>
      </c>
      <c r="B57" s="12" t="s">
        <v>409</v>
      </c>
      <c r="C57" s="12" t="s">
        <v>403</v>
      </c>
      <c r="D57" s="23" t="n">
        <v>11.9</v>
      </c>
      <c r="E57" s="23" t="n">
        <v>11.5</v>
      </c>
      <c r="F57" s="23" t="n">
        <v>10.1</v>
      </c>
      <c r="G57" s="23" t="n">
        <v>12.6</v>
      </c>
      <c r="H57" s="23" t="n">
        <v>18.4</v>
      </c>
      <c r="I57" s="23" t="n">
        <v>21.1</v>
      </c>
      <c r="J57" s="23" t="n">
        <v>23.1</v>
      </c>
      <c r="K57" s="23" t="n">
        <v>26.4</v>
      </c>
      <c r="L57" s="23" t="n">
        <v>28.7</v>
      </c>
      <c r="M57" s="23" t="n">
        <v>27.2</v>
      </c>
      <c r="N57" s="23" t="n">
        <v>25.3</v>
      </c>
      <c r="O57" s="23" t="n">
        <v>23.4</v>
      </c>
      <c r="P57" s="23" t="n">
        <v>20.8</v>
      </c>
      <c r="Q57" s="23" t="n">
        <v>19.1</v>
      </c>
      <c r="R57" s="23" t="n">
        <v>17.6</v>
      </c>
      <c r="S57" s="23" t="n">
        <v>21</v>
      </c>
      <c r="T57" s="23" t="n">
        <v>18.8</v>
      </c>
      <c r="U57" s="23" t="n">
        <v>15.6</v>
      </c>
      <c r="V57" s="23" t="n">
        <v>14.9</v>
      </c>
      <c r="W57" s="23" t="n">
        <v>13.5</v>
      </c>
      <c r="X57" s="23" t="n">
        <v>11.8</v>
      </c>
    </row>
    <row r="58" customFormat="false" ht="15" hidden="false" customHeight="false" outlineLevel="0" collapsed="false">
      <c r="A58" s="12" t="s">
        <v>410</v>
      </c>
      <c r="B58" s="12" t="s">
        <v>409</v>
      </c>
      <c r="C58" s="12" t="s">
        <v>404</v>
      </c>
      <c r="D58" s="23" t="n">
        <v>10.3</v>
      </c>
      <c r="E58" s="23" t="n">
        <v>9.9</v>
      </c>
      <c r="F58" s="23" t="n">
        <v>9.3</v>
      </c>
      <c r="G58" s="23" t="n">
        <v>11.3</v>
      </c>
      <c r="H58" s="23" t="n">
        <v>16.1</v>
      </c>
      <c r="I58" s="23" t="n">
        <v>18.3</v>
      </c>
      <c r="J58" s="23" t="n">
        <v>19.7</v>
      </c>
      <c r="K58" s="23" t="n">
        <v>22.7</v>
      </c>
      <c r="L58" s="23" t="n">
        <v>24.4</v>
      </c>
      <c r="M58" s="23" t="n">
        <v>23.3</v>
      </c>
      <c r="N58" s="23" t="n">
        <v>21.8</v>
      </c>
      <c r="O58" s="23" t="n">
        <v>19.8</v>
      </c>
      <c r="P58" s="23" t="n">
        <v>17.7</v>
      </c>
      <c r="Q58" s="23" t="n">
        <v>15.9</v>
      </c>
      <c r="R58" s="23" t="n">
        <v>14.7</v>
      </c>
      <c r="S58" s="23" t="n">
        <v>16</v>
      </c>
      <c r="T58" s="23" t="n">
        <v>15.5</v>
      </c>
      <c r="U58" s="23" t="n">
        <v>13.8</v>
      </c>
      <c r="V58" s="23" t="n">
        <v>12.8</v>
      </c>
      <c r="W58" s="23" t="n">
        <v>11.6</v>
      </c>
      <c r="X58" s="23" t="n">
        <v>10.8</v>
      </c>
    </row>
    <row r="59" customFormat="false" ht="15" hidden="false" customHeight="false" outlineLevel="0" collapsed="false">
      <c r="A59" s="12" t="s">
        <v>410</v>
      </c>
      <c r="B59" s="12" t="s">
        <v>409</v>
      </c>
      <c r="C59" s="12" t="s">
        <v>405</v>
      </c>
      <c r="D59" s="23" t="n">
        <v>10.5</v>
      </c>
      <c r="E59" s="23" t="n">
        <v>9.8</v>
      </c>
      <c r="F59" s="23" t="n">
        <v>9.4</v>
      </c>
      <c r="G59" s="23" t="n">
        <v>11.8</v>
      </c>
      <c r="H59" s="23" t="n">
        <v>16.2</v>
      </c>
      <c r="I59" s="23" t="n">
        <v>18.8</v>
      </c>
      <c r="J59" s="23" t="n">
        <v>20</v>
      </c>
      <c r="K59" s="23" t="n">
        <v>23</v>
      </c>
      <c r="L59" s="23" t="n">
        <v>24.1</v>
      </c>
      <c r="M59" s="23" t="n">
        <v>23</v>
      </c>
      <c r="N59" s="23" t="n">
        <v>21</v>
      </c>
      <c r="O59" s="23" t="n">
        <v>18.8</v>
      </c>
      <c r="P59" s="23" t="n">
        <v>17</v>
      </c>
      <c r="Q59" s="23" t="n">
        <v>14.7</v>
      </c>
      <c r="R59" s="23" t="n">
        <v>13.7</v>
      </c>
      <c r="S59" s="23" t="n">
        <v>15.5</v>
      </c>
      <c r="T59" s="23" t="n">
        <v>14.4</v>
      </c>
      <c r="U59" s="23" t="n">
        <v>13.3</v>
      </c>
      <c r="V59" s="23" t="n">
        <v>12</v>
      </c>
      <c r="W59" s="23" t="n">
        <v>10.9</v>
      </c>
      <c r="X59" s="23" t="n">
        <v>10.5</v>
      </c>
    </row>
    <row r="60" customFormat="false" ht="15" hidden="false" customHeight="false" outlineLevel="0" collapsed="false">
      <c r="A60" s="12" t="s">
        <v>410</v>
      </c>
      <c r="B60" s="12" t="s">
        <v>409</v>
      </c>
      <c r="C60" s="12" t="s">
        <v>406</v>
      </c>
      <c r="D60" s="23" t="n">
        <v>8.9</v>
      </c>
      <c r="E60" s="23" t="n">
        <v>8.8</v>
      </c>
      <c r="F60" s="23" t="n">
        <v>8.6</v>
      </c>
      <c r="G60" s="23" t="n">
        <v>9.8</v>
      </c>
      <c r="H60" s="23" t="n">
        <v>14.5</v>
      </c>
      <c r="I60" s="23" t="n">
        <v>16.3</v>
      </c>
      <c r="J60" s="23" t="n">
        <v>17.9</v>
      </c>
      <c r="K60" s="23" t="n">
        <v>21.2</v>
      </c>
      <c r="L60" s="23" t="n">
        <v>23</v>
      </c>
      <c r="M60" s="23" t="n">
        <v>22.4</v>
      </c>
      <c r="N60" s="23" t="n">
        <v>21.5</v>
      </c>
      <c r="O60" s="23" t="n">
        <v>19.5</v>
      </c>
      <c r="P60" s="23" t="n">
        <v>17.5</v>
      </c>
      <c r="Q60" s="23" t="n">
        <v>15.5</v>
      </c>
      <c r="R60" s="23" t="n">
        <v>14.4</v>
      </c>
      <c r="S60" s="23" t="n">
        <v>14.5</v>
      </c>
      <c r="T60" s="23" t="n">
        <v>14.8</v>
      </c>
      <c r="U60" s="23" t="n">
        <v>13.5</v>
      </c>
      <c r="V60" s="23" t="n">
        <v>12</v>
      </c>
      <c r="W60" s="23" t="n">
        <v>10.7</v>
      </c>
      <c r="X60" s="23" t="n">
        <v>10</v>
      </c>
    </row>
    <row r="61" customFormat="false" ht="15" hidden="false" customHeight="false" outlineLevel="0" collapsed="false">
      <c r="A61" s="12" t="s">
        <v>410</v>
      </c>
      <c r="B61" s="12" t="s">
        <v>409</v>
      </c>
      <c r="C61" s="12" t="s">
        <v>407</v>
      </c>
      <c r="D61" s="23" t="n">
        <v>7.5</v>
      </c>
      <c r="E61" s="23" t="n">
        <v>7.3</v>
      </c>
      <c r="F61" s="23" t="n">
        <v>7.7</v>
      </c>
      <c r="G61" s="23" t="n">
        <v>9</v>
      </c>
      <c r="H61" s="23" t="n">
        <v>13.3</v>
      </c>
      <c r="I61" s="23" t="n">
        <v>13.9</v>
      </c>
      <c r="J61" s="23" t="n">
        <v>14.7</v>
      </c>
      <c r="K61" s="23" t="n">
        <v>17.9</v>
      </c>
      <c r="L61" s="23" t="n">
        <v>19.7</v>
      </c>
      <c r="M61" s="23" t="n">
        <v>19.4</v>
      </c>
      <c r="N61" s="23" t="n">
        <v>18.7</v>
      </c>
      <c r="O61" s="23" t="n">
        <v>17.2</v>
      </c>
      <c r="P61" s="23" t="n">
        <v>15.9</v>
      </c>
      <c r="Q61" s="23" t="n">
        <v>15.1</v>
      </c>
      <c r="R61" s="23" t="n">
        <v>13.8</v>
      </c>
      <c r="S61" s="23" t="n">
        <v>13.7</v>
      </c>
      <c r="T61" s="23" t="n">
        <v>15.3</v>
      </c>
      <c r="U61" s="23" t="n">
        <v>13.5</v>
      </c>
      <c r="V61" s="23" t="n">
        <v>13.2</v>
      </c>
      <c r="W61" s="23" t="n">
        <v>12.1</v>
      </c>
      <c r="X61" s="23" t="n">
        <v>11.7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4" t="s">
        <v>393</v>
      </c>
      <c r="B1" s="4" t="s">
        <v>394</v>
      </c>
      <c r="C1" s="4" t="s">
        <v>395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80</v>
      </c>
    </row>
    <row r="2" customFormat="false" ht="15" hidden="false" customHeight="false" outlineLevel="0" collapsed="false">
      <c r="A2" s="12" t="s">
        <v>396</v>
      </c>
      <c r="B2" s="12" t="s">
        <v>397</v>
      </c>
      <c r="C2" s="12" t="s">
        <v>398</v>
      </c>
      <c r="D2" s="23" t="n">
        <v>40.2</v>
      </c>
      <c r="E2" s="23" t="n">
        <v>42.6</v>
      </c>
      <c r="F2" s="23" t="n">
        <v>41.7</v>
      </c>
      <c r="G2" s="23" t="n">
        <v>38.3</v>
      </c>
      <c r="H2" s="23" t="n">
        <v>29.9</v>
      </c>
      <c r="I2" s="23" t="n">
        <v>27</v>
      </c>
      <c r="J2" s="23" t="n">
        <v>23.5</v>
      </c>
      <c r="K2" s="23" t="n">
        <v>19.7</v>
      </c>
      <c r="L2" s="23" t="n">
        <v>19.3</v>
      </c>
      <c r="M2" s="23" t="n">
        <v>18.5</v>
      </c>
      <c r="N2" s="23" t="n">
        <v>20.8</v>
      </c>
      <c r="O2" s="23" t="n">
        <v>19.6</v>
      </c>
      <c r="P2" s="23" t="n">
        <v>20.9</v>
      </c>
      <c r="Q2" s="23" t="n">
        <v>23.9</v>
      </c>
      <c r="R2" s="23" t="n">
        <v>22.3</v>
      </c>
      <c r="S2" s="23" t="n">
        <v>19.9</v>
      </c>
      <c r="T2" s="23" t="n">
        <v>23.6</v>
      </c>
      <c r="U2" s="23" t="n">
        <v>24.6</v>
      </c>
      <c r="V2" s="23" t="n">
        <v>23.7</v>
      </c>
      <c r="W2" s="23" t="n">
        <v>26.8</v>
      </c>
      <c r="X2" s="23" t="n">
        <v>27.3</v>
      </c>
    </row>
    <row r="3" customFormat="false" ht="15" hidden="false" customHeight="false" outlineLevel="0" collapsed="false">
      <c r="A3" s="12" t="s">
        <v>396</v>
      </c>
      <c r="B3" s="12" t="s">
        <v>397</v>
      </c>
      <c r="C3" s="12" t="s">
        <v>411</v>
      </c>
      <c r="D3" s="23" t="n">
        <v>69.1</v>
      </c>
      <c r="E3" s="23" t="n">
        <v>70.7</v>
      </c>
      <c r="F3" s="23" t="n">
        <v>71.4</v>
      </c>
      <c r="G3" s="23" t="n">
        <v>70.1</v>
      </c>
      <c r="H3" s="23" t="n">
        <v>66.7</v>
      </c>
      <c r="I3" s="23" t="n">
        <v>65.7</v>
      </c>
      <c r="J3" s="23" t="n">
        <v>64.9</v>
      </c>
      <c r="K3" s="23" t="n">
        <v>63.4</v>
      </c>
      <c r="L3" s="23" t="n">
        <v>62.5</v>
      </c>
      <c r="M3" s="23" t="n">
        <v>63.1</v>
      </c>
      <c r="N3" s="23" t="n">
        <v>65.3</v>
      </c>
      <c r="O3" s="23" t="n">
        <v>65.6</v>
      </c>
      <c r="P3" s="23" t="n">
        <v>66.9</v>
      </c>
      <c r="Q3" s="23" t="n">
        <v>67.8</v>
      </c>
      <c r="R3" s="23" t="n">
        <v>69</v>
      </c>
      <c r="S3" s="23" t="n">
        <v>66.8</v>
      </c>
      <c r="T3" s="23" t="n">
        <v>68.8</v>
      </c>
      <c r="U3" s="23" t="n">
        <v>69.1</v>
      </c>
      <c r="V3" s="23" t="n">
        <v>69.9</v>
      </c>
      <c r="W3" s="23" t="n">
        <v>71.1</v>
      </c>
      <c r="X3" s="23" t="n">
        <v>72.1</v>
      </c>
    </row>
    <row r="4" customFormat="false" ht="15" hidden="false" customHeight="false" outlineLevel="0" collapsed="false">
      <c r="A4" s="12" t="s">
        <v>396</v>
      </c>
      <c r="B4" s="12" t="s">
        <v>397</v>
      </c>
      <c r="C4" s="12" t="s">
        <v>400</v>
      </c>
      <c r="D4" s="23" t="n">
        <v>62.7</v>
      </c>
      <c r="E4" s="23" t="n">
        <v>64.2</v>
      </c>
      <c r="F4" s="23" t="n">
        <v>65.1</v>
      </c>
      <c r="G4" s="23" t="n">
        <v>64.1</v>
      </c>
      <c r="H4" s="23" t="n">
        <v>60.9</v>
      </c>
      <c r="I4" s="23" t="n">
        <v>60.1</v>
      </c>
      <c r="J4" s="23" t="n">
        <v>59</v>
      </c>
      <c r="K4" s="23" t="n">
        <v>57.5</v>
      </c>
      <c r="L4" s="23" t="n">
        <v>56.1</v>
      </c>
      <c r="M4" s="23" t="n">
        <v>56.1</v>
      </c>
      <c r="N4" s="23" t="n">
        <v>58.3</v>
      </c>
      <c r="O4" s="23" t="n">
        <v>58.5</v>
      </c>
      <c r="P4" s="23" t="n">
        <v>59.3</v>
      </c>
      <c r="Q4" s="23" t="n">
        <v>60.4</v>
      </c>
      <c r="R4" s="23" t="n">
        <v>61.6</v>
      </c>
      <c r="S4" s="23" t="n">
        <v>59.5</v>
      </c>
      <c r="T4" s="23" t="n">
        <v>61.2</v>
      </c>
      <c r="U4" s="23" t="n">
        <v>61.5</v>
      </c>
      <c r="V4" s="23" t="n">
        <v>62.2</v>
      </c>
      <c r="W4" s="23" t="n">
        <v>63.2</v>
      </c>
      <c r="X4" s="23" t="n">
        <v>64.4</v>
      </c>
    </row>
    <row r="5" customFormat="false" ht="15" hidden="false" customHeight="false" outlineLevel="0" collapsed="false">
      <c r="A5" s="12" t="s">
        <v>396</v>
      </c>
      <c r="B5" s="12" t="s">
        <v>397</v>
      </c>
      <c r="C5" s="12" t="s">
        <v>401</v>
      </c>
      <c r="D5" s="23" t="n">
        <v>58.3</v>
      </c>
      <c r="E5" s="23" t="n">
        <v>59.6</v>
      </c>
      <c r="F5" s="23" t="n">
        <v>60.3</v>
      </c>
      <c r="G5" s="23" t="n">
        <v>59.2</v>
      </c>
      <c r="H5" s="23" t="n">
        <v>56</v>
      </c>
      <c r="I5" s="23" t="n">
        <v>55</v>
      </c>
      <c r="J5" s="23" t="n">
        <v>54</v>
      </c>
      <c r="K5" s="23" t="n">
        <v>52.7</v>
      </c>
      <c r="L5" s="23" t="n">
        <v>51.2</v>
      </c>
      <c r="M5" s="23" t="n">
        <v>51.3</v>
      </c>
      <c r="N5" s="23" t="n">
        <v>53</v>
      </c>
      <c r="O5" s="23" t="n">
        <v>52.9</v>
      </c>
      <c r="P5" s="23" t="n">
        <v>53.8</v>
      </c>
      <c r="Q5" s="23" t="n">
        <v>54.5</v>
      </c>
      <c r="R5" s="23" t="n">
        <v>55.5</v>
      </c>
      <c r="S5" s="23" t="n">
        <v>53.7</v>
      </c>
      <c r="T5" s="23" t="n">
        <v>55.2</v>
      </c>
      <c r="U5" s="23" t="n">
        <v>55.5</v>
      </c>
      <c r="V5" s="23" t="n">
        <v>56.1</v>
      </c>
      <c r="W5" s="23" t="n">
        <v>56.7</v>
      </c>
      <c r="X5" s="23" t="n">
        <v>57.5</v>
      </c>
    </row>
    <row r="6" customFormat="false" ht="15" hidden="false" customHeight="false" outlineLevel="0" collapsed="false">
      <c r="A6" s="12" t="s">
        <v>396</v>
      </c>
      <c r="B6" s="12" t="s">
        <v>397</v>
      </c>
      <c r="C6" s="12" t="s">
        <v>402</v>
      </c>
      <c r="D6" s="23" t="n">
        <v>73.1</v>
      </c>
      <c r="E6" s="23" t="n">
        <v>74.6</v>
      </c>
      <c r="F6" s="23" t="n">
        <v>75.4</v>
      </c>
      <c r="G6" s="23" t="n">
        <v>74.2</v>
      </c>
      <c r="H6" s="23" t="n">
        <v>70.8</v>
      </c>
      <c r="I6" s="23" t="n">
        <v>70</v>
      </c>
      <c r="J6" s="23" t="n">
        <v>69.1</v>
      </c>
      <c r="K6" s="23" t="n">
        <v>67.6</v>
      </c>
      <c r="L6" s="23" t="n">
        <v>66.6</v>
      </c>
      <c r="M6" s="23" t="n">
        <v>67.3</v>
      </c>
      <c r="N6" s="23" t="n">
        <v>69.7</v>
      </c>
      <c r="O6" s="23" t="n">
        <v>70.4</v>
      </c>
      <c r="P6" s="23" t="n">
        <v>71.9</v>
      </c>
      <c r="Q6" s="23" t="n">
        <v>72.9</v>
      </c>
      <c r="R6" s="23" t="n">
        <v>74.2</v>
      </c>
      <c r="S6" s="23" t="n">
        <v>72</v>
      </c>
      <c r="T6" s="23" t="n">
        <v>74.1</v>
      </c>
      <c r="U6" s="23" t="n">
        <v>74.5</v>
      </c>
      <c r="V6" s="23" t="n">
        <v>75.5</v>
      </c>
      <c r="W6" s="23" t="n">
        <v>76.8</v>
      </c>
      <c r="X6" s="23" t="n">
        <v>77.9</v>
      </c>
    </row>
    <row r="7" customFormat="false" ht="15" hidden="false" customHeight="false" outlineLevel="0" collapsed="false">
      <c r="A7" s="12" t="s">
        <v>396</v>
      </c>
      <c r="B7" s="12" t="s">
        <v>397</v>
      </c>
      <c r="C7" s="12" t="s">
        <v>403</v>
      </c>
      <c r="D7" s="23" t="n">
        <v>83.3</v>
      </c>
      <c r="E7" s="23" t="n">
        <v>83</v>
      </c>
      <c r="F7" s="23" t="n">
        <v>83.6</v>
      </c>
      <c r="G7" s="23" t="n">
        <v>82.8</v>
      </c>
      <c r="H7" s="23" t="n">
        <v>77.9</v>
      </c>
      <c r="I7" s="23" t="n">
        <v>76.4</v>
      </c>
      <c r="J7" s="23" t="n">
        <v>75</v>
      </c>
      <c r="K7" s="23" t="n">
        <v>73.4</v>
      </c>
      <c r="L7" s="23" t="n">
        <v>72.8</v>
      </c>
      <c r="M7" s="23" t="n">
        <v>73.5</v>
      </c>
      <c r="N7" s="23" t="n">
        <v>73.3</v>
      </c>
      <c r="O7" s="23" t="n">
        <v>74.2</v>
      </c>
      <c r="P7" s="23" t="n">
        <v>75.2</v>
      </c>
      <c r="Q7" s="23" t="n">
        <v>77.9</v>
      </c>
      <c r="R7" s="23" t="n">
        <v>79.5</v>
      </c>
      <c r="S7" s="23" t="n">
        <v>74.4</v>
      </c>
      <c r="T7" s="23" t="n">
        <v>78.3</v>
      </c>
      <c r="U7" s="23" t="n">
        <v>79.8</v>
      </c>
      <c r="V7" s="23" t="n">
        <v>79.4</v>
      </c>
      <c r="W7" s="23" t="n">
        <v>79.3</v>
      </c>
      <c r="X7" s="23" t="n">
        <v>80.9</v>
      </c>
    </row>
    <row r="8" customFormat="false" ht="15" hidden="false" customHeight="false" outlineLevel="0" collapsed="false">
      <c r="A8" s="12" t="s">
        <v>396</v>
      </c>
      <c r="B8" s="12" t="s">
        <v>397</v>
      </c>
      <c r="C8" s="12" t="s">
        <v>412</v>
      </c>
      <c r="D8" s="23" t="n">
        <v>74.9</v>
      </c>
      <c r="E8" s="23" t="n">
        <v>76.1</v>
      </c>
      <c r="F8" s="23" t="n">
        <v>77</v>
      </c>
      <c r="G8" s="23" t="n">
        <v>75.9</v>
      </c>
      <c r="H8" s="23" t="n">
        <v>73.2</v>
      </c>
      <c r="I8" s="23" t="n">
        <v>72.4</v>
      </c>
      <c r="J8" s="23" t="n">
        <v>71.8</v>
      </c>
      <c r="K8" s="23" t="n">
        <v>70.5</v>
      </c>
      <c r="L8" s="23" t="n">
        <v>69.3</v>
      </c>
      <c r="M8" s="23" t="n">
        <v>70.2</v>
      </c>
      <c r="N8" s="23" t="n">
        <v>72.5</v>
      </c>
      <c r="O8" s="23" t="n">
        <v>73.3</v>
      </c>
      <c r="P8" s="23" t="n">
        <v>74.6</v>
      </c>
      <c r="Q8" s="23" t="n">
        <v>75.3</v>
      </c>
      <c r="R8" s="23" t="n">
        <v>77.2</v>
      </c>
      <c r="S8" s="23" t="n">
        <v>75.2</v>
      </c>
      <c r="T8" s="23" t="n">
        <v>76.9</v>
      </c>
      <c r="U8" s="23" t="n">
        <v>77.3</v>
      </c>
      <c r="V8" s="23" t="n">
        <v>78.8</v>
      </c>
      <c r="W8" s="23" t="n">
        <v>79.8</v>
      </c>
      <c r="X8" s="23" t="n">
        <v>81</v>
      </c>
    </row>
    <row r="9" customFormat="false" ht="15" hidden="false" customHeight="false" outlineLevel="0" collapsed="false">
      <c r="A9" s="12" t="s">
        <v>396</v>
      </c>
      <c r="B9" s="12" t="s">
        <v>397</v>
      </c>
      <c r="C9" s="12" t="s">
        <v>404</v>
      </c>
      <c r="D9" s="23" t="n">
        <v>61.2</v>
      </c>
      <c r="E9" s="23" t="n">
        <v>62.2</v>
      </c>
      <c r="F9" s="23" t="n">
        <v>63.1</v>
      </c>
      <c r="G9" s="23" t="n">
        <v>62.3</v>
      </c>
      <c r="H9" s="23" t="n">
        <v>59.8</v>
      </c>
      <c r="I9" s="23" t="n">
        <v>58.8</v>
      </c>
      <c r="J9" s="23" t="n">
        <v>58</v>
      </c>
      <c r="K9" s="23" t="n">
        <v>56.9</v>
      </c>
      <c r="L9" s="23" t="n">
        <v>55.2</v>
      </c>
      <c r="M9" s="23" t="n">
        <v>55.4</v>
      </c>
      <c r="N9" s="23" t="n">
        <v>57</v>
      </c>
      <c r="O9" s="23" t="n">
        <v>57.2</v>
      </c>
      <c r="P9" s="23" t="n">
        <v>58</v>
      </c>
      <c r="Q9" s="23" t="n">
        <v>58.5</v>
      </c>
      <c r="R9" s="23" t="n">
        <v>59.9</v>
      </c>
      <c r="S9" s="23" t="n">
        <v>58.4</v>
      </c>
      <c r="T9" s="23" t="n">
        <v>59.5</v>
      </c>
      <c r="U9" s="23" t="n">
        <v>59.8</v>
      </c>
      <c r="V9" s="23" t="n">
        <v>60.8</v>
      </c>
      <c r="W9" s="23" t="n">
        <v>61.2</v>
      </c>
      <c r="X9" s="23" t="n">
        <v>62</v>
      </c>
    </row>
    <row r="10" customFormat="false" ht="15" hidden="false" customHeight="false" outlineLevel="0" collapsed="false">
      <c r="A10" s="12" t="s">
        <v>396</v>
      </c>
      <c r="B10" s="12" t="s">
        <v>397</v>
      </c>
      <c r="C10" s="12" t="s">
        <v>405</v>
      </c>
      <c r="D10" s="23" t="n">
        <v>81.3</v>
      </c>
      <c r="E10" s="23" t="n">
        <v>83.8</v>
      </c>
      <c r="F10" s="23" t="n">
        <v>85</v>
      </c>
      <c r="G10" s="23" t="n">
        <v>82.4</v>
      </c>
      <c r="H10" s="23" t="n">
        <v>79.5</v>
      </c>
      <c r="I10" s="23" t="n">
        <v>77.4</v>
      </c>
      <c r="J10" s="23" t="n">
        <v>78</v>
      </c>
      <c r="K10" s="23" t="n">
        <v>77.6</v>
      </c>
      <c r="L10" s="23" t="n">
        <v>76.3</v>
      </c>
      <c r="M10" s="23" t="n">
        <v>78.1</v>
      </c>
      <c r="N10" s="23" t="n">
        <v>81.3</v>
      </c>
      <c r="O10" s="23" t="n">
        <v>81.5</v>
      </c>
      <c r="P10" s="23" t="n">
        <v>83.4</v>
      </c>
      <c r="Q10" s="23" t="n">
        <v>82.5</v>
      </c>
      <c r="R10" s="23" t="n">
        <v>83.7</v>
      </c>
      <c r="S10" s="23" t="n">
        <v>79.8</v>
      </c>
      <c r="T10" s="23" t="n">
        <v>82.6</v>
      </c>
      <c r="U10" s="23" t="n">
        <v>82</v>
      </c>
      <c r="V10" s="23" t="n">
        <v>85.5</v>
      </c>
      <c r="W10" s="23" t="n">
        <v>86.4</v>
      </c>
      <c r="X10" s="23" t="n">
        <v>86.4</v>
      </c>
    </row>
    <row r="11" customFormat="false" ht="15" hidden="false" customHeight="false" outlineLevel="0" collapsed="false">
      <c r="A11" s="12" t="s">
        <v>396</v>
      </c>
      <c r="B11" s="12" t="s">
        <v>397</v>
      </c>
      <c r="C11" s="12" t="s">
        <v>406</v>
      </c>
      <c r="D11" s="23" t="n">
        <v>75.3</v>
      </c>
      <c r="E11" s="23" t="n">
        <v>77</v>
      </c>
      <c r="F11" s="23" t="n">
        <v>78.7</v>
      </c>
      <c r="G11" s="23" t="n">
        <v>78.8</v>
      </c>
      <c r="H11" s="23" t="n">
        <v>77.4</v>
      </c>
      <c r="I11" s="23" t="n">
        <v>77</v>
      </c>
      <c r="J11" s="23" t="n">
        <v>75.1</v>
      </c>
      <c r="K11" s="23" t="n">
        <v>72.7</v>
      </c>
      <c r="L11" s="23" t="n">
        <v>72.2</v>
      </c>
      <c r="M11" s="23" t="n">
        <v>72.5</v>
      </c>
      <c r="N11" s="23" t="n">
        <v>75</v>
      </c>
      <c r="O11" s="23" t="n">
        <v>77.5</v>
      </c>
      <c r="P11" s="23" t="n">
        <v>77.5</v>
      </c>
      <c r="Q11" s="23" t="n">
        <v>78.5</v>
      </c>
      <c r="R11" s="23" t="n">
        <v>81.7</v>
      </c>
      <c r="S11" s="23" t="n">
        <v>80.9</v>
      </c>
      <c r="T11" s="23" t="n">
        <v>81.4</v>
      </c>
      <c r="U11" s="23" t="n">
        <v>81.2</v>
      </c>
      <c r="V11" s="23" t="n">
        <v>82.8</v>
      </c>
      <c r="W11" s="23" t="n">
        <v>84.7</v>
      </c>
      <c r="X11" s="23" t="n">
        <v>86.4</v>
      </c>
    </row>
    <row r="12" customFormat="false" ht="15" hidden="false" customHeight="false" outlineLevel="0" collapsed="false">
      <c r="A12" s="12" t="s">
        <v>396</v>
      </c>
      <c r="B12" s="12" t="s">
        <v>397</v>
      </c>
      <c r="C12" s="12" t="s">
        <v>407</v>
      </c>
      <c r="D12" s="23" t="n">
        <v>48.9</v>
      </c>
      <c r="E12" s="23" t="n">
        <v>49.6</v>
      </c>
      <c r="F12" s="23" t="n">
        <v>49.4</v>
      </c>
      <c r="G12" s="23" t="n">
        <v>49.2</v>
      </c>
      <c r="H12" s="23" t="n">
        <v>48.7</v>
      </c>
      <c r="I12" s="23" t="n">
        <v>51.3</v>
      </c>
      <c r="J12" s="23" t="n">
        <v>51.9</v>
      </c>
      <c r="K12" s="23" t="n">
        <v>51.5</v>
      </c>
      <c r="L12" s="23" t="n">
        <v>49.6</v>
      </c>
      <c r="M12" s="23" t="n">
        <v>50.5</v>
      </c>
      <c r="N12" s="23" t="n">
        <v>54.4</v>
      </c>
      <c r="O12" s="23" t="n">
        <v>54.3</v>
      </c>
      <c r="P12" s="23" t="n">
        <v>57.6</v>
      </c>
      <c r="Q12" s="23" t="n">
        <v>58.7</v>
      </c>
      <c r="R12" s="23" t="n">
        <v>60.5</v>
      </c>
      <c r="S12" s="23" t="n">
        <v>63</v>
      </c>
      <c r="T12" s="23" t="n">
        <v>63.1</v>
      </c>
      <c r="U12" s="23" t="n">
        <v>64.8</v>
      </c>
      <c r="V12" s="23" t="n">
        <v>65.8</v>
      </c>
      <c r="W12" s="23" t="n">
        <v>67.4</v>
      </c>
      <c r="X12" s="23" t="n">
        <v>69.2</v>
      </c>
    </row>
    <row r="13" customFormat="false" ht="15" hidden="false" customHeight="false" outlineLevel="0" collapsed="false">
      <c r="A13" s="12" t="s">
        <v>396</v>
      </c>
      <c r="B13" s="12" t="s">
        <v>397</v>
      </c>
      <c r="C13" s="12" t="s">
        <v>413</v>
      </c>
      <c r="D13" s="23" t="n">
        <v>2.4</v>
      </c>
      <c r="E13" s="23" t="n">
        <v>3</v>
      </c>
      <c r="F13" s="23" t="n">
        <v>3.1</v>
      </c>
      <c r="G13" s="23" t="n">
        <v>3.4</v>
      </c>
      <c r="H13" s="23" t="n">
        <v>3</v>
      </c>
      <c r="I13" s="23" t="n">
        <v>2.7</v>
      </c>
      <c r="J13" s="23" t="n">
        <v>2.5</v>
      </c>
      <c r="K13" s="23" t="n">
        <v>3.7</v>
      </c>
      <c r="L13" s="23" t="n">
        <v>2.2</v>
      </c>
      <c r="M13" s="23" t="n">
        <v>2.2</v>
      </c>
      <c r="N13" s="23" t="n">
        <v>2.8</v>
      </c>
      <c r="O13" s="23" t="n">
        <v>2.2</v>
      </c>
      <c r="P13" s="23" t="n">
        <v>2.4</v>
      </c>
      <c r="Q13" s="23" t="n">
        <v>2.7</v>
      </c>
      <c r="R13" s="23" t="n">
        <v>3.1</v>
      </c>
      <c r="S13" s="23" t="n">
        <v>3.3</v>
      </c>
      <c r="T13" s="23" t="n">
        <v>4.1</v>
      </c>
      <c r="U13" s="23" t="n">
        <v>4.9</v>
      </c>
      <c r="V13" s="23" t="n">
        <v>4.9</v>
      </c>
      <c r="W13" s="23" t="n">
        <v>4</v>
      </c>
      <c r="X13" s="23" t="n">
        <v>4.6</v>
      </c>
    </row>
    <row r="14" customFormat="false" ht="15" hidden="false" customHeight="false" outlineLevel="0" collapsed="false">
      <c r="A14" s="12" t="s">
        <v>396</v>
      </c>
      <c r="B14" s="12" t="s">
        <v>408</v>
      </c>
      <c r="C14" s="12" t="s">
        <v>398</v>
      </c>
      <c r="D14" s="23" t="n">
        <v>42.8</v>
      </c>
      <c r="E14" s="23" t="n">
        <v>43.2</v>
      </c>
      <c r="F14" s="23" t="n">
        <v>44.5</v>
      </c>
      <c r="G14" s="23" t="n">
        <v>40.5</v>
      </c>
      <c r="H14" s="23" t="n">
        <v>30.5</v>
      </c>
      <c r="I14" s="23" t="n">
        <v>27.2</v>
      </c>
      <c r="J14" s="23" t="n">
        <v>24.1</v>
      </c>
      <c r="K14" s="23" t="n">
        <v>18.5</v>
      </c>
      <c r="L14" s="23" t="n">
        <v>19.4</v>
      </c>
      <c r="M14" s="23" t="n">
        <v>18.6</v>
      </c>
      <c r="N14" s="23" t="n">
        <v>20.8</v>
      </c>
      <c r="O14" s="23" t="n">
        <v>19.4</v>
      </c>
      <c r="P14" s="23" t="n">
        <v>20.8</v>
      </c>
      <c r="Q14" s="23" t="n">
        <v>23.9</v>
      </c>
      <c r="R14" s="23" t="n">
        <v>22.8</v>
      </c>
      <c r="S14" s="23" t="n">
        <v>20.7</v>
      </c>
      <c r="T14" s="23" t="n">
        <v>22.7</v>
      </c>
      <c r="U14" s="23" t="n">
        <v>24.7</v>
      </c>
      <c r="V14" s="23" t="n">
        <v>24.3</v>
      </c>
      <c r="W14" s="23" t="n">
        <v>27.4</v>
      </c>
      <c r="X14" s="23" t="n">
        <v>27.5</v>
      </c>
    </row>
    <row r="15" customFormat="false" ht="15" hidden="false" customHeight="false" outlineLevel="0" collapsed="false">
      <c r="A15" s="12" t="s">
        <v>396</v>
      </c>
      <c r="B15" s="12" t="s">
        <v>408</v>
      </c>
      <c r="C15" s="12" t="s">
        <v>411</v>
      </c>
      <c r="D15" s="23" t="n">
        <v>77.8</v>
      </c>
      <c r="E15" s="23" t="n">
        <v>79.7</v>
      </c>
      <c r="F15" s="23" t="n">
        <v>80</v>
      </c>
      <c r="G15" s="23" t="n">
        <v>77.6</v>
      </c>
      <c r="H15" s="23" t="n">
        <v>72.2</v>
      </c>
      <c r="I15" s="23" t="n">
        <v>70.6</v>
      </c>
      <c r="J15" s="23" t="n">
        <v>69.8</v>
      </c>
      <c r="K15" s="23" t="n">
        <v>66.6</v>
      </c>
      <c r="L15" s="23" t="n">
        <v>66.4</v>
      </c>
      <c r="M15" s="23" t="n">
        <v>67.3</v>
      </c>
      <c r="N15" s="23" t="n">
        <v>69.5</v>
      </c>
      <c r="O15" s="23" t="n">
        <v>69.7</v>
      </c>
      <c r="P15" s="23" t="n">
        <v>71</v>
      </c>
      <c r="Q15" s="23" t="n">
        <v>72.3</v>
      </c>
      <c r="R15" s="23" t="n">
        <v>73</v>
      </c>
      <c r="S15" s="23" t="n">
        <v>70.2</v>
      </c>
      <c r="T15" s="23" t="n">
        <v>72.1</v>
      </c>
      <c r="U15" s="23" t="n">
        <v>73.4</v>
      </c>
      <c r="V15" s="23" t="n">
        <v>73.6</v>
      </c>
      <c r="W15" s="23" t="n">
        <v>74.1</v>
      </c>
      <c r="X15" s="23" t="n">
        <v>74.7</v>
      </c>
    </row>
    <row r="16" customFormat="false" ht="15" hidden="false" customHeight="false" outlineLevel="0" collapsed="false">
      <c r="A16" s="12" t="s">
        <v>396</v>
      </c>
      <c r="B16" s="12" t="s">
        <v>408</v>
      </c>
      <c r="C16" s="12" t="s">
        <v>400</v>
      </c>
      <c r="D16" s="23" t="n">
        <v>71.4</v>
      </c>
      <c r="E16" s="23" t="n">
        <v>73.1</v>
      </c>
      <c r="F16" s="23" t="n">
        <v>73.6</v>
      </c>
      <c r="G16" s="23" t="n">
        <v>71.8</v>
      </c>
      <c r="H16" s="23" t="n">
        <v>66.6</v>
      </c>
      <c r="I16" s="23" t="n">
        <v>65.1</v>
      </c>
      <c r="J16" s="23" t="n">
        <v>63.8</v>
      </c>
      <c r="K16" s="23" t="n">
        <v>61</v>
      </c>
      <c r="L16" s="23" t="n">
        <v>60.2</v>
      </c>
      <c r="M16" s="23" t="n">
        <v>60.4</v>
      </c>
      <c r="N16" s="23" t="n">
        <v>62.7</v>
      </c>
      <c r="O16" s="23" t="n">
        <v>62.8</v>
      </c>
      <c r="P16" s="23" t="n">
        <v>63.6</v>
      </c>
      <c r="Q16" s="23" t="n">
        <v>65</v>
      </c>
      <c r="R16" s="23" t="n">
        <v>65.8</v>
      </c>
      <c r="S16" s="23" t="n">
        <v>63</v>
      </c>
      <c r="T16" s="23" t="n">
        <v>64.8</v>
      </c>
      <c r="U16" s="23" t="n">
        <v>66.2</v>
      </c>
      <c r="V16" s="23" t="n">
        <v>66.3</v>
      </c>
      <c r="W16" s="23" t="n">
        <v>66.9</v>
      </c>
      <c r="X16" s="23" t="n">
        <v>67.8</v>
      </c>
    </row>
    <row r="17" customFormat="false" ht="15" hidden="false" customHeight="false" outlineLevel="0" collapsed="false">
      <c r="A17" s="12" t="s">
        <v>396</v>
      </c>
      <c r="B17" s="12" t="s">
        <v>408</v>
      </c>
      <c r="C17" s="12" t="s">
        <v>401</v>
      </c>
      <c r="D17" s="23" t="n">
        <v>67.7</v>
      </c>
      <c r="E17" s="23" t="n">
        <v>69.3</v>
      </c>
      <c r="F17" s="23" t="n">
        <v>69.6</v>
      </c>
      <c r="G17" s="23" t="n">
        <v>67.4</v>
      </c>
      <c r="H17" s="23" t="n">
        <v>62.5</v>
      </c>
      <c r="I17" s="23" t="n">
        <v>60.8</v>
      </c>
      <c r="J17" s="23" t="n">
        <v>59.6</v>
      </c>
      <c r="K17" s="23" t="n">
        <v>57</v>
      </c>
      <c r="L17" s="23" t="n">
        <v>56</v>
      </c>
      <c r="M17" s="23" t="n">
        <v>56.4</v>
      </c>
      <c r="N17" s="23" t="n">
        <v>58</v>
      </c>
      <c r="O17" s="23" t="n">
        <v>57.8</v>
      </c>
      <c r="P17" s="23" t="n">
        <v>58.7</v>
      </c>
      <c r="Q17" s="23" t="n">
        <v>59.7</v>
      </c>
      <c r="R17" s="23" t="n">
        <v>60.3</v>
      </c>
      <c r="S17" s="23" t="n">
        <v>58.1</v>
      </c>
      <c r="T17" s="23" t="n">
        <v>59.7</v>
      </c>
      <c r="U17" s="23" t="n">
        <v>60.9</v>
      </c>
      <c r="V17" s="23" t="n">
        <v>61</v>
      </c>
      <c r="W17" s="23" t="n">
        <v>61.1</v>
      </c>
      <c r="X17" s="23" t="n">
        <v>61.5</v>
      </c>
    </row>
    <row r="18" customFormat="false" ht="15" hidden="false" customHeight="false" outlineLevel="0" collapsed="false">
      <c r="A18" s="12" t="s">
        <v>396</v>
      </c>
      <c r="B18" s="12" t="s">
        <v>408</v>
      </c>
      <c r="C18" s="12" t="s">
        <v>402</v>
      </c>
      <c r="D18" s="23" t="n">
        <v>82.7</v>
      </c>
      <c r="E18" s="23" t="n">
        <v>84.5</v>
      </c>
      <c r="F18" s="23" t="n">
        <v>84.5</v>
      </c>
      <c r="G18" s="23" t="n">
        <v>82.2</v>
      </c>
      <c r="H18" s="23" t="n">
        <v>76.8</v>
      </c>
      <c r="I18" s="23" t="n">
        <v>75.5</v>
      </c>
      <c r="J18" s="23" t="n">
        <v>74.3</v>
      </c>
      <c r="K18" s="23" t="n">
        <v>71.3</v>
      </c>
      <c r="L18" s="23" t="n">
        <v>70.9</v>
      </c>
      <c r="M18" s="23" t="n">
        <v>72.2</v>
      </c>
      <c r="N18" s="23" t="n">
        <v>74.4</v>
      </c>
      <c r="O18" s="23" t="n">
        <v>75</v>
      </c>
      <c r="P18" s="23" t="n">
        <v>76.5</v>
      </c>
      <c r="Q18" s="23" t="n">
        <v>77.9</v>
      </c>
      <c r="R18" s="23" t="n">
        <v>78.8</v>
      </c>
      <c r="S18" s="23" t="n">
        <v>75.8</v>
      </c>
      <c r="T18" s="23" t="n">
        <v>77.9</v>
      </c>
      <c r="U18" s="23" t="n">
        <v>79.5</v>
      </c>
      <c r="V18" s="23" t="n">
        <v>79.8</v>
      </c>
      <c r="W18" s="23" t="n">
        <v>80.3</v>
      </c>
      <c r="X18" s="23" t="n">
        <v>81.1</v>
      </c>
    </row>
    <row r="19" customFormat="false" ht="15" hidden="false" customHeight="false" outlineLevel="0" collapsed="false">
      <c r="A19" s="12" t="s">
        <v>396</v>
      </c>
      <c r="B19" s="12" t="s">
        <v>408</v>
      </c>
      <c r="C19" s="12" t="s">
        <v>403</v>
      </c>
      <c r="D19" s="23" t="n">
        <v>86.8</v>
      </c>
      <c r="E19" s="23" t="n">
        <v>88.1</v>
      </c>
      <c r="F19" s="23" t="n">
        <v>88</v>
      </c>
      <c r="G19" s="23" t="n">
        <v>85.7</v>
      </c>
      <c r="H19" s="23" t="n">
        <v>79.8</v>
      </c>
      <c r="I19" s="23" t="n">
        <v>78.2</v>
      </c>
      <c r="J19" s="23" t="n">
        <v>76.3</v>
      </c>
      <c r="K19" s="23" t="n">
        <v>73.4</v>
      </c>
      <c r="L19" s="23" t="n">
        <v>73.6</v>
      </c>
      <c r="M19" s="23" t="n">
        <v>75.2</v>
      </c>
      <c r="N19" s="23" t="n">
        <v>75.6</v>
      </c>
      <c r="O19" s="23" t="n">
        <v>77</v>
      </c>
      <c r="P19" s="23" t="n">
        <v>77.7</v>
      </c>
      <c r="Q19" s="23" t="n">
        <v>81.9</v>
      </c>
      <c r="R19" s="23" t="n">
        <v>81.8</v>
      </c>
      <c r="S19" s="23" t="n">
        <v>74.6</v>
      </c>
      <c r="T19" s="23" t="n">
        <v>79.6</v>
      </c>
      <c r="U19" s="23" t="n">
        <v>82.8</v>
      </c>
      <c r="V19" s="23" t="n">
        <v>83.9</v>
      </c>
      <c r="W19" s="23" t="n">
        <v>82.2</v>
      </c>
      <c r="X19" s="23" t="n">
        <v>81.8</v>
      </c>
    </row>
    <row r="20" customFormat="false" ht="15" hidden="false" customHeight="false" outlineLevel="0" collapsed="false">
      <c r="A20" s="12" t="s">
        <v>396</v>
      </c>
      <c r="B20" s="12" t="s">
        <v>408</v>
      </c>
      <c r="C20" s="12" t="s">
        <v>412</v>
      </c>
      <c r="D20" s="23" t="n">
        <v>85.2</v>
      </c>
      <c r="E20" s="23" t="n">
        <v>87</v>
      </c>
      <c r="F20" s="23" t="n">
        <v>86.8</v>
      </c>
      <c r="G20" s="23" t="n">
        <v>84.5</v>
      </c>
      <c r="H20" s="23" t="n">
        <v>79.7</v>
      </c>
      <c r="I20" s="23" t="n">
        <v>78.3</v>
      </c>
      <c r="J20" s="23" t="n">
        <v>77.4</v>
      </c>
      <c r="K20" s="23" t="n">
        <v>74.7</v>
      </c>
      <c r="L20" s="23" t="n">
        <v>74.2</v>
      </c>
      <c r="M20" s="23" t="n">
        <v>75.6</v>
      </c>
      <c r="N20" s="23" t="n">
        <v>77.6</v>
      </c>
      <c r="O20" s="23" t="n">
        <v>78.4</v>
      </c>
      <c r="P20" s="23" t="n">
        <v>79.8</v>
      </c>
      <c r="Q20" s="23" t="n">
        <v>80.9</v>
      </c>
      <c r="R20" s="23" t="n">
        <v>82.2</v>
      </c>
      <c r="S20" s="23" t="n">
        <v>79.5</v>
      </c>
      <c r="T20" s="23" t="n">
        <v>81.4</v>
      </c>
      <c r="U20" s="23" t="n">
        <v>82.9</v>
      </c>
      <c r="V20" s="23" t="n">
        <v>83.5</v>
      </c>
      <c r="W20" s="23" t="n">
        <v>83.7</v>
      </c>
      <c r="X20" s="23" t="n">
        <v>84.6</v>
      </c>
    </row>
    <row r="21" customFormat="false" ht="15" hidden="false" customHeight="false" outlineLevel="0" collapsed="false">
      <c r="A21" s="12" t="s">
        <v>396</v>
      </c>
      <c r="B21" s="12" t="s">
        <v>408</v>
      </c>
      <c r="C21" s="12" t="s">
        <v>404</v>
      </c>
      <c r="D21" s="23" t="n">
        <v>72.1</v>
      </c>
      <c r="E21" s="23" t="n">
        <v>73.7</v>
      </c>
      <c r="F21" s="23" t="n">
        <v>73.7</v>
      </c>
      <c r="G21" s="23" t="n">
        <v>71.7</v>
      </c>
      <c r="H21" s="23" t="n">
        <v>67.4</v>
      </c>
      <c r="I21" s="23" t="n">
        <v>65.7</v>
      </c>
      <c r="J21" s="23" t="n">
        <v>64.5</v>
      </c>
      <c r="K21" s="23" t="n">
        <v>62.3</v>
      </c>
      <c r="L21" s="23" t="n">
        <v>61</v>
      </c>
      <c r="M21" s="23" t="n">
        <v>61.6</v>
      </c>
      <c r="N21" s="23" t="n">
        <v>63</v>
      </c>
      <c r="O21" s="23" t="n">
        <v>63.1</v>
      </c>
      <c r="P21" s="23" t="n">
        <v>64</v>
      </c>
      <c r="Q21" s="23" t="n">
        <v>64.7</v>
      </c>
      <c r="R21" s="23" t="n">
        <v>65.8</v>
      </c>
      <c r="S21" s="23" t="n">
        <v>63.7</v>
      </c>
      <c r="T21" s="23" t="n">
        <v>65.2</v>
      </c>
      <c r="U21" s="23" t="n">
        <v>66.5</v>
      </c>
      <c r="V21" s="23" t="n">
        <v>66.8</v>
      </c>
      <c r="W21" s="23" t="n">
        <v>66.5</v>
      </c>
      <c r="X21" s="23" t="n">
        <v>67</v>
      </c>
    </row>
    <row r="22" customFormat="false" ht="15" hidden="false" customHeight="false" outlineLevel="0" collapsed="false">
      <c r="A22" s="12" t="s">
        <v>396</v>
      </c>
      <c r="B22" s="12" t="s">
        <v>408</v>
      </c>
      <c r="C22" s="12" t="s">
        <v>405</v>
      </c>
      <c r="D22" s="23" t="n">
        <v>91.6</v>
      </c>
      <c r="E22" s="23" t="n">
        <v>92.4</v>
      </c>
      <c r="F22" s="23" t="n">
        <v>93.4</v>
      </c>
      <c r="G22" s="23" t="n">
        <v>90.5</v>
      </c>
      <c r="H22" s="23" t="n">
        <v>83.5</v>
      </c>
      <c r="I22" s="23" t="n">
        <v>81.7</v>
      </c>
      <c r="J22" s="23" t="n">
        <v>82.1</v>
      </c>
      <c r="K22" s="23" t="n">
        <v>81.5</v>
      </c>
      <c r="L22" s="23" t="n">
        <v>81.6</v>
      </c>
      <c r="M22" s="23" t="n">
        <v>82.9</v>
      </c>
      <c r="N22" s="23" t="n">
        <v>84.6</v>
      </c>
      <c r="O22" s="23" t="n">
        <v>84.8</v>
      </c>
      <c r="P22" s="23" t="n">
        <v>86.9</v>
      </c>
      <c r="Q22" s="23" t="n">
        <v>85.8</v>
      </c>
      <c r="R22" s="23" t="n">
        <v>87</v>
      </c>
      <c r="S22" s="23" t="n">
        <v>84</v>
      </c>
      <c r="T22" s="23" t="n">
        <v>86</v>
      </c>
      <c r="U22" s="23" t="n">
        <v>88.2</v>
      </c>
      <c r="V22" s="23" t="n">
        <v>88.6</v>
      </c>
      <c r="W22" s="23" t="n">
        <v>89.6</v>
      </c>
      <c r="X22" s="23" t="n">
        <v>89.9</v>
      </c>
    </row>
    <row r="23" customFormat="false" ht="15" hidden="false" customHeight="false" outlineLevel="0" collapsed="false">
      <c r="A23" s="12" t="s">
        <v>396</v>
      </c>
      <c r="B23" s="12" t="s">
        <v>408</v>
      </c>
      <c r="C23" s="12" t="s">
        <v>406</v>
      </c>
      <c r="D23" s="23" t="n">
        <v>89.1</v>
      </c>
      <c r="E23" s="23" t="n">
        <v>92.5</v>
      </c>
      <c r="F23" s="23" t="n">
        <v>91.3</v>
      </c>
      <c r="G23" s="23" t="n">
        <v>88.9</v>
      </c>
      <c r="H23" s="23" t="n">
        <v>86.4</v>
      </c>
      <c r="I23" s="23" t="n">
        <v>84.7</v>
      </c>
      <c r="J23" s="23" t="n">
        <v>83</v>
      </c>
      <c r="K23" s="23" t="n">
        <v>78.3</v>
      </c>
      <c r="L23" s="23" t="n">
        <v>78.2</v>
      </c>
      <c r="M23" s="23" t="n">
        <v>79.7</v>
      </c>
      <c r="N23" s="23" t="n">
        <v>81.3</v>
      </c>
      <c r="O23" s="23" t="n">
        <v>83.9</v>
      </c>
      <c r="P23" s="23" t="n">
        <v>84.8</v>
      </c>
      <c r="Q23" s="23" t="n">
        <v>84.6</v>
      </c>
      <c r="R23" s="23" t="n">
        <v>87.7</v>
      </c>
      <c r="S23" s="23" t="n">
        <v>86.6</v>
      </c>
      <c r="T23" s="23" t="n">
        <v>87.1</v>
      </c>
      <c r="U23" s="23" t="n">
        <v>86.6</v>
      </c>
      <c r="V23" s="23" t="n">
        <v>87.8</v>
      </c>
      <c r="W23" s="23" t="n">
        <v>87.9</v>
      </c>
      <c r="X23" s="23" t="n">
        <v>90.4</v>
      </c>
    </row>
    <row r="24" customFormat="false" ht="15" hidden="false" customHeight="false" outlineLevel="0" collapsed="false">
      <c r="A24" s="12" t="s">
        <v>396</v>
      </c>
      <c r="B24" s="12" t="s">
        <v>408</v>
      </c>
      <c r="C24" s="12" t="s">
        <v>407</v>
      </c>
      <c r="D24" s="23" t="n">
        <v>66.2</v>
      </c>
      <c r="E24" s="23" t="n">
        <v>68</v>
      </c>
      <c r="F24" s="23" t="n">
        <v>67.2</v>
      </c>
      <c r="G24" s="23" t="n">
        <v>65.8</v>
      </c>
      <c r="H24" s="23" t="n">
        <v>63.7</v>
      </c>
      <c r="I24" s="23" t="n">
        <v>63.2</v>
      </c>
      <c r="J24" s="23" t="n">
        <v>62.9</v>
      </c>
      <c r="K24" s="23" t="n">
        <v>59.1</v>
      </c>
      <c r="L24" s="23" t="n">
        <v>56.3</v>
      </c>
      <c r="M24" s="23" t="n">
        <v>57.8</v>
      </c>
      <c r="N24" s="23" t="n">
        <v>63.2</v>
      </c>
      <c r="O24" s="23" t="n">
        <v>62</v>
      </c>
      <c r="P24" s="23" t="n">
        <v>64</v>
      </c>
      <c r="Q24" s="23" t="n">
        <v>67.6</v>
      </c>
      <c r="R24" s="23" t="n">
        <v>68.3</v>
      </c>
      <c r="S24" s="23" t="n">
        <v>68.7</v>
      </c>
      <c r="T24" s="23" t="n">
        <v>69.8</v>
      </c>
      <c r="U24" s="23" t="n">
        <v>71.9</v>
      </c>
      <c r="V24" s="23" t="n">
        <v>71.7</v>
      </c>
      <c r="W24" s="23" t="n">
        <v>73.7</v>
      </c>
      <c r="X24" s="23" t="n">
        <v>74.6</v>
      </c>
    </row>
    <row r="25" customFormat="false" ht="15" hidden="false" customHeight="false" outlineLevel="0" collapsed="false">
      <c r="A25" s="12" t="s">
        <v>396</v>
      </c>
      <c r="B25" s="12" t="s">
        <v>408</v>
      </c>
      <c r="C25" s="12" t="s">
        <v>413</v>
      </c>
      <c r="D25" s="23" t="n">
        <v>4.1</v>
      </c>
      <c r="E25" s="23" t="n">
        <v>5.4</v>
      </c>
      <c r="F25" s="23" t="n">
        <v>5.2</v>
      </c>
      <c r="G25" s="23" t="n">
        <v>5.1</v>
      </c>
      <c r="H25" s="23" t="n">
        <v>4.9</v>
      </c>
      <c r="I25" s="23" t="n">
        <v>4.1</v>
      </c>
      <c r="J25" s="23" t="n">
        <v>3.4</v>
      </c>
      <c r="K25" s="23" t="n">
        <v>5.4</v>
      </c>
      <c r="L25" s="23" t="n">
        <v>3.5</v>
      </c>
      <c r="M25" s="23" t="n">
        <v>3</v>
      </c>
      <c r="N25" s="23" t="n">
        <v>3.6</v>
      </c>
      <c r="O25" s="23" t="n">
        <v>2.7</v>
      </c>
      <c r="P25" s="23" t="n">
        <v>3.1</v>
      </c>
      <c r="Q25" s="23" t="n">
        <v>3.2</v>
      </c>
      <c r="R25" s="23" t="n">
        <v>3.9</v>
      </c>
      <c r="S25" s="23" t="n">
        <v>4.6</v>
      </c>
      <c r="T25" s="23" t="n">
        <v>5.2</v>
      </c>
      <c r="U25" s="23" t="n">
        <v>6.6</v>
      </c>
      <c r="V25" s="23" t="n">
        <v>6.4</v>
      </c>
      <c r="W25" s="23" t="n">
        <v>5.4</v>
      </c>
      <c r="X25" s="23" t="n">
        <v>5.5</v>
      </c>
    </row>
    <row r="26" customFormat="false" ht="15" hidden="false" customHeight="false" outlineLevel="0" collapsed="false">
      <c r="A26" s="12" t="s">
        <v>396</v>
      </c>
      <c r="B26" s="12" t="s">
        <v>409</v>
      </c>
      <c r="C26" s="12" t="s">
        <v>398</v>
      </c>
      <c r="D26" s="23" t="n">
        <v>37.4</v>
      </c>
      <c r="E26" s="23" t="n">
        <v>42</v>
      </c>
      <c r="F26" s="23" t="n">
        <v>38.8</v>
      </c>
      <c r="G26" s="23" t="n">
        <v>36.1</v>
      </c>
      <c r="H26" s="23" t="n">
        <v>29.3</v>
      </c>
      <c r="I26" s="23" t="n">
        <v>26.8</v>
      </c>
      <c r="J26" s="23" t="n">
        <v>23</v>
      </c>
      <c r="K26" s="23" t="n">
        <v>21</v>
      </c>
      <c r="L26" s="23" t="n">
        <v>19.2</v>
      </c>
      <c r="M26" s="23" t="n">
        <v>18.4</v>
      </c>
      <c r="N26" s="23" t="n">
        <v>20.8</v>
      </c>
      <c r="O26" s="23" t="n">
        <v>19.7</v>
      </c>
      <c r="P26" s="23" t="n">
        <v>21</v>
      </c>
      <c r="Q26" s="23" t="n">
        <v>23.9</v>
      </c>
      <c r="R26" s="23" t="n">
        <v>21.8</v>
      </c>
      <c r="S26" s="23" t="n">
        <v>19.2</v>
      </c>
      <c r="T26" s="23" t="n">
        <v>24.6</v>
      </c>
      <c r="U26" s="23" t="n">
        <v>24.6</v>
      </c>
      <c r="V26" s="23" t="n">
        <v>23</v>
      </c>
      <c r="W26" s="23" t="n">
        <v>26.1</v>
      </c>
      <c r="X26" s="23" t="n">
        <v>27.2</v>
      </c>
    </row>
    <row r="27" customFormat="false" ht="15" hidden="false" customHeight="false" outlineLevel="0" collapsed="false">
      <c r="A27" s="12" t="s">
        <v>396</v>
      </c>
      <c r="B27" s="12" t="s">
        <v>409</v>
      </c>
      <c r="C27" s="12" t="s">
        <v>411</v>
      </c>
      <c r="D27" s="23" t="n">
        <v>60.5</v>
      </c>
      <c r="E27" s="23" t="n">
        <v>61.9</v>
      </c>
      <c r="F27" s="23" t="n">
        <v>63</v>
      </c>
      <c r="G27" s="23" t="n">
        <v>62.8</v>
      </c>
      <c r="H27" s="23" t="n">
        <v>61.3</v>
      </c>
      <c r="I27" s="23" t="n">
        <v>61</v>
      </c>
      <c r="J27" s="23" t="n">
        <v>60.3</v>
      </c>
      <c r="K27" s="23" t="n">
        <v>60.4</v>
      </c>
      <c r="L27" s="23" t="n">
        <v>58.7</v>
      </c>
      <c r="M27" s="23" t="n">
        <v>59</v>
      </c>
      <c r="N27" s="23" t="n">
        <v>61.3</v>
      </c>
      <c r="O27" s="23" t="n">
        <v>61.8</v>
      </c>
      <c r="P27" s="23" t="n">
        <v>63</v>
      </c>
      <c r="Q27" s="23" t="n">
        <v>63.5</v>
      </c>
      <c r="R27" s="23" t="n">
        <v>65.2</v>
      </c>
      <c r="S27" s="23" t="n">
        <v>63.6</v>
      </c>
      <c r="T27" s="23" t="n">
        <v>65.7</v>
      </c>
      <c r="U27" s="23" t="n">
        <v>64.9</v>
      </c>
      <c r="V27" s="23" t="n">
        <v>66.4</v>
      </c>
      <c r="W27" s="23" t="n">
        <v>68.2</v>
      </c>
      <c r="X27" s="23" t="n">
        <v>69.5</v>
      </c>
    </row>
    <row r="28" customFormat="false" ht="15" hidden="false" customHeight="false" outlineLevel="0" collapsed="false">
      <c r="A28" s="12" t="s">
        <v>396</v>
      </c>
      <c r="B28" s="12" t="s">
        <v>409</v>
      </c>
      <c r="C28" s="12" t="s">
        <v>400</v>
      </c>
      <c r="D28" s="23" t="n">
        <v>54.3</v>
      </c>
      <c r="E28" s="23" t="n">
        <v>55.8</v>
      </c>
      <c r="F28" s="23" t="n">
        <v>56.9</v>
      </c>
      <c r="G28" s="23" t="n">
        <v>56.7</v>
      </c>
      <c r="H28" s="23" t="n">
        <v>55.4</v>
      </c>
      <c r="I28" s="23" t="n">
        <v>55.3</v>
      </c>
      <c r="J28" s="23" t="n">
        <v>54.4</v>
      </c>
      <c r="K28" s="23" t="n">
        <v>54.1</v>
      </c>
      <c r="L28" s="23" t="n">
        <v>52.3</v>
      </c>
      <c r="M28" s="23" t="n">
        <v>52.1</v>
      </c>
      <c r="N28" s="23" t="n">
        <v>54.2</v>
      </c>
      <c r="O28" s="23" t="n">
        <v>54.4</v>
      </c>
      <c r="P28" s="23" t="n">
        <v>55.4</v>
      </c>
      <c r="Q28" s="23" t="n">
        <v>56.1</v>
      </c>
      <c r="R28" s="23" t="n">
        <v>57.7</v>
      </c>
      <c r="S28" s="23" t="n">
        <v>56.2</v>
      </c>
      <c r="T28" s="23" t="n">
        <v>57.9</v>
      </c>
      <c r="U28" s="23" t="n">
        <v>57.1</v>
      </c>
      <c r="V28" s="23" t="n">
        <v>58.3</v>
      </c>
      <c r="W28" s="23" t="n">
        <v>59.8</v>
      </c>
      <c r="X28" s="23" t="n">
        <v>61.2</v>
      </c>
    </row>
    <row r="29" customFormat="false" ht="15" hidden="false" customHeight="false" outlineLevel="0" collapsed="false">
      <c r="A29" s="12" t="s">
        <v>396</v>
      </c>
      <c r="B29" s="12" t="s">
        <v>409</v>
      </c>
      <c r="C29" s="12" t="s">
        <v>401</v>
      </c>
      <c r="D29" s="23" t="n">
        <v>49.6</v>
      </c>
      <c r="E29" s="23" t="n">
        <v>50.6</v>
      </c>
      <c r="F29" s="23" t="n">
        <v>51.6</v>
      </c>
      <c r="G29" s="23" t="n">
        <v>51.6</v>
      </c>
      <c r="H29" s="23" t="n">
        <v>50.1</v>
      </c>
      <c r="I29" s="23" t="n">
        <v>49.6</v>
      </c>
      <c r="J29" s="23" t="n">
        <v>48.8</v>
      </c>
      <c r="K29" s="23" t="n">
        <v>48.8</v>
      </c>
      <c r="L29" s="23" t="n">
        <v>46.8</v>
      </c>
      <c r="M29" s="23" t="n">
        <v>46.7</v>
      </c>
      <c r="N29" s="23" t="n">
        <v>48.5</v>
      </c>
      <c r="O29" s="23" t="n">
        <v>48.6</v>
      </c>
      <c r="P29" s="23" t="n">
        <v>49.3</v>
      </c>
      <c r="Q29" s="23" t="n">
        <v>49.8</v>
      </c>
      <c r="R29" s="23" t="n">
        <v>51</v>
      </c>
      <c r="S29" s="23" t="n">
        <v>49.8</v>
      </c>
      <c r="T29" s="23" t="n">
        <v>51.2</v>
      </c>
      <c r="U29" s="23" t="n">
        <v>50.6</v>
      </c>
      <c r="V29" s="23" t="n">
        <v>51.7</v>
      </c>
      <c r="W29" s="23" t="n">
        <v>52.8</v>
      </c>
      <c r="X29" s="23" t="n">
        <v>53.9</v>
      </c>
    </row>
    <row r="30" customFormat="false" ht="15" hidden="false" customHeight="false" outlineLevel="0" collapsed="false">
      <c r="A30" s="12" t="s">
        <v>396</v>
      </c>
      <c r="B30" s="12" t="s">
        <v>409</v>
      </c>
      <c r="C30" s="12" t="s">
        <v>402</v>
      </c>
      <c r="D30" s="23" t="n">
        <v>63.8</v>
      </c>
      <c r="E30" s="23" t="n">
        <v>65.1</v>
      </c>
      <c r="F30" s="23" t="n">
        <v>66.5</v>
      </c>
      <c r="G30" s="23" t="n">
        <v>66.4</v>
      </c>
      <c r="H30" s="23" t="n">
        <v>65</v>
      </c>
      <c r="I30" s="23" t="n">
        <v>64.8</v>
      </c>
      <c r="J30" s="23" t="n">
        <v>64.3</v>
      </c>
      <c r="K30" s="23" t="n">
        <v>64.2</v>
      </c>
      <c r="L30" s="23" t="n">
        <v>62.4</v>
      </c>
      <c r="M30" s="23" t="n">
        <v>62.6</v>
      </c>
      <c r="N30" s="23" t="n">
        <v>65.3</v>
      </c>
      <c r="O30" s="23" t="n">
        <v>66</v>
      </c>
      <c r="P30" s="23" t="n">
        <v>67.5</v>
      </c>
      <c r="Q30" s="23" t="n">
        <v>68.2</v>
      </c>
      <c r="R30" s="23" t="n">
        <v>69.9</v>
      </c>
      <c r="S30" s="23" t="n">
        <v>68.3</v>
      </c>
      <c r="T30" s="23" t="n">
        <v>70.4</v>
      </c>
      <c r="U30" s="23" t="n">
        <v>69.7</v>
      </c>
      <c r="V30" s="23" t="n">
        <v>71.5</v>
      </c>
      <c r="W30" s="23" t="n">
        <v>73.5</v>
      </c>
      <c r="X30" s="23" t="n">
        <v>74.8</v>
      </c>
    </row>
    <row r="31" customFormat="false" ht="15" hidden="false" customHeight="false" outlineLevel="0" collapsed="false">
      <c r="A31" s="12" t="s">
        <v>396</v>
      </c>
      <c r="B31" s="12" t="s">
        <v>409</v>
      </c>
      <c r="C31" s="12" t="s">
        <v>403</v>
      </c>
      <c r="D31" s="23" t="n">
        <v>79.6</v>
      </c>
      <c r="E31" s="23" t="n">
        <v>77.8</v>
      </c>
      <c r="F31" s="23" t="n">
        <v>79.1</v>
      </c>
      <c r="G31" s="23" t="n">
        <v>79.9</v>
      </c>
      <c r="H31" s="23" t="n">
        <v>76</v>
      </c>
      <c r="I31" s="23" t="n">
        <v>74.6</v>
      </c>
      <c r="J31" s="23" t="n">
        <v>73.8</v>
      </c>
      <c r="K31" s="23" t="n">
        <v>73.5</v>
      </c>
      <c r="L31" s="23" t="n">
        <v>72</v>
      </c>
      <c r="M31" s="23" t="n">
        <v>72</v>
      </c>
      <c r="N31" s="23" t="n">
        <v>71</v>
      </c>
      <c r="O31" s="23" t="n">
        <v>71.7</v>
      </c>
      <c r="P31" s="23" t="n">
        <v>72.7</v>
      </c>
      <c r="Q31" s="23" t="n">
        <v>74</v>
      </c>
      <c r="R31" s="23" t="n">
        <v>77.3</v>
      </c>
      <c r="S31" s="23" t="n">
        <v>74.2</v>
      </c>
      <c r="T31" s="23" t="n">
        <v>77</v>
      </c>
      <c r="U31" s="23" t="n">
        <v>76.8</v>
      </c>
      <c r="V31" s="23" t="n">
        <v>75.1</v>
      </c>
      <c r="W31" s="23" t="n">
        <v>76.5</v>
      </c>
      <c r="X31" s="23" t="n">
        <v>80.1</v>
      </c>
    </row>
    <row r="32" customFormat="false" ht="15" hidden="false" customHeight="false" outlineLevel="0" collapsed="false">
      <c r="A32" s="12" t="s">
        <v>396</v>
      </c>
      <c r="B32" s="12" t="s">
        <v>409</v>
      </c>
      <c r="C32" s="12" t="s">
        <v>412</v>
      </c>
      <c r="D32" s="23" t="n">
        <v>65</v>
      </c>
      <c r="E32" s="23" t="n">
        <v>65.6</v>
      </c>
      <c r="F32" s="23" t="n">
        <v>67.4</v>
      </c>
      <c r="G32" s="23" t="n">
        <v>67.6</v>
      </c>
      <c r="H32" s="23" t="n">
        <v>66.8</v>
      </c>
      <c r="I32" s="23" t="n">
        <v>66.7</v>
      </c>
      <c r="J32" s="23" t="n">
        <v>66.4</v>
      </c>
      <c r="K32" s="23" t="n">
        <v>66.6</v>
      </c>
      <c r="L32" s="23" t="n">
        <v>64.8</v>
      </c>
      <c r="M32" s="23" t="n">
        <v>65.2</v>
      </c>
      <c r="N32" s="23" t="n">
        <v>67.6</v>
      </c>
      <c r="O32" s="23" t="n">
        <v>68.5</v>
      </c>
      <c r="P32" s="23" t="n">
        <v>69.8</v>
      </c>
      <c r="Q32" s="23" t="n">
        <v>70.1</v>
      </c>
      <c r="R32" s="23" t="n">
        <v>72.5</v>
      </c>
      <c r="S32" s="23" t="n">
        <v>71.2</v>
      </c>
      <c r="T32" s="23" t="n">
        <v>72.7</v>
      </c>
      <c r="U32" s="23" t="n">
        <v>72.1</v>
      </c>
      <c r="V32" s="23" t="n">
        <v>74.4</v>
      </c>
      <c r="W32" s="23" t="n">
        <v>76.2</v>
      </c>
      <c r="X32" s="23" t="n">
        <v>77.6</v>
      </c>
    </row>
    <row r="33" customFormat="false" ht="15" hidden="false" customHeight="false" outlineLevel="0" collapsed="false">
      <c r="A33" s="12" t="s">
        <v>396</v>
      </c>
      <c r="B33" s="12" t="s">
        <v>409</v>
      </c>
      <c r="C33" s="12" t="s">
        <v>404</v>
      </c>
      <c r="D33" s="23" t="n">
        <v>51.4</v>
      </c>
      <c r="E33" s="23" t="n">
        <v>51.9</v>
      </c>
      <c r="F33" s="23" t="n">
        <v>53.5</v>
      </c>
      <c r="G33" s="23" t="n">
        <v>53.8</v>
      </c>
      <c r="H33" s="23" t="n">
        <v>52.9</v>
      </c>
      <c r="I33" s="23" t="n">
        <v>52.6</v>
      </c>
      <c r="J33" s="23" t="n">
        <v>52.1</v>
      </c>
      <c r="K33" s="23" t="n">
        <v>52.1</v>
      </c>
      <c r="L33" s="23" t="n">
        <v>50.1</v>
      </c>
      <c r="M33" s="23" t="n">
        <v>50</v>
      </c>
      <c r="N33" s="23" t="n">
        <v>51.7</v>
      </c>
      <c r="O33" s="23" t="n">
        <v>52</v>
      </c>
      <c r="P33" s="23" t="n">
        <v>52.8</v>
      </c>
      <c r="Q33" s="23" t="n">
        <v>53</v>
      </c>
      <c r="R33" s="23" t="n">
        <v>54.7</v>
      </c>
      <c r="S33" s="23" t="n">
        <v>53.7</v>
      </c>
      <c r="T33" s="23" t="n">
        <v>54.6</v>
      </c>
      <c r="U33" s="23" t="n">
        <v>54</v>
      </c>
      <c r="V33" s="23" t="n">
        <v>55.6</v>
      </c>
      <c r="W33" s="23" t="n">
        <v>56.5</v>
      </c>
      <c r="X33" s="23" t="n">
        <v>57.6</v>
      </c>
    </row>
    <row r="34" customFormat="false" ht="15" hidden="false" customHeight="false" outlineLevel="0" collapsed="false">
      <c r="A34" s="12" t="s">
        <v>396</v>
      </c>
      <c r="B34" s="12" t="s">
        <v>409</v>
      </c>
      <c r="C34" s="12" t="s">
        <v>405</v>
      </c>
      <c r="D34" s="23" t="n">
        <v>71.1</v>
      </c>
      <c r="E34" s="23" t="n">
        <v>75.2</v>
      </c>
      <c r="F34" s="23" t="n">
        <v>76.7</v>
      </c>
      <c r="G34" s="23" t="n">
        <v>74.2</v>
      </c>
      <c r="H34" s="23" t="n">
        <v>75.5</v>
      </c>
      <c r="I34" s="23" t="n">
        <v>73</v>
      </c>
      <c r="J34" s="23" t="n">
        <v>73.9</v>
      </c>
      <c r="K34" s="23" t="n">
        <v>73.7</v>
      </c>
      <c r="L34" s="23" t="n">
        <v>71.1</v>
      </c>
      <c r="M34" s="23" t="n">
        <v>73.3</v>
      </c>
      <c r="N34" s="23" t="n">
        <v>78</v>
      </c>
      <c r="O34" s="23" t="n">
        <v>78.4</v>
      </c>
      <c r="P34" s="23" t="n">
        <v>80</v>
      </c>
      <c r="Q34" s="23" t="n">
        <v>79.3</v>
      </c>
      <c r="R34" s="23" t="n">
        <v>80.6</v>
      </c>
      <c r="S34" s="23" t="n">
        <v>75.7</v>
      </c>
      <c r="T34" s="23" t="n">
        <v>79.4</v>
      </c>
      <c r="U34" s="23" t="n">
        <v>76.1</v>
      </c>
      <c r="V34" s="23" t="n">
        <v>82.6</v>
      </c>
      <c r="W34" s="23" t="n">
        <v>83.3</v>
      </c>
      <c r="X34" s="23" t="n">
        <v>82.9</v>
      </c>
    </row>
    <row r="35" customFormat="false" ht="15" hidden="false" customHeight="false" outlineLevel="0" collapsed="false">
      <c r="A35" s="12" t="s">
        <v>396</v>
      </c>
      <c r="B35" s="12" t="s">
        <v>409</v>
      </c>
      <c r="C35" s="12" t="s">
        <v>406</v>
      </c>
      <c r="D35" s="23" t="n">
        <v>62.8</v>
      </c>
      <c r="E35" s="23" t="n">
        <v>62.8</v>
      </c>
      <c r="F35" s="23" t="n">
        <v>67.2</v>
      </c>
      <c r="G35" s="23" t="n">
        <v>69.5</v>
      </c>
      <c r="H35" s="23" t="n">
        <v>69</v>
      </c>
      <c r="I35" s="23" t="n">
        <v>69.8</v>
      </c>
      <c r="J35" s="23" t="n">
        <v>67.7</v>
      </c>
      <c r="K35" s="23" t="n">
        <v>67.4</v>
      </c>
      <c r="L35" s="23" t="n">
        <v>66.6</v>
      </c>
      <c r="M35" s="23" t="n">
        <v>65.7</v>
      </c>
      <c r="N35" s="23" t="n">
        <v>69</v>
      </c>
      <c r="O35" s="23" t="n">
        <v>71.3</v>
      </c>
      <c r="P35" s="23" t="n">
        <v>70.5</v>
      </c>
      <c r="Q35" s="23" t="n">
        <v>72.8</v>
      </c>
      <c r="R35" s="23" t="n">
        <v>75.9</v>
      </c>
      <c r="S35" s="23" t="n">
        <v>75.4</v>
      </c>
      <c r="T35" s="23" t="n">
        <v>76</v>
      </c>
      <c r="U35" s="23" t="n">
        <v>76.1</v>
      </c>
      <c r="V35" s="23" t="n">
        <v>78.1</v>
      </c>
      <c r="W35" s="23" t="n">
        <v>81.8</v>
      </c>
      <c r="X35" s="23" t="n">
        <v>82.6</v>
      </c>
    </row>
    <row r="36" customFormat="false" ht="15" hidden="false" customHeight="false" outlineLevel="0" collapsed="false">
      <c r="A36" s="12" t="s">
        <v>396</v>
      </c>
      <c r="B36" s="12" t="s">
        <v>409</v>
      </c>
      <c r="C36" s="12" t="s">
        <v>407</v>
      </c>
      <c r="D36" s="23" t="n">
        <v>33.5</v>
      </c>
      <c r="E36" s="23" t="n">
        <v>33.4</v>
      </c>
      <c r="F36" s="23" t="n">
        <v>33.7</v>
      </c>
      <c r="G36" s="23" t="n">
        <v>34.7</v>
      </c>
      <c r="H36" s="23" t="n">
        <v>35.6</v>
      </c>
      <c r="I36" s="23" t="n">
        <v>40.9</v>
      </c>
      <c r="J36" s="23" t="n">
        <v>42.3</v>
      </c>
      <c r="K36" s="23" t="n">
        <v>44.9</v>
      </c>
      <c r="L36" s="23" t="n">
        <v>43.7</v>
      </c>
      <c r="M36" s="23" t="n">
        <v>44.1</v>
      </c>
      <c r="N36" s="23" t="n">
        <v>46.7</v>
      </c>
      <c r="O36" s="23" t="n">
        <v>47.5</v>
      </c>
      <c r="P36" s="23" t="n">
        <v>52</v>
      </c>
      <c r="Q36" s="23" t="n">
        <v>50.9</v>
      </c>
      <c r="R36" s="23" t="n">
        <v>53.5</v>
      </c>
      <c r="S36" s="23" t="n">
        <v>58</v>
      </c>
      <c r="T36" s="23" t="n">
        <v>57.2</v>
      </c>
      <c r="U36" s="23" t="n">
        <v>58.6</v>
      </c>
      <c r="V36" s="23" t="n">
        <v>60.5</v>
      </c>
      <c r="W36" s="23" t="n">
        <v>61.8</v>
      </c>
      <c r="X36" s="23" t="n">
        <v>64.3</v>
      </c>
    </row>
    <row r="37" customFormat="false" ht="15" hidden="false" customHeight="false" outlineLevel="0" collapsed="false">
      <c r="A37" s="12" t="s">
        <v>396</v>
      </c>
      <c r="B37" s="12" t="s">
        <v>409</v>
      </c>
      <c r="C37" s="12" t="s">
        <v>413</v>
      </c>
      <c r="D37" s="23" t="n">
        <v>1.2</v>
      </c>
      <c r="E37" s="23" t="n">
        <v>1.3</v>
      </c>
      <c r="F37" s="23" t="n">
        <v>1.6</v>
      </c>
      <c r="G37" s="23" t="n">
        <v>2.3</v>
      </c>
      <c r="H37" s="23" t="n">
        <v>1.7</v>
      </c>
      <c r="I37" s="23" t="n">
        <v>1.7</v>
      </c>
      <c r="J37" s="23" t="n">
        <v>1.8</v>
      </c>
      <c r="K37" s="23" t="n">
        <v>2.4</v>
      </c>
      <c r="L37" s="23" t="n">
        <v>1.3</v>
      </c>
      <c r="M37" s="23" t="n">
        <v>1.7</v>
      </c>
      <c r="N37" s="23" t="n">
        <v>2.3</v>
      </c>
      <c r="O37" s="23" t="n">
        <v>1.9</v>
      </c>
      <c r="P37" s="23" t="n">
        <v>1.9</v>
      </c>
      <c r="Q37" s="23" t="n">
        <v>2.4</v>
      </c>
      <c r="R37" s="23" t="n">
        <v>2.5</v>
      </c>
      <c r="S37" s="23" t="n">
        <v>2.3</v>
      </c>
      <c r="T37" s="23" t="n">
        <v>3.3</v>
      </c>
      <c r="U37" s="23" t="n">
        <v>3.6</v>
      </c>
      <c r="V37" s="23" t="n">
        <v>3.8</v>
      </c>
      <c r="W37" s="23" t="n">
        <v>2.9</v>
      </c>
      <c r="X37" s="23" t="n">
        <v>3.9</v>
      </c>
    </row>
    <row r="38" customFormat="false" ht="15" hidden="false" customHeight="false" outlineLevel="0" collapsed="false">
      <c r="A38" s="12" t="s">
        <v>410</v>
      </c>
      <c r="B38" s="12" t="s">
        <v>397</v>
      </c>
      <c r="C38" s="12" t="s">
        <v>398</v>
      </c>
      <c r="D38" s="23" t="n">
        <v>38.5</v>
      </c>
      <c r="E38" s="23" t="n">
        <v>39.6</v>
      </c>
      <c r="F38" s="23" t="n">
        <v>39.2</v>
      </c>
      <c r="G38" s="23" t="n">
        <v>36</v>
      </c>
      <c r="H38" s="23" t="n">
        <v>28</v>
      </c>
      <c r="I38" s="23" t="n">
        <v>25</v>
      </c>
      <c r="J38" s="23" t="n">
        <v>22</v>
      </c>
      <c r="K38" s="23" t="n">
        <v>18.4</v>
      </c>
      <c r="L38" s="23" t="n">
        <v>16.8</v>
      </c>
      <c r="M38" s="23" t="n">
        <v>16.7</v>
      </c>
      <c r="N38" s="23" t="n">
        <v>17.9</v>
      </c>
      <c r="O38" s="23" t="n">
        <v>18.4</v>
      </c>
      <c r="P38" s="23" t="n">
        <v>20.5</v>
      </c>
      <c r="Q38" s="23" t="n">
        <v>21.7</v>
      </c>
      <c r="R38" s="23" t="n">
        <v>22.3</v>
      </c>
      <c r="S38" s="23" t="n">
        <v>18.5</v>
      </c>
      <c r="T38" s="23" t="n">
        <v>20.5</v>
      </c>
      <c r="U38" s="23" t="n">
        <v>22.9</v>
      </c>
      <c r="V38" s="23" t="n">
        <v>23.6</v>
      </c>
      <c r="W38" s="23" t="n">
        <v>24.9</v>
      </c>
      <c r="X38" s="23" t="n">
        <v>25.4</v>
      </c>
    </row>
    <row r="39" customFormat="false" ht="15" hidden="false" customHeight="false" outlineLevel="0" collapsed="false">
      <c r="A39" s="12" t="s">
        <v>410</v>
      </c>
      <c r="B39" s="12" t="s">
        <v>397</v>
      </c>
      <c r="C39" s="12" t="s">
        <v>411</v>
      </c>
      <c r="D39" s="23" t="n">
        <v>63.6</v>
      </c>
      <c r="E39" s="23" t="n">
        <v>65</v>
      </c>
      <c r="F39" s="23" t="n">
        <v>65.8</v>
      </c>
      <c r="G39" s="23" t="n">
        <v>64.5</v>
      </c>
      <c r="H39" s="23" t="n">
        <v>60</v>
      </c>
      <c r="I39" s="23" t="n">
        <v>58.8</v>
      </c>
      <c r="J39" s="23" t="n">
        <v>58</v>
      </c>
      <c r="K39" s="23" t="n">
        <v>55.8</v>
      </c>
      <c r="L39" s="23" t="n">
        <v>54.8</v>
      </c>
      <c r="M39" s="23" t="n">
        <v>56</v>
      </c>
      <c r="N39" s="23" t="n">
        <v>57.8</v>
      </c>
      <c r="O39" s="23" t="n">
        <v>59.5</v>
      </c>
      <c r="P39" s="23" t="n">
        <v>61.1</v>
      </c>
      <c r="Q39" s="23" t="n">
        <v>62.4</v>
      </c>
      <c r="R39" s="23" t="n">
        <v>63.3</v>
      </c>
      <c r="S39" s="23" t="n">
        <v>60.9</v>
      </c>
      <c r="T39" s="23" t="n">
        <v>62.6</v>
      </c>
      <c r="U39" s="23" t="n">
        <v>64.3</v>
      </c>
      <c r="V39" s="23" t="n">
        <v>65.3</v>
      </c>
      <c r="W39" s="23" t="n">
        <v>66.1</v>
      </c>
      <c r="X39" s="23" t="n">
        <v>67</v>
      </c>
    </row>
    <row r="40" customFormat="false" ht="15" hidden="false" customHeight="false" outlineLevel="0" collapsed="false">
      <c r="A40" s="12" t="s">
        <v>410</v>
      </c>
      <c r="B40" s="12" t="s">
        <v>397</v>
      </c>
      <c r="C40" s="12" t="s">
        <v>400</v>
      </c>
      <c r="D40" s="23" t="n">
        <v>56.7</v>
      </c>
      <c r="E40" s="23" t="n">
        <v>58.2</v>
      </c>
      <c r="F40" s="23" t="n">
        <v>59.2</v>
      </c>
      <c r="G40" s="23" t="n">
        <v>58</v>
      </c>
      <c r="H40" s="23" t="n">
        <v>54</v>
      </c>
      <c r="I40" s="23" t="n">
        <v>52.9</v>
      </c>
      <c r="J40" s="23" t="n">
        <v>52.1</v>
      </c>
      <c r="K40" s="23" t="n">
        <v>50</v>
      </c>
      <c r="L40" s="23" t="n">
        <v>48.9</v>
      </c>
      <c r="M40" s="23" t="n">
        <v>49.6</v>
      </c>
      <c r="N40" s="23" t="n">
        <v>51.1</v>
      </c>
      <c r="O40" s="23" t="n">
        <v>52.5</v>
      </c>
      <c r="P40" s="23" t="n">
        <v>53.7</v>
      </c>
      <c r="Q40" s="23" t="n">
        <v>54.9</v>
      </c>
      <c r="R40" s="23" t="n">
        <v>55.7</v>
      </c>
      <c r="S40" s="23" t="n">
        <v>53.6</v>
      </c>
      <c r="T40" s="23" t="n">
        <v>55</v>
      </c>
      <c r="U40" s="23" t="n">
        <v>56.4</v>
      </c>
      <c r="V40" s="23" t="n">
        <v>57.3</v>
      </c>
      <c r="W40" s="23" t="n">
        <v>57.9</v>
      </c>
      <c r="X40" s="23" t="n">
        <v>58.7</v>
      </c>
    </row>
    <row r="41" customFormat="false" ht="15" hidden="false" customHeight="false" outlineLevel="0" collapsed="false">
      <c r="A41" s="12" t="s">
        <v>410</v>
      </c>
      <c r="B41" s="12" t="s">
        <v>397</v>
      </c>
      <c r="C41" s="12" t="s">
        <v>401</v>
      </c>
      <c r="D41" s="23" t="n">
        <v>51.9</v>
      </c>
      <c r="E41" s="23" t="n">
        <v>53</v>
      </c>
      <c r="F41" s="23" t="n">
        <v>53.8</v>
      </c>
      <c r="G41" s="23" t="n">
        <v>52.7</v>
      </c>
      <c r="H41" s="23" t="n">
        <v>48.9</v>
      </c>
      <c r="I41" s="23" t="n">
        <v>47.8</v>
      </c>
      <c r="J41" s="23" t="n">
        <v>46.9</v>
      </c>
      <c r="K41" s="23" t="n">
        <v>44.9</v>
      </c>
      <c r="L41" s="23" t="n">
        <v>43.9</v>
      </c>
      <c r="M41" s="23" t="n">
        <v>44.5</v>
      </c>
      <c r="N41" s="23" t="n">
        <v>45.9</v>
      </c>
      <c r="O41" s="23" t="n">
        <v>47</v>
      </c>
      <c r="P41" s="23" t="n">
        <v>48.1</v>
      </c>
      <c r="Q41" s="23" t="n">
        <v>49.1</v>
      </c>
      <c r="R41" s="23" t="n">
        <v>49.7</v>
      </c>
      <c r="S41" s="23" t="n">
        <v>47.9</v>
      </c>
      <c r="T41" s="23" t="n">
        <v>49.1</v>
      </c>
      <c r="U41" s="23" t="n">
        <v>50.3</v>
      </c>
      <c r="V41" s="23" t="n">
        <v>51</v>
      </c>
      <c r="W41" s="23" t="n">
        <v>51.4</v>
      </c>
      <c r="X41" s="23" t="n">
        <v>52.1</v>
      </c>
    </row>
    <row r="42" customFormat="false" ht="15" hidden="false" customHeight="false" outlineLevel="0" collapsed="false">
      <c r="A42" s="12" t="s">
        <v>410</v>
      </c>
      <c r="B42" s="12" t="s">
        <v>397</v>
      </c>
      <c r="C42" s="12" t="s">
        <v>402</v>
      </c>
      <c r="D42" s="23" t="n">
        <v>67.5</v>
      </c>
      <c r="E42" s="23" t="n">
        <v>69</v>
      </c>
      <c r="F42" s="23" t="n">
        <v>69.7</v>
      </c>
      <c r="G42" s="23" t="n">
        <v>68.5</v>
      </c>
      <c r="H42" s="23" t="n">
        <v>64</v>
      </c>
      <c r="I42" s="23" t="n">
        <v>62.8</v>
      </c>
      <c r="J42" s="23" t="n">
        <v>62</v>
      </c>
      <c r="K42" s="23" t="n">
        <v>59.6</v>
      </c>
      <c r="L42" s="23" t="n">
        <v>58.6</v>
      </c>
      <c r="M42" s="23" t="n">
        <v>59.9</v>
      </c>
      <c r="N42" s="23" t="n">
        <v>62</v>
      </c>
      <c r="O42" s="23" t="n">
        <v>63.9</v>
      </c>
      <c r="P42" s="23" t="n">
        <v>65.5</v>
      </c>
      <c r="Q42" s="23" t="n">
        <v>67</v>
      </c>
      <c r="R42" s="23" t="n">
        <v>68</v>
      </c>
      <c r="S42" s="23" t="n">
        <v>65.7</v>
      </c>
      <c r="T42" s="23" t="n">
        <v>67.5</v>
      </c>
      <c r="U42" s="23" t="n">
        <v>69.3</v>
      </c>
      <c r="V42" s="23" t="n">
        <v>70.5</v>
      </c>
      <c r="W42" s="23" t="n">
        <v>71.4</v>
      </c>
      <c r="X42" s="23" t="n">
        <v>72.4</v>
      </c>
    </row>
    <row r="43" customFormat="false" ht="15" hidden="false" customHeight="false" outlineLevel="0" collapsed="false">
      <c r="A43" s="12" t="s">
        <v>410</v>
      </c>
      <c r="B43" s="12" t="s">
        <v>397</v>
      </c>
      <c r="C43" s="12" t="s">
        <v>403</v>
      </c>
      <c r="D43" s="23" t="n">
        <v>77.5</v>
      </c>
      <c r="E43" s="23" t="n">
        <v>78.7</v>
      </c>
      <c r="F43" s="23" t="n">
        <v>79.8</v>
      </c>
      <c r="G43" s="23" t="n">
        <v>77.5</v>
      </c>
      <c r="H43" s="23" t="n">
        <v>71.1</v>
      </c>
      <c r="I43" s="23" t="n">
        <v>69.4</v>
      </c>
      <c r="J43" s="23" t="n">
        <v>67.8</v>
      </c>
      <c r="K43" s="23" t="n">
        <v>64.4</v>
      </c>
      <c r="L43" s="23" t="n">
        <v>63.2</v>
      </c>
      <c r="M43" s="23" t="n">
        <v>65.3</v>
      </c>
      <c r="N43" s="23" t="n">
        <v>66.6</v>
      </c>
      <c r="O43" s="23" t="n">
        <v>68.4</v>
      </c>
      <c r="P43" s="23" t="n">
        <v>70</v>
      </c>
      <c r="Q43" s="23" t="n">
        <v>71.4</v>
      </c>
      <c r="R43" s="23" t="n">
        <v>72.2</v>
      </c>
      <c r="S43" s="23" t="n">
        <v>67.8</v>
      </c>
      <c r="T43" s="23" t="n">
        <v>70.3</v>
      </c>
      <c r="U43" s="23" t="n">
        <v>73.6</v>
      </c>
      <c r="V43" s="23" t="n">
        <v>75</v>
      </c>
      <c r="W43" s="23" t="n">
        <v>74.9</v>
      </c>
      <c r="X43" s="23" t="n">
        <v>76.5</v>
      </c>
    </row>
    <row r="44" customFormat="false" ht="15" hidden="false" customHeight="false" outlineLevel="0" collapsed="false">
      <c r="A44" s="12" t="s">
        <v>410</v>
      </c>
      <c r="B44" s="12" t="s">
        <v>397</v>
      </c>
      <c r="C44" s="12" t="s">
        <v>412</v>
      </c>
      <c r="D44" s="23" t="n">
        <v>68.9</v>
      </c>
      <c r="E44" s="23" t="n">
        <v>70.2</v>
      </c>
      <c r="F44" s="23" t="n">
        <v>71.1</v>
      </c>
      <c r="G44" s="23" t="n">
        <v>70</v>
      </c>
      <c r="H44" s="23" t="n">
        <v>65.9</v>
      </c>
      <c r="I44" s="23" t="n">
        <v>65</v>
      </c>
      <c r="J44" s="23" t="n">
        <v>64.4</v>
      </c>
      <c r="K44" s="23" t="n">
        <v>62.2</v>
      </c>
      <c r="L44" s="23" t="n">
        <v>61.3</v>
      </c>
      <c r="M44" s="23" t="n">
        <v>62.7</v>
      </c>
      <c r="N44" s="23" t="n">
        <v>64.6</v>
      </c>
      <c r="O44" s="23" t="n">
        <v>66.6</v>
      </c>
      <c r="P44" s="23" t="n">
        <v>68.1</v>
      </c>
      <c r="Q44" s="23" t="n">
        <v>69.5</v>
      </c>
      <c r="R44" s="23" t="n">
        <v>70.6</v>
      </c>
      <c r="S44" s="23" t="n">
        <v>68.7</v>
      </c>
      <c r="T44" s="23" t="n">
        <v>70.3</v>
      </c>
      <c r="U44" s="23" t="n">
        <v>72</v>
      </c>
      <c r="V44" s="23" t="n">
        <v>73.3</v>
      </c>
      <c r="W44" s="23" t="n">
        <v>74.2</v>
      </c>
      <c r="X44" s="23" t="n">
        <v>75.3</v>
      </c>
    </row>
    <row r="45" customFormat="false" ht="15" hidden="false" customHeight="false" outlineLevel="0" collapsed="false">
      <c r="A45" s="12" t="s">
        <v>410</v>
      </c>
      <c r="B45" s="12" t="s">
        <v>397</v>
      </c>
      <c r="C45" s="12" t="s">
        <v>404</v>
      </c>
      <c r="D45" s="23" t="n">
        <v>54.1</v>
      </c>
      <c r="E45" s="23" t="n">
        <v>55.2</v>
      </c>
      <c r="F45" s="23" t="n">
        <v>56</v>
      </c>
      <c r="G45" s="23" t="n">
        <v>55.2</v>
      </c>
      <c r="H45" s="23" t="n">
        <v>51.9</v>
      </c>
      <c r="I45" s="23" t="n">
        <v>51</v>
      </c>
      <c r="J45" s="23" t="n">
        <v>50.3</v>
      </c>
      <c r="K45" s="23" t="n">
        <v>48.5</v>
      </c>
      <c r="L45" s="23" t="n">
        <v>47.4</v>
      </c>
      <c r="M45" s="23" t="n">
        <v>48.1</v>
      </c>
      <c r="N45" s="23" t="n">
        <v>49.5</v>
      </c>
      <c r="O45" s="23" t="n">
        <v>50.7</v>
      </c>
      <c r="P45" s="23" t="n">
        <v>51.7</v>
      </c>
      <c r="Q45" s="23" t="n">
        <v>52.7</v>
      </c>
      <c r="R45" s="23" t="n">
        <v>53.4</v>
      </c>
      <c r="S45" s="23" t="n">
        <v>51.9</v>
      </c>
      <c r="T45" s="23" t="n">
        <v>52.9</v>
      </c>
      <c r="U45" s="23" t="n">
        <v>54</v>
      </c>
      <c r="V45" s="23" t="n">
        <v>54.8</v>
      </c>
      <c r="W45" s="23" t="n">
        <v>55.2</v>
      </c>
      <c r="X45" s="23" t="n">
        <v>56</v>
      </c>
    </row>
    <row r="46" customFormat="false" ht="15" hidden="false" customHeight="false" outlineLevel="0" collapsed="false">
      <c r="A46" s="12" t="s">
        <v>410</v>
      </c>
      <c r="B46" s="12" t="s">
        <v>397</v>
      </c>
      <c r="C46" s="12" t="s">
        <v>405</v>
      </c>
      <c r="D46" s="23" t="n">
        <v>76.2</v>
      </c>
      <c r="E46" s="23" t="n">
        <v>77.6</v>
      </c>
      <c r="F46" s="23" t="n">
        <v>78.4</v>
      </c>
      <c r="G46" s="23" t="n">
        <v>76.9</v>
      </c>
      <c r="H46" s="23" t="n">
        <v>72.8</v>
      </c>
      <c r="I46" s="23" t="n">
        <v>71.9</v>
      </c>
      <c r="J46" s="23" t="n">
        <v>71.5</v>
      </c>
      <c r="K46" s="23" t="n">
        <v>69.6</v>
      </c>
      <c r="L46" s="23" t="n">
        <v>69.1</v>
      </c>
      <c r="M46" s="23" t="n">
        <v>70.7</v>
      </c>
      <c r="N46" s="23" t="n">
        <v>73.2</v>
      </c>
      <c r="O46" s="23" t="n">
        <v>75.5</v>
      </c>
      <c r="P46" s="23" t="n">
        <v>77.2</v>
      </c>
      <c r="Q46" s="23" t="n">
        <v>78.5</v>
      </c>
      <c r="R46" s="23" t="n">
        <v>79.2</v>
      </c>
      <c r="S46" s="23" t="n">
        <v>76.4</v>
      </c>
      <c r="T46" s="23" t="n">
        <v>78.2</v>
      </c>
      <c r="U46" s="23" t="n">
        <v>79.3</v>
      </c>
      <c r="V46" s="23" t="n">
        <v>80.4</v>
      </c>
      <c r="W46" s="23" t="n">
        <v>80.9</v>
      </c>
      <c r="X46" s="23" t="n">
        <v>81.5</v>
      </c>
    </row>
    <row r="47" customFormat="false" ht="15" hidden="false" customHeight="false" outlineLevel="0" collapsed="false">
      <c r="A47" s="12" t="s">
        <v>410</v>
      </c>
      <c r="B47" s="12" t="s">
        <v>397</v>
      </c>
      <c r="C47" s="12" t="s">
        <v>406</v>
      </c>
      <c r="D47" s="23" t="n">
        <v>69.3</v>
      </c>
      <c r="E47" s="23" t="n">
        <v>71</v>
      </c>
      <c r="F47" s="23" t="n">
        <v>72</v>
      </c>
      <c r="G47" s="23" t="n">
        <v>71.5</v>
      </c>
      <c r="H47" s="23" t="n">
        <v>68.6</v>
      </c>
      <c r="I47" s="23" t="n">
        <v>68.3</v>
      </c>
      <c r="J47" s="23" t="n">
        <v>67.5</v>
      </c>
      <c r="K47" s="23" t="n">
        <v>65.6</v>
      </c>
      <c r="L47" s="23" t="n">
        <v>64.5</v>
      </c>
      <c r="M47" s="23" t="n">
        <v>65.6</v>
      </c>
      <c r="N47" s="23" t="n">
        <v>67.5</v>
      </c>
      <c r="O47" s="23" t="n">
        <v>69.6</v>
      </c>
      <c r="P47" s="23" t="n">
        <v>71.3</v>
      </c>
      <c r="Q47" s="23" t="n">
        <v>73.2</v>
      </c>
      <c r="R47" s="23" t="n">
        <v>74.9</v>
      </c>
      <c r="S47" s="23" t="n">
        <v>73.7</v>
      </c>
      <c r="T47" s="23" t="n">
        <v>75.3</v>
      </c>
      <c r="U47" s="23" t="n">
        <v>76.7</v>
      </c>
      <c r="V47" s="23" t="n">
        <v>78.1</v>
      </c>
      <c r="W47" s="23" t="n">
        <v>79.4</v>
      </c>
      <c r="X47" s="23" t="n">
        <v>80.5</v>
      </c>
    </row>
    <row r="48" customFormat="false" ht="15" hidden="false" customHeight="false" outlineLevel="0" collapsed="false">
      <c r="A48" s="12" t="s">
        <v>410</v>
      </c>
      <c r="B48" s="12" t="s">
        <v>397</v>
      </c>
      <c r="C48" s="12" t="s">
        <v>407</v>
      </c>
      <c r="D48" s="23" t="n">
        <v>43.1</v>
      </c>
      <c r="E48" s="23" t="n">
        <v>44.1</v>
      </c>
      <c r="F48" s="23" t="n">
        <v>44.5</v>
      </c>
      <c r="G48" s="23" t="n">
        <v>45.5</v>
      </c>
      <c r="H48" s="23" t="n">
        <v>44</v>
      </c>
      <c r="I48" s="23" t="n">
        <v>43.5</v>
      </c>
      <c r="J48" s="23" t="n">
        <v>44.5</v>
      </c>
      <c r="K48" s="23" t="n">
        <v>43.9</v>
      </c>
      <c r="L48" s="23" t="n">
        <v>43.2</v>
      </c>
      <c r="M48" s="23" t="n">
        <v>44.3</v>
      </c>
      <c r="N48" s="23" t="n">
        <v>46.9</v>
      </c>
      <c r="O48" s="23" t="n">
        <v>49.1</v>
      </c>
      <c r="P48" s="23" t="n">
        <v>50.5</v>
      </c>
      <c r="Q48" s="23" t="n">
        <v>52.2</v>
      </c>
      <c r="R48" s="23" t="n">
        <v>53.8</v>
      </c>
      <c r="S48" s="23" t="n">
        <v>54.7</v>
      </c>
      <c r="T48" s="23" t="n">
        <v>55.8</v>
      </c>
      <c r="U48" s="23" t="n">
        <v>57.7</v>
      </c>
      <c r="V48" s="23" t="n">
        <v>59.5</v>
      </c>
      <c r="W48" s="23" t="n">
        <v>61.1</v>
      </c>
      <c r="X48" s="23" t="n">
        <v>62.4</v>
      </c>
    </row>
    <row r="49" customFormat="false" ht="15" hidden="false" customHeight="false" outlineLevel="0" collapsed="false">
      <c r="A49" s="12" t="s">
        <v>410</v>
      </c>
      <c r="B49" s="12" t="s">
        <v>397</v>
      </c>
      <c r="C49" s="12" t="s">
        <v>413</v>
      </c>
      <c r="D49" s="23" t="n">
        <v>2</v>
      </c>
      <c r="E49" s="23" t="n">
        <v>2</v>
      </c>
      <c r="F49" s="23" t="n">
        <v>2</v>
      </c>
      <c r="G49" s="23" t="n">
        <v>2.1</v>
      </c>
      <c r="H49" s="23" t="n">
        <v>2</v>
      </c>
      <c r="I49" s="23" t="n">
        <v>2</v>
      </c>
      <c r="J49" s="23" t="n">
        <v>1.9</v>
      </c>
      <c r="K49" s="23" t="n">
        <v>2</v>
      </c>
      <c r="L49" s="23" t="n">
        <v>1.7</v>
      </c>
      <c r="M49" s="23" t="n">
        <v>1.6</v>
      </c>
      <c r="N49" s="23" t="n">
        <v>1.8</v>
      </c>
      <c r="O49" s="23" t="n">
        <v>1.9</v>
      </c>
      <c r="P49" s="23" t="n">
        <v>2</v>
      </c>
      <c r="Q49" s="23" t="n">
        <v>2.2</v>
      </c>
      <c r="R49" s="23" t="n">
        <v>2.4</v>
      </c>
      <c r="S49" s="23" t="n">
        <v>2.7</v>
      </c>
      <c r="T49" s="23" t="n">
        <v>3.1</v>
      </c>
      <c r="U49" s="23" t="n">
        <v>3.3</v>
      </c>
      <c r="V49" s="23" t="n">
        <v>3.4</v>
      </c>
      <c r="W49" s="23" t="n">
        <v>3.6</v>
      </c>
      <c r="X49" s="23" t="n">
        <v>4.2</v>
      </c>
    </row>
    <row r="50" customFormat="false" ht="15" hidden="false" customHeight="false" outlineLevel="0" collapsed="false">
      <c r="A50" s="12" t="s">
        <v>410</v>
      </c>
      <c r="B50" s="12" t="s">
        <v>408</v>
      </c>
      <c r="C50" s="12" t="s">
        <v>398</v>
      </c>
      <c r="D50" s="23" t="n">
        <v>43.8</v>
      </c>
      <c r="E50" s="23" t="n">
        <v>44.4</v>
      </c>
      <c r="F50" s="23" t="n">
        <v>44.2</v>
      </c>
      <c r="G50" s="23" t="n">
        <v>39.3</v>
      </c>
      <c r="H50" s="23" t="n">
        <v>29.4</v>
      </c>
      <c r="I50" s="23" t="n">
        <v>25.6</v>
      </c>
      <c r="J50" s="23" t="n">
        <v>22.1</v>
      </c>
      <c r="K50" s="23" t="n">
        <v>18.5</v>
      </c>
      <c r="L50" s="23" t="n">
        <v>17.3</v>
      </c>
      <c r="M50" s="23" t="n">
        <v>17.4</v>
      </c>
      <c r="N50" s="23" t="n">
        <v>18.6</v>
      </c>
      <c r="O50" s="23" t="n">
        <v>19.4</v>
      </c>
      <c r="P50" s="23" t="n">
        <v>21.2</v>
      </c>
      <c r="Q50" s="23" t="n">
        <v>22.7</v>
      </c>
      <c r="R50" s="23" t="n">
        <v>24.3</v>
      </c>
      <c r="S50" s="23" t="n">
        <v>20.3</v>
      </c>
      <c r="T50" s="23" t="n">
        <v>21.9</v>
      </c>
      <c r="U50" s="23" t="n">
        <v>24.6</v>
      </c>
      <c r="V50" s="23" t="n">
        <v>25</v>
      </c>
      <c r="W50" s="23" t="n">
        <v>26.9</v>
      </c>
      <c r="X50" s="23" t="n">
        <v>27</v>
      </c>
    </row>
    <row r="51" customFormat="false" ht="15" hidden="false" customHeight="false" outlineLevel="0" collapsed="false">
      <c r="A51" s="12" t="s">
        <v>410</v>
      </c>
      <c r="B51" s="12" t="s">
        <v>408</v>
      </c>
      <c r="C51" s="12" t="s">
        <v>411</v>
      </c>
      <c r="D51" s="23" t="n">
        <v>75.1</v>
      </c>
      <c r="E51" s="23" t="n">
        <v>76.1</v>
      </c>
      <c r="F51" s="23" t="n">
        <v>76.1</v>
      </c>
      <c r="G51" s="23" t="n">
        <v>73.3</v>
      </c>
      <c r="H51" s="23" t="n">
        <v>66.5</v>
      </c>
      <c r="I51" s="23" t="n">
        <v>64.8</v>
      </c>
      <c r="J51" s="23" t="n">
        <v>63.4</v>
      </c>
      <c r="K51" s="23" t="n">
        <v>60.3</v>
      </c>
      <c r="L51" s="23" t="n">
        <v>59.2</v>
      </c>
      <c r="M51" s="23" t="n">
        <v>60.7</v>
      </c>
      <c r="N51" s="23" t="n">
        <v>62.9</v>
      </c>
      <c r="O51" s="23" t="n">
        <v>64.8</v>
      </c>
      <c r="P51" s="23" t="n">
        <v>66.5</v>
      </c>
      <c r="Q51" s="23" t="n">
        <v>67.9</v>
      </c>
      <c r="R51" s="23" t="n">
        <v>68.7</v>
      </c>
      <c r="S51" s="23" t="n">
        <v>66.1</v>
      </c>
      <c r="T51" s="23" t="n">
        <v>67.5</v>
      </c>
      <c r="U51" s="23" t="n">
        <v>69.3</v>
      </c>
      <c r="V51" s="23" t="n">
        <v>70</v>
      </c>
      <c r="W51" s="23" t="n">
        <v>70.5</v>
      </c>
      <c r="X51" s="23" t="n">
        <v>71.2</v>
      </c>
    </row>
    <row r="52" customFormat="false" ht="15" hidden="false" customHeight="false" outlineLevel="0" collapsed="false">
      <c r="A52" s="12" t="s">
        <v>410</v>
      </c>
      <c r="B52" s="12" t="s">
        <v>408</v>
      </c>
      <c r="C52" s="12" t="s">
        <v>400</v>
      </c>
      <c r="D52" s="23" t="n">
        <v>67.8</v>
      </c>
      <c r="E52" s="23" t="n">
        <v>68.9</v>
      </c>
      <c r="F52" s="23" t="n">
        <v>69.2</v>
      </c>
      <c r="G52" s="23" t="n">
        <v>66.7</v>
      </c>
      <c r="H52" s="23" t="n">
        <v>60.5</v>
      </c>
      <c r="I52" s="23" t="n">
        <v>58.8</v>
      </c>
      <c r="J52" s="23" t="n">
        <v>57.4</v>
      </c>
      <c r="K52" s="23" t="n">
        <v>54.5</v>
      </c>
      <c r="L52" s="23" t="n">
        <v>53.3</v>
      </c>
      <c r="M52" s="23" t="n">
        <v>54.2</v>
      </c>
      <c r="N52" s="23" t="n">
        <v>56.1</v>
      </c>
      <c r="O52" s="23" t="n">
        <v>57.7</v>
      </c>
      <c r="P52" s="23" t="n">
        <v>59.1</v>
      </c>
      <c r="Q52" s="23" t="n">
        <v>60.4</v>
      </c>
      <c r="R52" s="23" t="n">
        <v>61</v>
      </c>
      <c r="S52" s="23" t="n">
        <v>58.7</v>
      </c>
      <c r="T52" s="23" t="n">
        <v>60</v>
      </c>
      <c r="U52" s="23" t="n">
        <v>61.5</v>
      </c>
      <c r="V52" s="23" t="n">
        <v>62</v>
      </c>
      <c r="W52" s="23" t="n">
        <v>62.4</v>
      </c>
      <c r="X52" s="23" t="n">
        <v>63.1</v>
      </c>
    </row>
    <row r="53" customFormat="false" ht="15" hidden="false" customHeight="false" outlineLevel="0" collapsed="false">
      <c r="A53" s="12" t="s">
        <v>410</v>
      </c>
      <c r="B53" s="12" t="s">
        <v>408</v>
      </c>
      <c r="C53" s="12" t="s">
        <v>401</v>
      </c>
      <c r="D53" s="23" t="n">
        <v>63.2</v>
      </c>
      <c r="E53" s="23" t="n">
        <v>64</v>
      </c>
      <c r="F53" s="23" t="n">
        <v>64.1</v>
      </c>
      <c r="G53" s="23" t="n">
        <v>61.8</v>
      </c>
      <c r="H53" s="23" t="n">
        <v>55.9</v>
      </c>
      <c r="I53" s="23" t="n">
        <v>54.2</v>
      </c>
      <c r="J53" s="23" t="n">
        <v>52.8</v>
      </c>
      <c r="K53" s="23" t="n">
        <v>50</v>
      </c>
      <c r="L53" s="23" t="n">
        <v>48.8</v>
      </c>
      <c r="M53" s="23" t="n">
        <v>49.7</v>
      </c>
      <c r="N53" s="23" t="n">
        <v>51.4</v>
      </c>
      <c r="O53" s="23" t="n">
        <v>52.6</v>
      </c>
      <c r="P53" s="23" t="n">
        <v>53.9</v>
      </c>
      <c r="Q53" s="23" t="n">
        <v>55</v>
      </c>
      <c r="R53" s="23" t="n">
        <v>55.5</v>
      </c>
      <c r="S53" s="23" t="n">
        <v>53.5</v>
      </c>
      <c r="T53" s="23" t="n">
        <v>54.5</v>
      </c>
      <c r="U53" s="23" t="n">
        <v>55.9</v>
      </c>
      <c r="V53" s="23" t="n">
        <v>56.3</v>
      </c>
      <c r="W53" s="23" t="n">
        <v>56.6</v>
      </c>
      <c r="X53" s="23" t="n">
        <v>57.1</v>
      </c>
    </row>
    <row r="54" customFormat="false" ht="15" hidden="false" customHeight="false" outlineLevel="0" collapsed="false">
      <c r="A54" s="12" t="s">
        <v>410</v>
      </c>
      <c r="B54" s="12" t="s">
        <v>408</v>
      </c>
      <c r="C54" s="12" t="s">
        <v>402</v>
      </c>
      <c r="D54" s="23" t="n">
        <v>79.8</v>
      </c>
      <c r="E54" s="23" t="n">
        <v>80.7</v>
      </c>
      <c r="F54" s="23" t="n">
        <v>80.6</v>
      </c>
      <c r="G54" s="23" t="n">
        <v>77.9</v>
      </c>
      <c r="H54" s="23" t="n">
        <v>71</v>
      </c>
      <c r="I54" s="23" t="n">
        <v>69.2</v>
      </c>
      <c r="J54" s="23" t="n">
        <v>67.7</v>
      </c>
      <c r="K54" s="23" t="n">
        <v>64.6</v>
      </c>
      <c r="L54" s="23" t="n">
        <v>63.4</v>
      </c>
      <c r="M54" s="23" t="n">
        <v>65</v>
      </c>
      <c r="N54" s="23" t="n">
        <v>67.6</v>
      </c>
      <c r="O54" s="23" t="n">
        <v>69.6</v>
      </c>
      <c r="P54" s="23" t="n">
        <v>71.5</v>
      </c>
      <c r="Q54" s="23" t="n">
        <v>73.1</v>
      </c>
      <c r="R54" s="23" t="n">
        <v>74</v>
      </c>
      <c r="S54" s="23" t="n">
        <v>71.4</v>
      </c>
      <c r="T54" s="23" t="n">
        <v>72.9</v>
      </c>
      <c r="U54" s="23" t="n">
        <v>74.9</v>
      </c>
      <c r="V54" s="23" t="n">
        <v>75.7</v>
      </c>
      <c r="W54" s="23" t="n">
        <v>76.3</v>
      </c>
      <c r="X54" s="23" t="n">
        <v>77.1</v>
      </c>
    </row>
    <row r="55" customFormat="false" ht="15" hidden="false" customHeight="false" outlineLevel="0" collapsed="false">
      <c r="A55" s="12" t="s">
        <v>410</v>
      </c>
      <c r="B55" s="12" t="s">
        <v>408</v>
      </c>
      <c r="C55" s="12" t="s">
        <v>403</v>
      </c>
      <c r="D55" s="23" t="n">
        <v>85.3</v>
      </c>
      <c r="E55" s="23" t="n">
        <v>86.1</v>
      </c>
      <c r="F55" s="23" t="n">
        <v>86.6</v>
      </c>
      <c r="G55" s="23" t="n">
        <v>82.5</v>
      </c>
      <c r="H55" s="23" t="n">
        <v>73.9</v>
      </c>
      <c r="I55" s="23" t="n">
        <v>71.8</v>
      </c>
      <c r="J55" s="23" t="n">
        <v>70.3</v>
      </c>
      <c r="K55" s="23" t="n">
        <v>66</v>
      </c>
      <c r="L55" s="23" t="n">
        <v>65.1</v>
      </c>
      <c r="M55" s="23" t="n">
        <v>67.8</v>
      </c>
      <c r="N55" s="23" t="n">
        <v>69.7</v>
      </c>
      <c r="O55" s="23" t="n">
        <v>72.3</v>
      </c>
      <c r="P55" s="23" t="n">
        <v>73.7</v>
      </c>
      <c r="Q55" s="23" t="n">
        <v>75.6</v>
      </c>
      <c r="R55" s="23" t="n">
        <v>76.3</v>
      </c>
      <c r="S55" s="23" t="n">
        <v>71.1</v>
      </c>
      <c r="T55" s="23" t="n">
        <v>72.5</v>
      </c>
      <c r="U55" s="23" t="n">
        <v>76.8</v>
      </c>
      <c r="V55" s="23" t="n">
        <v>78.3</v>
      </c>
      <c r="W55" s="23" t="n">
        <v>77.9</v>
      </c>
      <c r="X55" s="23" t="n">
        <v>79.3</v>
      </c>
    </row>
    <row r="56" customFormat="false" ht="15" hidden="false" customHeight="false" outlineLevel="0" collapsed="false">
      <c r="A56" s="12" t="s">
        <v>410</v>
      </c>
      <c r="B56" s="12" t="s">
        <v>408</v>
      </c>
      <c r="C56" s="12" t="s">
        <v>412</v>
      </c>
      <c r="D56" s="23" t="n">
        <v>81.9</v>
      </c>
      <c r="E56" s="23" t="n">
        <v>82.6</v>
      </c>
      <c r="F56" s="23" t="n">
        <v>82.5</v>
      </c>
      <c r="G56" s="23" t="n">
        <v>80</v>
      </c>
      <c r="H56" s="23" t="n">
        <v>73.5</v>
      </c>
      <c r="I56" s="23" t="n">
        <v>72</v>
      </c>
      <c r="J56" s="23" t="n">
        <v>70.7</v>
      </c>
      <c r="K56" s="23" t="n">
        <v>67.6</v>
      </c>
      <c r="L56" s="23" t="n">
        <v>66.5</v>
      </c>
      <c r="M56" s="23" t="n">
        <v>68.2</v>
      </c>
      <c r="N56" s="23" t="n">
        <v>70.7</v>
      </c>
      <c r="O56" s="23" t="n">
        <v>72.7</v>
      </c>
      <c r="P56" s="23" t="n">
        <v>74.5</v>
      </c>
      <c r="Q56" s="23" t="n">
        <v>76</v>
      </c>
      <c r="R56" s="23" t="n">
        <v>76.9</v>
      </c>
      <c r="S56" s="23" t="n">
        <v>74.8</v>
      </c>
      <c r="T56" s="23" t="n">
        <v>76.1</v>
      </c>
      <c r="U56" s="23" t="n">
        <v>77.9</v>
      </c>
      <c r="V56" s="23" t="n">
        <v>78.9</v>
      </c>
      <c r="W56" s="23" t="n">
        <v>79.4</v>
      </c>
      <c r="X56" s="23" t="n">
        <v>80.3</v>
      </c>
    </row>
    <row r="57" customFormat="false" ht="15" hidden="false" customHeight="false" outlineLevel="0" collapsed="false">
      <c r="A57" s="12" t="s">
        <v>410</v>
      </c>
      <c r="B57" s="12" t="s">
        <v>408</v>
      </c>
      <c r="C57" s="12" t="s">
        <v>404</v>
      </c>
      <c r="D57" s="23" t="n">
        <v>66.7</v>
      </c>
      <c r="E57" s="23" t="n">
        <v>67.3</v>
      </c>
      <c r="F57" s="23" t="n">
        <v>67.4</v>
      </c>
      <c r="G57" s="23" t="n">
        <v>65.3</v>
      </c>
      <c r="H57" s="23" t="n">
        <v>59.9</v>
      </c>
      <c r="I57" s="23" t="n">
        <v>58.4</v>
      </c>
      <c r="J57" s="23" t="n">
        <v>57.1</v>
      </c>
      <c r="K57" s="23" t="n">
        <v>54.5</v>
      </c>
      <c r="L57" s="23" t="n">
        <v>53.2</v>
      </c>
      <c r="M57" s="23" t="n">
        <v>54.1</v>
      </c>
      <c r="N57" s="23" t="n">
        <v>55.9</v>
      </c>
      <c r="O57" s="23" t="n">
        <v>57.2</v>
      </c>
      <c r="P57" s="23" t="n">
        <v>58.4</v>
      </c>
      <c r="Q57" s="23" t="n">
        <v>59.5</v>
      </c>
      <c r="R57" s="23" t="n">
        <v>60</v>
      </c>
      <c r="S57" s="23" t="n">
        <v>58.3</v>
      </c>
      <c r="T57" s="23" t="n">
        <v>59.2</v>
      </c>
      <c r="U57" s="23" t="n">
        <v>60.5</v>
      </c>
      <c r="V57" s="23" t="n">
        <v>61</v>
      </c>
      <c r="W57" s="23" t="n">
        <v>61.2</v>
      </c>
      <c r="X57" s="23" t="n">
        <v>61.8</v>
      </c>
    </row>
    <row r="58" customFormat="false" ht="15" hidden="false" customHeight="false" outlineLevel="0" collapsed="false">
      <c r="A58" s="12" t="s">
        <v>410</v>
      </c>
      <c r="B58" s="12" t="s">
        <v>408</v>
      </c>
      <c r="C58" s="12" t="s">
        <v>405</v>
      </c>
      <c r="D58" s="23" t="n">
        <v>89.3</v>
      </c>
      <c r="E58" s="23" t="n">
        <v>89.6</v>
      </c>
      <c r="F58" s="23" t="n">
        <v>89.5</v>
      </c>
      <c r="G58" s="23" t="n">
        <v>86.4</v>
      </c>
      <c r="H58" s="23" t="n">
        <v>79.4</v>
      </c>
      <c r="I58" s="23" t="n">
        <v>78.7</v>
      </c>
      <c r="J58" s="23" t="n">
        <v>77.6</v>
      </c>
      <c r="K58" s="23" t="n">
        <v>74.8</v>
      </c>
      <c r="L58" s="23" t="n">
        <v>74.2</v>
      </c>
      <c r="M58" s="23" t="n">
        <v>76.2</v>
      </c>
      <c r="N58" s="23" t="n">
        <v>79.3</v>
      </c>
      <c r="O58" s="23" t="n">
        <v>81.3</v>
      </c>
      <c r="P58" s="23" t="n">
        <v>83.5</v>
      </c>
      <c r="Q58" s="23" t="n">
        <v>84.7</v>
      </c>
      <c r="R58" s="23" t="n">
        <v>85</v>
      </c>
      <c r="S58" s="23" t="n">
        <v>82.5</v>
      </c>
      <c r="T58" s="23" t="n">
        <v>83.7</v>
      </c>
      <c r="U58" s="23" t="n">
        <v>85.1</v>
      </c>
      <c r="V58" s="23" t="n">
        <v>85.8</v>
      </c>
      <c r="W58" s="23" t="n">
        <v>86.4</v>
      </c>
      <c r="X58" s="23" t="n">
        <v>86.7</v>
      </c>
    </row>
    <row r="59" customFormat="false" ht="15" hidden="false" customHeight="false" outlineLevel="0" collapsed="false">
      <c r="A59" s="12" t="s">
        <v>410</v>
      </c>
      <c r="B59" s="12" t="s">
        <v>408</v>
      </c>
      <c r="C59" s="12" t="s">
        <v>406</v>
      </c>
      <c r="D59" s="23" t="n">
        <v>85.8</v>
      </c>
      <c r="E59" s="23" t="n">
        <v>86.7</v>
      </c>
      <c r="F59" s="23" t="n">
        <v>86.1</v>
      </c>
      <c r="G59" s="23" t="n">
        <v>83.7</v>
      </c>
      <c r="H59" s="23" t="n">
        <v>78.9</v>
      </c>
      <c r="I59" s="23" t="n">
        <v>77</v>
      </c>
      <c r="J59" s="23" t="n">
        <v>75.5</v>
      </c>
      <c r="K59" s="23" t="n">
        <v>72.4</v>
      </c>
      <c r="L59" s="23" t="n">
        <v>70.9</v>
      </c>
      <c r="M59" s="23" t="n">
        <v>72.2</v>
      </c>
      <c r="N59" s="23" t="n">
        <v>74.7</v>
      </c>
      <c r="O59" s="23" t="n">
        <v>77.1</v>
      </c>
      <c r="P59" s="23" t="n">
        <v>78.8</v>
      </c>
      <c r="Q59" s="23" t="n">
        <v>80.5</v>
      </c>
      <c r="R59" s="23" t="n">
        <v>81.9</v>
      </c>
      <c r="S59" s="23" t="n">
        <v>80.7</v>
      </c>
      <c r="T59" s="23" t="n">
        <v>82.4</v>
      </c>
      <c r="U59" s="23" t="n">
        <v>83.3</v>
      </c>
      <c r="V59" s="23" t="n">
        <v>83.9</v>
      </c>
      <c r="W59" s="23" t="n">
        <v>84.2</v>
      </c>
      <c r="X59" s="23" t="n">
        <v>85.9</v>
      </c>
    </row>
    <row r="60" customFormat="false" ht="15" hidden="false" customHeight="false" outlineLevel="0" collapsed="false">
      <c r="A60" s="12" t="s">
        <v>410</v>
      </c>
      <c r="B60" s="12" t="s">
        <v>408</v>
      </c>
      <c r="C60" s="12" t="s">
        <v>407</v>
      </c>
      <c r="D60" s="23" t="n">
        <v>59.4</v>
      </c>
      <c r="E60" s="23" t="n">
        <v>60.2</v>
      </c>
      <c r="F60" s="23" t="n">
        <v>59.6</v>
      </c>
      <c r="G60" s="23" t="n">
        <v>60.5</v>
      </c>
      <c r="H60" s="23" t="n">
        <v>56.4</v>
      </c>
      <c r="I60" s="23" t="n">
        <v>54.5</v>
      </c>
      <c r="J60" s="23" t="n">
        <v>53.8</v>
      </c>
      <c r="K60" s="23" t="n">
        <v>52.1</v>
      </c>
      <c r="L60" s="23" t="n">
        <v>50.5</v>
      </c>
      <c r="M60" s="23" t="n">
        <v>51.2</v>
      </c>
      <c r="N60" s="23" t="n">
        <v>54</v>
      </c>
      <c r="O60" s="23" t="n">
        <v>55.7</v>
      </c>
      <c r="P60" s="23" t="n">
        <v>57.8</v>
      </c>
      <c r="Q60" s="23" t="n">
        <v>59.7</v>
      </c>
      <c r="R60" s="23" t="n">
        <v>61.1</v>
      </c>
      <c r="S60" s="23" t="n">
        <v>61.6</v>
      </c>
      <c r="T60" s="23" t="n">
        <v>62.7</v>
      </c>
      <c r="U60" s="23" t="n">
        <v>64.7</v>
      </c>
      <c r="V60" s="23" t="n">
        <v>66.3</v>
      </c>
      <c r="W60" s="23" t="n">
        <v>68</v>
      </c>
      <c r="X60" s="23" t="n">
        <v>68.7</v>
      </c>
    </row>
    <row r="61" customFormat="false" ht="15" hidden="false" customHeight="false" outlineLevel="0" collapsed="false">
      <c r="A61" s="12" t="s">
        <v>410</v>
      </c>
      <c r="B61" s="12" t="s">
        <v>408</v>
      </c>
      <c r="C61" s="12" t="s">
        <v>413</v>
      </c>
      <c r="D61" s="23" t="n">
        <v>3.1</v>
      </c>
      <c r="E61" s="23" t="n">
        <v>3.3</v>
      </c>
      <c r="F61" s="23" t="n">
        <v>3.2</v>
      </c>
      <c r="G61" s="23" t="n">
        <v>3.1</v>
      </c>
      <c r="H61" s="23" t="n">
        <v>2.8</v>
      </c>
      <c r="I61" s="23" t="n">
        <v>2.6</v>
      </c>
      <c r="J61" s="23" t="n">
        <v>2.5</v>
      </c>
      <c r="K61" s="23" t="n">
        <v>2.6</v>
      </c>
      <c r="L61" s="23" t="n">
        <v>2.3</v>
      </c>
      <c r="M61" s="23" t="n">
        <v>2.2</v>
      </c>
      <c r="N61" s="23" t="n">
        <v>2.3</v>
      </c>
      <c r="O61" s="23" t="n">
        <v>2.4</v>
      </c>
      <c r="P61" s="23" t="n">
        <v>2.8</v>
      </c>
      <c r="Q61" s="23" t="n">
        <v>2.9</v>
      </c>
      <c r="R61" s="23" t="n">
        <v>3.2</v>
      </c>
      <c r="S61" s="23" t="n">
        <v>3.6</v>
      </c>
      <c r="T61" s="23" t="n">
        <v>4.1</v>
      </c>
      <c r="U61" s="23" t="n">
        <v>4.2</v>
      </c>
      <c r="V61" s="23" t="n">
        <v>4.3</v>
      </c>
      <c r="W61" s="23" t="n">
        <v>4.6</v>
      </c>
      <c r="X61" s="23" t="n">
        <v>5.2</v>
      </c>
    </row>
    <row r="62" customFormat="false" ht="15" hidden="false" customHeight="false" outlineLevel="0" collapsed="false">
      <c r="A62" s="12" t="s">
        <v>410</v>
      </c>
      <c r="B62" s="12" t="s">
        <v>409</v>
      </c>
      <c r="C62" s="12" t="s">
        <v>398</v>
      </c>
      <c r="D62" s="23" t="n">
        <v>33</v>
      </c>
      <c r="E62" s="23" t="n">
        <v>34.5</v>
      </c>
      <c r="F62" s="23" t="n">
        <v>34</v>
      </c>
      <c r="G62" s="23" t="n">
        <v>32.6</v>
      </c>
      <c r="H62" s="23" t="n">
        <v>26.7</v>
      </c>
      <c r="I62" s="23" t="n">
        <v>24.3</v>
      </c>
      <c r="J62" s="23" t="n">
        <v>22</v>
      </c>
      <c r="K62" s="23" t="n">
        <v>18.3</v>
      </c>
      <c r="L62" s="23" t="n">
        <v>16.3</v>
      </c>
      <c r="M62" s="23" t="n">
        <v>16</v>
      </c>
      <c r="N62" s="23" t="n">
        <v>17.3</v>
      </c>
      <c r="O62" s="23" t="n">
        <v>17.2</v>
      </c>
      <c r="P62" s="23" t="n">
        <v>19.7</v>
      </c>
      <c r="Q62" s="23" t="n">
        <v>20.5</v>
      </c>
      <c r="R62" s="23" t="n">
        <v>20.1</v>
      </c>
      <c r="S62" s="23" t="n">
        <v>16.6</v>
      </c>
      <c r="T62" s="23" t="n">
        <v>19</v>
      </c>
      <c r="U62" s="23" t="n">
        <v>21.1</v>
      </c>
      <c r="V62" s="23" t="n">
        <v>22.1</v>
      </c>
      <c r="W62" s="23" t="n">
        <v>22.7</v>
      </c>
      <c r="X62" s="23" t="n">
        <v>23.6</v>
      </c>
    </row>
    <row r="63" customFormat="false" ht="15" hidden="false" customHeight="false" outlineLevel="0" collapsed="false">
      <c r="A63" s="12" t="s">
        <v>410</v>
      </c>
      <c r="B63" s="12" t="s">
        <v>409</v>
      </c>
      <c r="C63" s="12" t="s">
        <v>411</v>
      </c>
      <c r="D63" s="23" t="n">
        <v>51.8</v>
      </c>
      <c r="E63" s="23" t="n">
        <v>53.8</v>
      </c>
      <c r="F63" s="23" t="n">
        <v>55.3</v>
      </c>
      <c r="G63" s="23" t="n">
        <v>55.4</v>
      </c>
      <c r="H63" s="23" t="n">
        <v>53.3</v>
      </c>
      <c r="I63" s="23" t="n">
        <v>52.8</v>
      </c>
      <c r="J63" s="23" t="n">
        <v>52.6</v>
      </c>
      <c r="K63" s="23" t="n">
        <v>51.2</v>
      </c>
      <c r="L63" s="23" t="n">
        <v>50.3</v>
      </c>
      <c r="M63" s="23" t="n">
        <v>51.2</v>
      </c>
      <c r="N63" s="23" t="n">
        <v>52.7</v>
      </c>
      <c r="O63" s="23" t="n">
        <v>54.3</v>
      </c>
      <c r="P63" s="23" t="n">
        <v>55.7</v>
      </c>
      <c r="Q63" s="23" t="n">
        <v>56.9</v>
      </c>
      <c r="R63" s="23" t="n">
        <v>57.9</v>
      </c>
      <c r="S63" s="23" t="n">
        <v>55.7</v>
      </c>
      <c r="T63" s="23" t="n">
        <v>57.7</v>
      </c>
      <c r="U63" s="23" t="n">
        <v>59.2</v>
      </c>
      <c r="V63" s="23" t="n">
        <v>60.7</v>
      </c>
      <c r="W63" s="23" t="n">
        <v>61.6</v>
      </c>
      <c r="X63" s="23" t="n">
        <v>62.7</v>
      </c>
    </row>
    <row r="64" customFormat="false" ht="15" hidden="false" customHeight="false" outlineLevel="0" collapsed="false">
      <c r="A64" s="12" t="s">
        <v>410</v>
      </c>
      <c r="B64" s="12" t="s">
        <v>409</v>
      </c>
      <c r="C64" s="12" t="s">
        <v>400</v>
      </c>
      <c r="D64" s="23" t="n">
        <v>45.6</v>
      </c>
      <c r="E64" s="23" t="n">
        <v>47.5</v>
      </c>
      <c r="F64" s="23" t="n">
        <v>49.1</v>
      </c>
      <c r="G64" s="23" t="n">
        <v>49.3</v>
      </c>
      <c r="H64" s="23" t="n">
        <v>47.4</v>
      </c>
      <c r="I64" s="23" t="n">
        <v>47</v>
      </c>
      <c r="J64" s="23" t="n">
        <v>46.8</v>
      </c>
      <c r="K64" s="23" t="n">
        <v>45.4</v>
      </c>
      <c r="L64" s="23" t="n">
        <v>44.5</v>
      </c>
      <c r="M64" s="23" t="n">
        <v>45</v>
      </c>
      <c r="N64" s="23" t="n">
        <v>46.1</v>
      </c>
      <c r="O64" s="23" t="n">
        <v>47.4</v>
      </c>
      <c r="P64" s="23" t="n">
        <v>48.4</v>
      </c>
      <c r="Q64" s="23" t="n">
        <v>49.5</v>
      </c>
      <c r="R64" s="23" t="n">
        <v>50.4</v>
      </c>
      <c r="S64" s="23" t="n">
        <v>48.5</v>
      </c>
      <c r="T64" s="23" t="n">
        <v>50.1</v>
      </c>
      <c r="U64" s="23" t="n">
        <v>51.4</v>
      </c>
      <c r="V64" s="23" t="n">
        <v>52.7</v>
      </c>
      <c r="W64" s="23" t="n">
        <v>53.4</v>
      </c>
      <c r="X64" s="23" t="n">
        <v>54.3</v>
      </c>
    </row>
    <row r="65" customFormat="false" ht="15" hidden="false" customHeight="false" outlineLevel="0" collapsed="false">
      <c r="A65" s="12" t="s">
        <v>410</v>
      </c>
      <c r="B65" s="12" t="s">
        <v>409</v>
      </c>
      <c r="C65" s="12" t="s">
        <v>401</v>
      </c>
      <c r="D65" s="23" t="n">
        <v>40.9</v>
      </c>
      <c r="E65" s="23" t="n">
        <v>42.5</v>
      </c>
      <c r="F65" s="23" t="n">
        <v>43.7</v>
      </c>
      <c r="G65" s="23" t="n">
        <v>43.9</v>
      </c>
      <c r="H65" s="23" t="n">
        <v>42.1</v>
      </c>
      <c r="I65" s="23" t="n">
        <v>41.6</v>
      </c>
      <c r="J65" s="23" t="n">
        <v>41.3</v>
      </c>
      <c r="K65" s="23" t="n">
        <v>40.1</v>
      </c>
      <c r="L65" s="23" t="n">
        <v>39.1</v>
      </c>
      <c r="M65" s="23" t="n">
        <v>39.6</v>
      </c>
      <c r="N65" s="23" t="n">
        <v>40.6</v>
      </c>
      <c r="O65" s="23" t="n">
        <v>41.7</v>
      </c>
      <c r="P65" s="23" t="n">
        <v>42.6</v>
      </c>
      <c r="Q65" s="23" t="n">
        <v>43.5</v>
      </c>
      <c r="R65" s="23" t="n">
        <v>44.3</v>
      </c>
      <c r="S65" s="23" t="n">
        <v>42.6</v>
      </c>
      <c r="T65" s="23" t="n">
        <v>43.8</v>
      </c>
      <c r="U65" s="23" t="n">
        <v>44.9</v>
      </c>
      <c r="V65" s="23" t="n">
        <v>46</v>
      </c>
      <c r="W65" s="23" t="n">
        <v>46.5</v>
      </c>
      <c r="X65" s="23" t="n">
        <v>47.3</v>
      </c>
    </row>
    <row r="66" customFormat="false" ht="15" hidden="false" customHeight="false" outlineLevel="0" collapsed="false">
      <c r="A66" s="12" t="s">
        <v>410</v>
      </c>
      <c r="B66" s="12" t="s">
        <v>409</v>
      </c>
      <c r="C66" s="12" t="s">
        <v>402</v>
      </c>
      <c r="D66" s="23" t="n">
        <v>55.1</v>
      </c>
      <c r="E66" s="23" t="n">
        <v>57.1</v>
      </c>
      <c r="F66" s="23" t="n">
        <v>58.6</v>
      </c>
      <c r="G66" s="23" t="n">
        <v>58.9</v>
      </c>
      <c r="H66" s="23" t="n">
        <v>56.8</v>
      </c>
      <c r="I66" s="23" t="n">
        <v>56.3</v>
      </c>
      <c r="J66" s="23" t="n">
        <v>56.1</v>
      </c>
      <c r="K66" s="23" t="n">
        <v>54.6</v>
      </c>
      <c r="L66" s="23" t="n">
        <v>53.8</v>
      </c>
      <c r="M66" s="23" t="n">
        <v>54.8</v>
      </c>
      <c r="N66" s="23" t="n">
        <v>56.4</v>
      </c>
      <c r="O66" s="23" t="n">
        <v>58.1</v>
      </c>
      <c r="P66" s="23" t="n">
        <v>59.6</v>
      </c>
      <c r="Q66" s="23" t="n">
        <v>61</v>
      </c>
      <c r="R66" s="23" t="n">
        <v>62.1</v>
      </c>
      <c r="S66" s="23" t="n">
        <v>60</v>
      </c>
      <c r="T66" s="23" t="n">
        <v>62.1</v>
      </c>
      <c r="U66" s="23" t="n">
        <v>63.7</v>
      </c>
      <c r="V66" s="23" t="n">
        <v>65.4</v>
      </c>
      <c r="W66" s="23" t="n">
        <v>66.5</v>
      </c>
      <c r="X66" s="23" t="n">
        <v>67.6</v>
      </c>
    </row>
    <row r="67" customFormat="false" ht="15" hidden="false" customHeight="false" outlineLevel="0" collapsed="false">
      <c r="A67" s="12" t="s">
        <v>410</v>
      </c>
      <c r="B67" s="12" t="s">
        <v>409</v>
      </c>
      <c r="C67" s="12" t="s">
        <v>403</v>
      </c>
      <c r="D67" s="23" t="n">
        <v>69.2</v>
      </c>
      <c r="E67" s="23" t="n">
        <v>70.8</v>
      </c>
      <c r="F67" s="23" t="n">
        <v>72.6</v>
      </c>
      <c r="G67" s="23" t="n">
        <v>72.2</v>
      </c>
      <c r="H67" s="23" t="n">
        <v>68.1</v>
      </c>
      <c r="I67" s="23" t="n">
        <v>66.8</v>
      </c>
      <c r="J67" s="23" t="n">
        <v>65.3</v>
      </c>
      <c r="K67" s="23" t="n">
        <v>62.8</v>
      </c>
      <c r="L67" s="23" t="n">
        <v>61.3</v>
      </c>
      <c r="M67" s="23" t="n">
        <v>62.7</v>
      </c>
      <c r="N67" s="23" t="n">
        <v>63.5</v>
      </c>
      <c r="O67" s="23" t="n">
        <v>64.5</v>
      </c>
      <c r="P67" s="23" t="n">
        <v>66.3</v>
      </c>
      <c r="Q67" s="23" t="n">
        <v>67.1</v>
      </c>
      <c r="R67" s="23" t="n">
        <v>68.1</v>
      </c>
      <c r="S67" s="23" t="n">
        <v>64.6</v>
      </c>
      <c r="T67" s="23" t="n">
        <v>68.1</v>
      </c>
      <c r="U67" s="23" t="n">
        <v>70.2</v>
      </c>
      <c r="V67" s="23" t="n">
        <v>71.6</v>
      </c>
      <c r="W67" s="23" t="n">
        <v>71.9</v>
      </c>
      <c r="X67" s="23" t="n">
        <v>73.6</v>
      </c>
    </row>
    <row r="68" customFormat="false" ht="15" hidden="false" customHeight="false" outlineLevel="0" collapsed="false">
      <c r="A68" s="12" t="s">
        <v>410</v>
      </c>
      <c r="B68" s="12" t="s">
        <v>409</v>
      </c>
      <c r="C68" s="12" t="s">
        <v>412</v>
      </c>
      <c r="D68" s="23" t="n">
        <v>55.7</v>
      </c>
      <c r="E68" s="23" t="n">
        <v>57.6</v>
      </c>
      <c r="F68" s="23" t="n">
        <v>59.4</v>
      </c>
      <c r="G68" s="23" t="n">
        <v>59.7</v>
      </c>
      <c r="H68" s="23" t="n">
        <v>58.2</v>
      </c>
      <c r="I68" s="23" t="n">
        <v>57.9</v>
      </c>
      <c r="J68" s="23" t="n">
        <v>57.9</v>
      </c>
      <c r="K68" s="23" t="n">
        <v>56.8</v>
      </c>
      <c r="L68" s="23" t="n">
        <v>56</v>
      </c>
      <c r="M68" s="23" t="n">
        <v>57.1</v>
      </c>
      <c r="N68" s="23" t="n">
        <v>58.6</v>
      </c>
      <c r="O68" s="23" t="n">
        <v>60.5</v>
      </c>
      <c r="P68" s="23" t="n">
        <v>61.7</v>
      </c>
      <c r="Q68" s="23" t="n">
        <v>63</v>
      </c>
      <c r="R68" s="23" t="n">
        <v>64.4</v>
      </c>
      <c r="S68" s="23" t="n">
        <v>62.6</v>
      </c>
      <c r="T68" s="23" t="n">
        <v>64.6</v>
      </c>
      <c r="U68" s="23" t="n">
        <v>66.1</v>
      </c>
      <c r="V68" s="23" t="n">
        <v>67.8</v>
      </c>
      <c r="W68" s="23" t="n">
        <v>69</v>
      </c>
      <c r="X68" s="23" t="n">
        <v>70.2</v>
      </c>
    </row>
    <row r="69" customFormat="false" ht="15" hidden="false" customHeight="false" outlineLevel="0" collapsed="false">
      <c r="A69" s="12" t="s">
        <v>410</v>
      </c>
      <c r="B69" s="12" t="s">
        <v>409</v>
      </c>
      <c r="C69" s="12" t="s">
        <v>404</v>
      </c>
      <c r="D69" s="23" t="n">
        <v>42.2</v>
      </c>
      <c r="E69" s="23" t="n">
        <v>43.7</v>
      </c>
      <c r="F69" s="23" t="n">
        <v>45.2</v>
      </c>
      <c r="G69" s="23" t="n">
        <v>45.5</v>
      </c>
      <c r="H69" s="23" t="n">
        <v>44.3</v>
      </c>
      <c r="I69" s="23" t="n">
        <v>43.9</v>
      </c>
      <c r="J69" s="23" t="n">
        <v>43.8</v>
      </c>
      <c r="K69" s="23" t="n">
        <v>42.8</v>
      </c>
      <c r="L69" s="23" t="n">
        <v>42</v>
      </c>
      <c r="M69" s="23" t="n">
        <v>42.5</v>
      </c>
      <c r="N69" s="23" t="n">
        <v>43.5</v>
      </c>
      <c r="O69" s="23" t="n">
        <v>44.7</v>
      </c>
      <c r="P69" s="23" t="n">
        <v>45.4</v>
      </c>
      <c r="Q69" s="23" t="n">
        <v>46.3</v>
      </c>
      <c r="R69" s="23" t="n">
        <v>47.3</v>
      </c>
      <c r="S69" s="23" t="n">
        <v>45.9</v>
      </c>
      <c r="T69" s="23" t="n">
        <v>47</v>
      </c>
      <c r="U69" s="23" t="n">
        <v>48</v>
      </c>
      <c r="V69" s="23" t="n">
        <v>49.1</v>
      </c>
      <c r="W69" s="23" t="n">
        <v>49.7</v>
      </c>
      <c r="X69" s="23" t="n">
        <v>50.5</v>
      </c>
    </row>
    <row r="70" customFormat="false" ht="15" hidden="false" customHeight="false" outlineLevel="0" collapsed="false">
      <c r="A70" s="12" t="s">
        <v>410</v>
      </c>
      <c r="B70" s="12" t="s">
        <v>409</v>
      </c>
      <c r="C70" s="12" t="s">
        <v>405</v>
      </c>
      <c r="D70" s="23" t="n">
        <v>62.7</v>
      </c>
      <c r="E70" s="23" t="n">
        <v>65.2</v>
      </c>
      <c r="F70" s="23" t="n">
        <v>66.9</v>
      </c>
      <c r="G70" s="23" t="n">
        <v>66.9</v>
      </c>
      <c r="H70" s="23" t="n">
        <v>65.9</v>
      </c>
      <c r="I70" s="23" t="n">
        <v>64.8</v>
      </c>
      <c r="J70" s="23" t="n">
        <v>65.1</v>
      </c>
      <c r="K70" s="23" t="n">
        <v>64.1</v>
      </c>
      <c r="L70" s="23" t="n">
        <v>63.7</v>
      </c>
      <c r="M70" s="23" t="n">
        <v>65</v>
      </c>
      <c r="N70" s="23" t="n">
        <v>66.9</v>
      </c>
      <c r="O70" s="23" t="n">
        <v>69.5</v>
      </c>
      <c r="P70" s="23" t="n">
        <v>70.9</v>
      </c>
      <c r="Q70" s="23" t="n">
        <v>72.3</v>
      </c>
      <c r="R70" s="23" t="n">
        <v>73.3</v>
      </c>
      <c r="S70" s="23" t="n">
        <v>70.3</v>
      </c>
      <c r="T70" s="23" t="n">
        <v>72.8</v>
      </c>
      <c r="U70" s="23" t="n">
        <v>73.5</v>
      </c>
      <c r="V70" s="23" t="n">
        <v>75</v>
      </c>
      <c r="W70" s="23" t="n">
        <v>75.5</v>
      </c>
      <c r="X70" s="23" t="n">
        <v>76.4</v>
      </c>
    </row>
    <row r="71" customFormat="false" ht="15" hidden="false" customHeight="false" outlineLevel="0" collapsed="false">
      <c r="A71" s="12" t="s">
        <v>410</v>
      </c>
      <c r="B71" s="12" t="s">
        <v>409</v>
      </c>
      <c r="C71" s="12" t="s">
        <v>406</v>
      </c>
      <c r="D71" s="23" t="n">
        <v>53</v>
      </c>
      <c r="E71" s="23" t="n">
        <v>55.3</v>
      </c>
      <c r="F71" s="23" t="n">
        <v>58</v>
      </c>
      <c r="G71" s="23" t="n">
        <v>59.3</v>
      </c>
      <c r="H71" s="23" t="n">
        <v>58.4</v>
      </c>
      <c r="I71" s="23" t="n">
        <v>59.5</v>
      </c>
      <c r="J71" s="23" t="n">
        <v>59.4</v>
      </c>
      <c r="K71" s="23" t="n">
        <v>58.8</v>
      </c>
      <c r="L71" s="23" t="n">
        <v>58.1</v>
      </c>
      <c r="M71" s="23" t="n">
        <v>58.9</v>
      </c>
      <c r="N71" s="23" t="n">
        <v>60.3</v>
      </c>
      <c r="O71" s="23" t="n">
        <v>62.2</v>
      </c>
      <c r="P71" s="23" t="n">
        <v>63.8</v>
      </c>
      <c r="Q71" s="23" t="n">
        <v>65.9</v>
      </c>
      <c r="R71" s="23" t="n">
        <v>67.9</v>
      </c>
      <c r="S71" s="23" t="n">
        <v>66.6</v>
      </c>
      <c r="T71" s="23" t="n">
        <v>68</v>
      </c>
      <c r="U71" s="23" t="n">
        <v>70</v>
      </c>
      <c r="V71" s="23" t="n">
        <v>72.2</v>
      </c>
      <c r="W71" s="23" t="n">
        <v>74.5</v>
      </c>
      <c r="X71" s="23" t="n">
        <v>75.1</v>
      </c>
    </row>
    <row r="72" customFormat="false" ht="15" hidden="false" customHeight="false" outlineLevel="0" collapsed="false">
      <c r="A72" s="12" t="s">
        <v>410</v>
      </c>
      <c r="B72" s="12" t="s">
        <v>409</v>
      </c>
      <c r="C72" s="12" t="s">
        <v>407</v>
      </c>
      <c r="D72" s="23" t="n">
        <v>27.7</v>
      </c>
      <c r="E72" s="23" t="n">
        <v>28.9</v>
      </c>
      <c r="F72" s="23" t="n">
        <v>30.2</v>
      </c>
      <c r="G72" s="23" t="n">
        <v>31.2</v>
      </c>
      <c r="H72" s="23" t="n">
        <v>32.1</v>
      </c>
      <c r="I72" s="23" t="n">
        <v>33.1</v>
      </c>
      <c r="J72" s="23" t="n">
        <v>35.6</v>
      </c>
      <c r="K72" s="23" t="n">
        <v>36</v>
      </c>
      <c r="L72" s="23" t="n">
        <v>36.3</v>
      </c>
      <c r="M72" s="23" t="n">
        <v>37.8</v>
      </c>
      <c r="N72" s="23" t="n">
        <v>40.2</v>
      </c>
      <c r="O72" s="23" t="n">
        <v>42.8</v>
      </c>
      <c r="P72" s="23" t="n">
        <v>43.5</v>
      </c>
      <c r="Q72" s="23" t="n">
        <v>44.9</v>
      </c>
      <c r="R72" s="23" t="n">
        <v>46.9</v>
      </c>
      <c r="S72" s="23" t="n">
        <v>48</v>
      </c>
      <c r="T72" s="23" t="n">
        <v>49.2</v>
      </c>
      <c r="U72" s="23" t="n">
        <v>50.9</v>
      </c>
      <c r="V72" s="23" t="n">
        <v>53</v>
      </c>
      <c r="W72" s="23" t="n">
        <v>54.5</v>
      </c>
      <c r="X72" s="23" t="n">
        <v>56.4</v>
      </c>
    </row>
    <row r="73" customFormat="false" ht="15" hidden="false" customHeight="false" outlineLevel="0" collapsed="false">
      <c r="A73" s="12" t="s">
        <v>410</v>
      </c>
      <c r="B73" s="12" t="s">
        <v>409</v>
      </c>
      <c r="C73" s="12" t="s">
        <v>413</v>
      </c>
      <c r="D73" s="23" t="n">
        <v>1.1</v>
      </c>
      <c r="E73" s="23" t="n">
        <v>1.1</v>
      </c>
      <c r="F73" s="23" t="n">
        <v>1.1</v>
      </c>
      <c r="G73" s="23" t="n">
        <v>1.3</v>
      </c>
      <c r="H73" s="23" t="n">
        <v>1.4</v>
      </c>
      <c r="I73" s="23" t="n">
        <v>1.5</v>
      </c>
      <c r="J73" s="23" t="n">
        <v>1.5</v>
      </c>
      <c r="K73" s="23" t="n">
        <v>1.5</v>
      </c>
      <c r="L73" s="23" t="n">
        <v>1.3</v>
      </c>
      <c r="M73" s="23" t="n">
        <v>1.2</v>
      </c>
      <c r="N73" s="23" t="n">
        <v>1.4</v>
      </c>
      <c r="O73" s="23" t="n">
        <v>1.4</v>
      </c>
      <c r="P73" s="23" t="n">
        <v>1.5</v>
      </c>
      <c r="Q73" s="23" t="n">
        <v>1.6</v>
      </c>
      <c r="R73" s="23" t="n">
        <v>1.8</v>
      </c>
      <c r="S73" s="23" t="n">
        <v>2.1</v>
      </c>
      <c r="T73" s="23" t="n">
        <v>2.4</v>
      </c>
      <c r="U73" s="23" t="n">
        <v>2.6</v>
      </c>
      <c r="V73" s="23" t="n">
        <v>2.7</v>
      </c>
      <c r="W73" s="23" t="n">
        <v>2.8</v>
      </c>
      <c r="X73" s="23" t="n">
        <v>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4" t="s">
        <v>393</v>
      </c>
      <c r="B1" s="4" t="s">
        <v>394</v>
      </c>
      <c r="C1" s="4" t="s">
        <v>395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80</v>
      </c>
    </row>
    <row r="2" customFormat="false" ht="15" hidden="false" customHeight="false" outlineLevel="0" collapsed="false">
      <c r="A2" s="12" t="s">
        <v>396</v>
      </c>
      <c r="B2" s="12" t="s">
        <v>397</v>
      </c>
      <c r="C2" s="12" t="s">
        <v>398</v>
      </c>
      <c r="D2" s="23" t="n">
        <v>48.2</v>
      </c>
      <c r="E2" s="23" t="n">
        <v>50</v>
      </c>
      <c r="F2" s="23" t="n">
        <v>50</v>
      </c>
      <c r="G2" s="23" t="n">
        <v>48.3</v>
      </c>
      <c r="H2" s="23" t="n">
        <v>45.4</v>
      </c>
      <c r="I2" s="23" t="n">
        <v>42.9</v>
      </c>
      <c r="J2" s="23" t="n">
        <v>39.8</v>
      </c>
      <c r="K2" s="23" t="n">
        <v>38</v>
      </c>
      <c r="L2" s="23" t="n">
        <v>37.7</v>
      </c>
      <c r="M2" s="23" t="n">
        <v>36.3</v>
      </c>
      <c r="N2" s="23" t="n">
        <v>37.3</v>
      </c>
      <c r="O2" s="23" t="n">
        <v>33</v>
      </c>
      <c r="P2" s="23" t="n">
        <v>32</v>
      </c>
      <c r="Q2" s="23" t="n">
        <v>33</v>
      </c>
      <c r="R2" s="23" t="n">
        <v>31.4</v>
      </c>
      <c r="S2" s="23" t="n">
        <v>29.2</v>
      </c>
      <c r="T2" s="23" t="n">
        <v>33.5</v>
      </c>
      <c r="U2" s="23" t="n">
        <v>34.1</v>
      </c>
      <c r="V2" s="23" t="n">
        <v>32.6</v>
      </c>
      <c r="W2" s="23" t="n">
        <v>33.6</v>
      </c>
      <c r="X2" s="23" t="n">
        <v>33.9</v>
      </c>
    </row>
    <row r="3" customFormat="false" ht="15" hidden="false" customHeight="false" outlineLevel="0" collapsed="false">
      <c r="A3" s="12" t="s">
        <v>396</v>
      </c>
      <c r="B3" s="12" t="s">
        <v>397</v>
      </c>
      <c r="C3" s="12" t="s">
        <v>411</v>
      </c>
      <c r="D3" s="23" t="n">
        <v>74.2</v>
      </c>
      <c r="E3" s="23" t="n">
        <v>75.4</v>
      </c>
      <c r="F3" s="23" t="n">
        <v>76.2</v>
      </c>
      <c r="G3" s="23" t="n">
        <v>76.7</v>
      </c>
      <c r="H3" s="23" t="n">
        <v>77.5</v>
      </c>
      <c r="I3" s="23" t="n">
        <v>78.2</v>
      </c>
      <c r="J3" s="23" t="n">
        <v>77.7</v>
      </c>
      <c r="K3" s="23" t="n">
        <v>78</v>
      </c>
      <c r="L3" s="23" t="n">
        <v>77.9</v>
      </c>
      <c r="M3" s="23" t="n">
        <v>77.7</v>
      </c>
      <c r="N3" s="23" t="n">
        <v>78.9</v>
      </c>
      <c r="O3" s="23" t="n">
        <v>78</v>
      </c>
      <c r="P3" s="23" t="n">
        <v>77.3</v>
      </c>
      <c r="Q3" s="23" t="n">
        <v>77.2</v>
      </c>
      <c r="R3" s="23" t="n">
        <v>77.2</v>
      </c>
      <c r="S3" s="23" t="n">
        <v>76.4</v>
      </c>
      <c r="T3" s="23" t="n">
        <v>78</v>
      </c>
      <c r="U3" s="23" t="n">
        <v>77.9</v>
      </c>
      <c r="V3" s="23" t="n">
        <v>77.7</v>
      </c>
      <c r="W3" s="23" t="n">
        <v>78.2</v>
      </c>
      <c r="X3" s="23" t="n">
        <v>78.3</v>
      </c>
    </row>
    <row r="4" customFormat="false" ht="15" hidden="false" customHeight="false" outlineLevel="0" collapsed="false">
      <c r="A4" s="12" t="s">
        <v>396</v>
      </c>
      <c r="B4" s="12" t="s">
        <v>397</v>
      </c>
      <c r="C4" s="12" t="s">
        <v>400</v>
      </c>
      <c r="D4" s="23" t="n">
        <v>67.3</v>
      </c>
      <c r="E4" s="23" t="n">
        <v>68.6</v>
      </c>
      <c r="F4" s="23" t="n">
        <v>69.5</v>
      </c>
      <c r="G4" s="23" t="n">
        <v>70.1</v>
      </c>
      <c r="H4" s="23" t="n">
        <v>70.7</v>
      </c>
      <c r="I4" s="23" t="n">
        <v>71.4</v>
      </c>
      <c r="J4" s="23" t="n">
        <v>70.5</v>
      </c>
      <c r="K4" s="23" t="n">
        <v>70.6</v>
      </c>
      <c r="L4" s="23" t="n">
        <v>70</v>
      </c>
      <c r="M4" s="23" t="n">
        <v>69.1</v>
      </c>
      <c r="N4" s="23" t="n">
        <v>70.3</v>
      </c>
      <c r="O4" s="23" t="n">
        <v>69.4</v>
      </c>
      <c r="P4" s="23" t="n">
        <v>68.5</v>
      </c>
      <c r="Q4" s="23" t="n">
        <v>68.8</v>
      </c>
      <c r="R4" s="23" t="n">
        <v>68.9</v>
      </c>
      <c r="S4" s="23" t="n">
        <v>68</v>
      </c>
      <c r="T4" s="23" t="n">
        <v>69.3</v>
      </c>
      <c r="U4" s="23" t="n">
        <v>69.3</v>
      </c>
      <c r="V4" s="23" t="n">
        <v>69.1</v>
      </c>
      <c r="W4" s="23" t="n">
        <v>69.5</v>
      </c>
      <c r="X4" s="23" t="n">
        <v>70</v>
      </c>
    </row>
    <row r="5" customFormat="false" ht="15" hidden="false" customHeight="false" outlineLevel="0" collapsed="false">
      <c r="A5" s="12" t="s">
        <v>396</v>
      </c>
      <c r="B5" s="12" t="s">
        <v>397</v>
      </c>
      <c r="C5" s="12" t="s">
        <v>401</v>
      </c>
      <c r="D5" s="23" t="n">
        <v>62.5</v>
      </c>
      <c r="E5" s="23" t="n">
        <v>63.6</v>
      </c>
      <c r="F5" s="23" t="n">
        <v>64.3</v>
      </c>
      <c r="G5" s="23" t="n">
        <v>64.8</v>
      </c>
      <c r="H5" s="23" t="n">
        <v>65.1</v>
      </c>
      <c r="I5" s="23" t="n">
        <v>65.3</v>
      </c>
      <c r="J5" s="23" t="n">
        <v>64.5</v>
      </c>
      <c r="K5" s="23" t="n">
        <v>64.6</v>
      </c>
      <c r="L5" s="23" t="n">
        <v>63.8</v>
      </c>
      <c r="M5" s="23" t="n">
        <v>63.2</v>
      </c>
      <c r="N5" s="23" t="n">
        <v>63.9</v>
      </c>
      <c r="O5" s="23" t="n">
        <v>62.8</v>
      </c>
      <c r="P5" s="23" t="n">
        <v>62.1</v>
      </c>
      <c r="Q5" s="23" t="n">
        <v>62.1</v>
      </c>
      <c r="R5" s="23" t="n">
        <v>62</v>
      </c>
      <c r="S5" s="23" t="n">
        <v>61.4</v>
      </c>
      <c r="T5" s="23" t="n">
        <v>62.5</v>
      </c>
      <c r="U5" s="23" t="n">
        <v>62.5</v>
      </c>
      <c r="V5" s="23" t="n">
        <v>62.3</v>
      </c>
      <c r="W5" s="23" t="n">
        <v>62.3</v>
      </c>
      <c r="X5" s="23" t="n">
        <v>62.5</v>
      </c>
    </row>
    <row r="6" customFormat="false" ht="15" hidden="false" customHeight="false" outlineLevel="0" collapsed="false">
      <c r="A6" s="12" t="s">
        <v>396</v>
      </c>
      <c r="B6" s="12" t="s">
        <v>397</v>
      </c>
      <c r="C6" s="12" t="s">
        <v>403</v>
      </c>
      <c r="D6" s="23" t="n">
        <v>89.2</v>
      </c>
      <c r="E6" s="23" t="n">
        <v>89.4</v>
      </c>
      <c r="F6" s="23" t="n">
        <v>89.3</v>
      </c>
      <c r="G6" s="23" t="n">
        <v>90.9</v>
      </c>
      <c r="H6" s="23" t="n">
        <v>91.2</v>
      </c>
      <c r="I6" s="23" t="n">
        <v>92.1</v>
      </c>
      <c r="J6" s="23" t="n">
        <v>90.9</v>
      </c>
      <c r="K6" s="23" t="n">
        <v>90.9</v>
      </c>
      <c r="L6" s="23" t="n">
        <v>91.1</v>
      </c>
      <c r="M6" s="23" t="n">
        <v>91.6</v>
      </c>
      <c r="N6" s="23" t="n">
        <v>90.8</v>
      </c>
      <c r="O6" s="23" t="n">
        <v>90</v>
      </c>
      <c r="P6" s="23" t="n">
        <v>88.4</v>
      </c>
      <c r="Q6" s="23" t="n">
        <v>90.2</v>
      </c>
      <c r="R6" s="23" t="n">
        <v>89.9</v>
      </c>
      <c r="S6" s="23" t="n">
        <v>87.9</v>
      </c>
      <c r="T6" s="23" t="n">
        <v>89.7</v>
      </c>
      <c r="U6" s="23" t="n">
        <v>89.1</v>
      </c>
      <c r="V6" s="23" t="n">
        <v>89.3</v>
      </c>
      <c r="W6" s="23" t="n">
        <v>89.2</v>
      </c>
      <c r="X6" s="23" t="n">
        <v>88.3</v>
      </c>
    </row>
    <row r="7" customFormat="false" ht="15" hidden="false" customHeight="false" outlineLevel="0" collapsed="false">
      <c r="A7" s="12" t="s">
        <v>396</v>
      </c>
      <c r="B7" s="12" t="s">
        <v>397</v>
      </c>
      <c r="C7" s="12" t="s">
        <v>412</v>
      </c>
      <c r="D7" s="23" t="n">
        <v>79.4</v>
      </c>
      <c r="E7" s="23" t="n">
        <v>80.4</v>
      </c>
      <c r="F7" s="23" t="n">
        <v>81.1</v>
      </c>
      <c r="G7" s="23" t="n">
        <v>82</v>
      </c>
      <c r="H7" s="23" t="n">
        <v>83.1</v>
      </c>
      <c r="I7" s="23" t="n">
        <v>84.3</v>
      </c>
      <c r="J7" s="23" t="n">
        <v>84</v>
      </c>
      <c r="K7" s="23" t="n">
        <v>84.5</v>
      </c>
      <c r="L7" s="23" t="n">
        <v>84.3</v>
      </c>
      <c r="M7" s="23" t="n">
        <v>84.4</v>
      </c>
      <c r="N7" s="23" t="n">
        <v>85.5</v>
      </c>
      <c r="O7" s="23" t="n">
        <v>85.4</v>
      </c>
      <c r="P7" s="23" t="n">
        <v>84.9</v>
      </c>
      <c r="Q7" s="23" t="n">
        <v>84.9</v>
      </c>
      <c r="R7" s="23" t="n">
        <v>85.3</v>
      </c>
      <c r="S7" s="23" t="n">
        <v>84.8</v>
      </c>
      <c r="T7" s="23" t="n">
        <v>86</v>
      </c>
      <c r="U7" s="23" t="n">
        <v>86</v>
      </c>
      <c r="V7" s="23" t="n">
        <v>86.4</v>
      </c>
      <c r="W7" s="23" t="n">
        <v>86.9</v>
      </c>
      <c r="X7" s="23" t="n">
        <v>87.2</v>
      </c>
    </row>
    <row r="8" customFormat="false" ht="15" hidden="false" customHeight="false" outlineLevel="0" collapsed="false">
      <c r="A8" s="12" t="s">
        <v>396</v>
      </c>
      <c r="B8" s="12" t="s">
        <v>397</v>
      </c>
      <c r="C8" s="12" t="s">
        <v>404</v>
      </c>
      <c r="D8" s="23" t="n">
        <v>64.9</v>
      </c>
      <c r="E8" s="23" t="n">
        <v>65.7</v>
      </c>
      <c r="F8" s="23" t="n">
        <v>66.4</v>
      </c>
      <c r="G8" s="23" t="n">
        <v>67.2</v>
      </c>
      <c r="H8" s="23" t="n">
        <v>67.9</v>
      </c>
      <c r="I8" s="23" t="n">
        <v>68.4</v>
      </c>
      <c r="J8" s="23" t="n">
        <v>67.8</v>
      </c>
      <c r="K8" s="23" t="n">
        <v>68.1</v>
      </c>
      <c r="L8" s="23" t="n">
        <v>67.1</v>
      </c>
      <c r="M8" s="23" t="n">
        <v>66.5</v>
      </c>
      <c r="N8" s="23" t="n">
        <v>67.2</v>
      </c>
      <c r="O8" s="23" t="n">
        <v>66.7</v>
      </c>
      <c r="P8" s="23" t="n">
        <v>66</v>
      </c>
      <c r="Q8" s="23" t="n">
        <v>65.9</v>
      </c>
      <c r="R8" s="23" t="n">
        <v>66.2</v>
      </c>
      <c r="S8" s="23" t="n">
        <v>65.8</v>
      </c>
      <c r="T8" s="23" t="n">
        <v>66.5</v>
      </c>
      <c r="U8" s="23" t="n">
        <v>66.5</v>
      </c>
      <c r="V8" s="23" t="n">
        <v>66.6</v>
      </c>
      <c r="W8" s="23" t="n">
        <v>66.6</v>
      </c>
      <c r="X8" s="23" t="n">
        <v>66.8</v>
      </c>
    </row>
    <row r="9" customFormat="false" ht="15" hidden="false" customHeight="false" outlineLevel="0" collapsed="false">
      <c r="A9" s="12" t="s">
        <v>396</v>
      </c>
      <c r="B9" s="12" t="s">
        <v>397</v>
      </c>
      <c r="C9" s="12" t="s">
        <v>405</v>
      </c>
      <c r="D9" s="23" t="n">
        <v>86.1</v>
      </c>
      <c r="E9" s="23" t="n">
        <v>87.9</v>
      </c>
      <c r="F9" s="23" t="n">
        <v>89</v>
      </c>
      <c r="G9" s="23" t="n">
        <v>88.3</v>
      </c>
      <c r="H9" s="23" t="n">
        <v>89.5</v>
      </c>
      <c r="I9" s="23" t="n">
        <v>90.2</v>
      </c>
      <c r="J9" s="23" t="n">
        <v>91.2</v>
      </c>
      <c r="K9" s="23" t="n">
        <v>92</v>
      </c>
      <c r="L9" s="23" t="n">
        <v>91.7</v>
      </c>
      <c r="M9" s="23" t="n">
        <v>92.3</v>
      </c>
      <c r="N9" s="23" t="n">
        <v>93.6</v>
      </c>
      <c r="O9" s="23" t="n">
        <v>93.6</v>
      </c>
      <c r="P9" s="23" t="n">
        <v>93.1</v>
      </c>
      <c r="Q9" s="23" t="n">
        <v>92.2</v>
      </c>
      <c r="R9" s="23" t="n">
        <v>91.8</v>
      </c>
      <c r="S9" s="23" t="n">
        <v>89.8</v>
      </c>
      <c r="T9" s="23" t="n">
        <v>91.7</v>
      </c>
      <c r="U9" s="23" t="n">
        <v>91.2</v>
      </c>
      <c r="V9" s="23" t="n">
        <v>92.4</v>
      </c>
      <c r="W9" s="23" t="n">
        <v>91.7</v>
      </c>
      <c r="X9" s="23" t="n">
        <v>92.1</v>
      </c>
    </row>
    <row r="10" customFormat="false" ht="15" hidden="false" customHeight="false" outlineLevel="0" collapsed="false">
      <c r="A10" s="12" t="s">
        <v>396</v>
      </c>
      <c r="B10" s="12" t="s">
        <v>397</v>
      </c>
      <c r="C10" s="12" t="s">
        <v>406</v>
      </c>
      <c r="D10" s="23" t="n">
        <v>79</v>
      </c>
      <c r="E10" s="23" t="n">
        <v>80</v>
      </c>
      <c r="F10" s="23" t="n">
        <v>82</v>
      </c>
      <c r="G10" s="23" t="n">
        <v>83.9</v>
      </c>
      <c r="H10" s="23" t="n">
        <v>85.6</v>
      </c>
      <c r="I10" s="23" t="n">
        <v>87.3</v>
      </c>
      <c r="J10" s="23" t="n">
        <v>85.6</v>
      </c>
      <c r="K10" s="23" t="n">
        <v>86.5</v>
      </c>
      <c r="L10" s="23" t="n">
        <v>86.9</v>
      </c>
      <c r="M10" s="23" t="n">
        <v>85.9</v>
      </c>
      <c r="N10" s="23" t="n">
        <v>88.5</v>
      </c>
      <c r="O10" s="23" t="n">
        <v>88.7</v>
      </c>
      <c r="P10" s="23" t="n">
        <v>88</v>
      </c>
      <c r="Q10" s="23" t="n">
        <v>87.4</v>
      </c>
      <c r="R10" s="23" t="n">
        <v>88.4</v>
      </c>
      <c r="S10" s="23" t="n">
        <v>88.9</v>
      </c>
      <c r="T10" s="23" t="n">
        <v>89.3</v>
      </c>
      <c r="U10" s="23" t="n">
        <v>90</v>
      </c>
      <c r="V10" s="23" t="n">
        <v>89.9</v>
      </c>
      <c r="W10" s="23" t="n">
        <v>91.4</v>
      </c>
      <c r="X10" s="23" t="n">
        <v>91.6</v>
      </c>
    </row>
    <row r="11" customFormat="false" ht="15" hidden="false" customHeight="false" outlineLevel="0" collapsed="false">
      <c r="A11" s="12" t="s">
        <v>396</v>
      </c>
      <c r="B11" s="12" t="s">
        <v>397</v>
      </c>
      <c r="C11" s="12" t="s">
        <v>407</v>
      </c>
      <c r="D11" s="23" t="n">
        <v>51.1</v>
      </c>
      <c r="E11" s="23" t="n">
        <v>52.1</v>
      </c>
      <c r="F11" s="23" t="n">
        <v>52</v>
      </c>
      <c r="G11" s="23" t="n">
        <v>53.3</v>
      </c>
      <c r="H11" s="23" t="n">
        <v>55.3</v>
      </c>
      <c r="I11" s="23" t="n">
        <v>57.5</v>
      </c>
      <c r="J11" s="23" t="n">
        <v>58.9</v>
      </c>
      <c r="K11" s="23" t="n">
        <v>60</v>
      </c>
      <c r="L11" s="23" t="n">
        <v>59.8</v>
      </c>
      <c r="M11" s="23" t="n">
        <v>60.6</v>
      </c>
      <c r="N11" s="23" t="n">
        <v>63.1</v>
      </c>
      <c r="O11" s="23" t="n">
        <v>64</v>
      </c>
      <c r="P11" s="23" t="n">
        <v>65.4</v>
      </c>
      <c r="Q11" s="23" t="n">
        <v>66.2</v>
      </c>
      <c r="R11" s="23" t="n">
        <v>68.1</v>
      </c>
      <c r="S11" s="23" t="n">
        <v>70.5</v>
      </c>
      <c r="T11" s="23" t="n">
        <v>71.4</v>
      </c>
      <c r="U11" s="23" t="n">
        <v>72.3</v>
      </c>
      <c r="V11" s="23" t="n">
        <v>72.6</v>
      </c>
      <c r="W11" s="23" t="n">
        <v>74.1</v>
      </c>
      <c r="X11" s="23" t="n">
        <v>75.9</v>
      </c>
    </row>
    <row r="12" customFormat="false" ht="15" hidden="false" customHeight="false" outlineLevel="0" collapsed="false">
      <c r="A12" s="12" t="s">
        <v>396</v>
      </c>
      <c r="B12" s="12" t="s">
        <v>397</v>
      </c>
      <c r="C12" s="12" t="s">
        <v>413</v>
      </c>
      <c r="D12" s="23" t="n">
        <v>2.5</v>
      </c>
      <c r="E12" s="23" t="n">
        <v>3</v>
      </c>
      <c r="F12" s="23" t="n">
        <v>3.1</v>
      </c>
      <c r="G12" s="23" t="n">
        <v>3.5</v>
      </c>
      <c r="H12" s="23" t="n">
        <v>3.1</v>
      </c>
      <c r="I12" s="23" t="n">
        <v>2.7</v>
      </c>
      <c r="J12" s="23" t="n">
        <v>2.5</v>
      </c>
      <c r="K12" s="23" t="n">
        <v>3.8</v>
      </c>
      <c r="L12" s="23" t="n">
        <v>2.6</v>
      </c>
      <c r="M12" s="23" t="n">
        <v>2.4</v>
      </c>
      <c r="N12" s="23" t="n">
        <v>2.9</v>
      </c>
      <c r="O12" s="23" t="n">
        <v>2.3</v>
      </c>
      <c r="P12" s="23" t="n">
        <v>2.5</v>
      </c>
      <c r="Q12" s="23" t="n">
        <v>2.9</v>
      </c>
      <c r="R12" s="23" t="n">
        <v>3.2</v>
      </c>
      <c r="S12" s="23" t="n">
        <v>3.6</v>
      </c>
      <c r="T12" s="23" t="n">
        <v>4.4</v>
      </c>
      <c r="U12" s="23" t="n">
        <v>5.1</v>
      </c>
      <c r="V12" s="23" t="n">
        <v>5.1</v>
      </c>
      <c r="W12" s="23" t="n">
        <v>4.3</v>
      </c>
      <c r="X12" s="23" t="n">
        <v>4.9</v>
      </c>
    </row>
    <row r="13" customFormat="false" ht="15" hidden="false" customHeight="false" outlineLevel="0" collapsed="false">
      <c r="A13" s="12" t="s">
        <v>396</v>
      </c>
      <c r="B13" s="12" t="s">
        <v>408</v>
      </c>
      <c r="C13" s="12" t="s">
        <v>398</v>
      </c>
      <c r="D13" s="23" t="n">
        <v>50</v>
      </c>
      <c r="E13" s="23" t="n">
        <v>49.9</v>
      </c>
      <c r="F13" s="23" t="n">
        <v>51.3</v>
      </c>
      <c r="G13" s="23" t="n">
        <v>50.7</v>
      </c>
      <c r="H13" s="23" t="n">
        <v>47.8</v>
      </c>
      <c r="I13" s="23" t="n">
        <v>44.4</v>
      </c>
      <c r="J13" s="23" t="n">
        <v>41.8</v>
      </c>
      <c r="K13" s="23" t="n">
        <v>38.8</v>
      </c>
      <c r="L13" s="23" t="n">
        <v>38.1</v>
      </c>
      <c r="M13" s="23" t="n">
        <v>35</v>
      </c>
      <c r="N13" s="23" t="n">
        <v>38.7</v>
      </c>
      <c r="O13" s="23" t="n">
        <v>33.2</v>
      </c>
      <c r="P13" s="23" t="n">
        <v>33.3</v>
      </c>
      <c r="Q13" s="23" t="n">
        <v>34.3</v>
      </c>
      <c r="R13" s="23" t="n">
        <v>31.8</v>
      </c>
      <c r="S13" s="23" t="n">
        <v>29.7</v>
      </c>
      <c r="T13" s="23" t="n">
        <v>32.5</v>
      </c>
      <c r="U13" s="23" t="n">
        <v>34.9</v>
      </c>
      <c r="V13" s="23" t="n">
        <v>33.9</v>
      </c>
      <c r="W13" s="23" t="n">
        <v>35.5</v>
      </c>
      <c r="X13" s="23" t="n">
        <v>33.6</v>
      </c>
    </row>
    <row r="14" customFormat="false" ht="15" hidden="false" customHeight="false" outlineLevel="0" collapsed="false">
      <c r="A14" s="12" t="s">
        <v>396</v>
      </c>
      <c r="B14" s="12" t="s">
        <v>408</v>
      </c>
      <c r="C14" s="12" t="s">
        <v>411</v>
      </c>
      <c r="D14" s="23" t="n">
        <v>83</v>
      </c>
      <c r="E14" s="23" t="n">
        <v>83.6</v>
      </c>
      <c r="F14" s="23" t="n">
        <v>84.2</v>
      </c>
      <c r="G14" s="23" t="n">
        <v>84.3</v>
      </c>
      <c r="H14" s="23" t="n">
        <v>84</v>
      </c>
      <c r="I14" s="23" t="n">
        <v>83.7</v>
      </c>
      <c r="J14" s="23" t="n">
        <v>83.6</v>
      </c>
      <c r="K14" s="23" t="n">
        <v>82.5</v>
      </c>
      <c r="L14" s="23" t="n">
        <v>82.2</v>
      </c>
      <c r="M14" s="23" t="n">
        <v>82.2</v>
      </c>
      <c r="N14" s="23" t="n">
        <v>83.6</v>
      </c>
      <c r="O14" s="23" t="n">
        <v>82.1</v>
      </c>
      <c r="P14" s="23" t="n">
        <v>81.5</v>
      </c>
      <c r="Q14" s="23" t="n">
        <v>81.8</v>
      </c>
      <c r="R14" s="23" t="n">
        <v>81</v>
      </c>
      <c r="S14" s="23" t="n">
        <v>79.4</v>
      </c>
      <c r="T14" s="23" t="n">
        <v>80.8</v>
      </c>
      <c r="U14" s="23" t="n">
        <v>81.2</v>
      </c>
      <c r="V14" s="23" t="n">
        <v>80.7</v>
      </c>
      <c r="W14" s="23" t="n">
        <v>81</v>
      </c>
      <c r="X14" s="23" t="n">
        <v>81.1</v>
      </c>
    </row>
    <row r="15" customFormat="false" ht="15" hidden="false" customHeight="false" outlineLevel="0" collapsed="false">
      <c r="A15" s="12" t="s">
        <v>396</v>
      </c>
      <c r="B15" s="12" t="s">
        <v>408</v>
      </c>
      <c r="C15" s="12" t="s">
        <v>400</v>
      </c>
      <c r="D15" s="23" t="n">
        <v>76.1</v>
      </c>
      <c r="E15" s="23" t="n">
        <v>76.6</v>
      </c>
      <c r="F15" s="23" t="n">
        <v>77.4</v>
      </c>
      <c r="G15" s="23" t="n">
        <v>77.9</v>
      </c>
      <c r="H15" s="23" t="n">
        <v>77.4</v>
      </c>
      <c r="I15" s="23" t="n">
        <v>77.2</v>
      </c>
      <c r="J15" s="23" t="n">
        <v>76.3</v>
      </c>
      <c r="K15" s="23" t="n">
        <v>75.4</v>
      </c>
      <c r="L15" s="23" t="n">
        <v>74.5</v>
      </c>
      <c r="M15" s="23" t="n">
        <v>73.6</v>
      </c>
      <c r="N15" s="23" t="n">
        <v>75.4</v>
      </c>
      <c r="O15" s="23" t="n">
        <v>73.9</v>
      </c>
      <c r="P15" s="23" t="n">
        <v>72.9</v>
      </c>
      <c r="Q15" s="23" t="n">
        <v>73.5</v>
      </c>
      <c r="R15" s="23" t="n">
        <v>73</v>
      </c>
      <c r="S15" s="23" t="n">
        <v>71.2</v>
      </c>
      <c r="T15" s="23" t="n">
        <v>72.6</v>
      </c>
      <c r="U15" s="23" t="n">
        <v>73.2</v>
      </c>
      <c r="V15" s="23" t="n">
        <v>72.7</v>
      </c>
      <c r="W15" s="23" t="n">
        <v>73.1</v>
      </c>
      <c r="X15" s="23" t="n">
        <v>73.5</v>
      </c>
    </row>
    <row r="16" customFormat="false" ht="15" hidden="false" customHeight="false" outlineLevel="0" collapsed="false">
      <c r="A16" s="12" t="s">
        <v>396</v>
      </c>
      <c r="B16" s="12" t="s">
        <v>408</v>
      </c>
      <c r="C16" s="12" t="s">
        <v>401</v>
      </c>
      <c r="D16" s="23" t="n">
        <v>72.2</v>
      </c>
      <c r="E16" s="23" t="n">
        <v>72.7</v>
      </c>
      <c r="F16" s="23" t="n">
        <v>73.2</v>
      </c>
      <c r="G16" s="23" t="n">
        <v>73.2</v>
      </c>
      <c r="H16" s="23" t="n">
        <v>72.6</v>
      </c>
      <c r="I16" s="23" t="n">
        <v>72</v>
      </c>
      <c r="J16" s="23" t="n">
        <v>71.3</v>
      </c>
      <c r="K16" s="23" t="n">
        <v>70.4</v>
      </c>
      <c r="L16" s="23" t="n">
        <v>69.4</v>
      </c>
      <c r="M16" s="23" t="n">
        <v>68.7</v>
      </c>
      <c r="N16" s="23" t="n">
        <v>69.7</v>
      </c>
      <c r="O16" s="23" t="n">
        <v>68</v>
      </c>
      <c r="P16" s="23" t="n">
        <v>67.3</v>
      </c>
      <c r="Q16" s="23" t="n">
        <v>67.6</v>
      </c>
      <c r="R16" s="23" t="n">
        <v>66.9</v>
      </c>
      <c r="S16" s="23" t="n">
        <v>65.7</v>
      </c>
      <c r="T16" s="23" t="n">
        <v>66.8</v>
      </c>
      <c r="U16" s="23" t="n">
        <v>67.4</v>
      </c>
      <c r="V16" s="23" t="n">
        <v>66.8</v>
      </c>
      <c r="W16" s="23" t="n">
        <v>66.8</v>
      </c>
      <c r="X16" s="23" t="n">
        <v>66.7</v>
      </c>
    </row>
    <row r="17" customFormat="false" ht="15" hidden="false" customHeight="false" outlineLevel="0" collapsed="false">
      <c r="A17" s="12" t="s">
        <v>396</v>
      </c>
      <c r="B17" s="12" t="s">
        <v>408</v>
      </c>
      <c r="C17" s="12" t="s">
        <v>403</v>
      </c>
      <c r="D17" s="23" t="n">
        <v>93.3</v>
      </c>
      <c r="E17" s="23" t="n">
        <v>93.4</v>
      </c>
      <c r="F17" s="23" t="n">
        <v>93.1</v>
      </c>
      <c r="G17" s="23" t="n">
        <v>93.9</v>
      </c>
      <c r="H17" s="23" t="n">
        <v>94</v>
      </c>
      <c r="I17" s="23" t="n">
        <v>93.7</v>
      </c>
      <c r="J17" s="23" t="n">
        <v>93.2</v>
      </c>
      <c r="K17" s="23" t="n">
        <v>94</v>
      </c>
      <c r="L17" s="23" t="n">
        <v>93.2</v>
      </c>
      <c r="M17" s="23" t="n">
        <v>94.4</v>
      </c>
      <c r="N17" s="23" t="n">
        <v>94</v>
      </c>
      <c r="O17" s="23" t="n">
        <v>92.6</v>
      </c>
      <c r="P17" s="23" t="n">
        <v>90.6</v>
      </c>
      <c r="Q17" s="23" t="n">
        <v>92.6</v>
      </c>
      <c r="R17" s="23" t="n">
        <v>91.7</v>
      </c>
      <c r="S17" s="23" t="n">
        <v>87.9</v>
      </c>
      <c r="T17" s="23" t="n">
        <v>91.1</v>
      </c>
      <c r="U17" s="23" t="n">
        <v>91.1</v>
      </c>
      <c r="V17" s="23" t="n">
        <v>92.6</v>
      </c>
      <c r="W17" s="23" t="n">
        <v>92.2</v>
      </c>
      <c r="X17" s="23" t="n">
        <v>91.1</v>
      </c>
    </row>
    <row r="18" customFormat="false" ht="15" hidden="false" customHeight="false" outlineLevel="0" collapsed="false">
      <c r="A18" s="12" t="s">
        <v>396</v>
      </c>
      <c r="B18" s="12" t="s">
        <v>408</v>
      </c>
      <c r="C18" s="12" t="s">
        <v>412</v>
      </c>
      <c r="D18" s="23" t="n">
        <v>89.9</v>
      </c>
      <c r="E18" s="23" t="n">
        <v>90.3</v>
      </c>
      <c r="F18" s="23" t="n">
        <v>90.5</v>
      </c>
      <c r="G18" s="23" t="n">
        <v>90.5</v>
      </c>
      <c r="H18" s="23" t="n">
        <v>90.5</v>
      </c>
      <c r="I18" s="23" t="n">
        <v>90.7</v>
      </c>
      <c r="J18" s="23" t="n">
        <v>90.6</v>
      </c>
      <c r="K18" s="23" t="n">
        <v>89.8</v>
      </c>
      <c r="L18" s="23" t="n">
        <v>89.6</v>
      </c>
      <c r="M18" s="23" t="n">
        <v>90.2</v>
      </c>
      <c r="N18" s="23" t="n">
        <v>91.1</v>
      </c>
      <c r="O18" s="23" t="n">
        <v>90.6</v>
      </c>
      <c r="P18" s="23" t="n">
        <v>89.9</v>
      </c>
      <c r="Q18" s="23" t="n">
        <v>90.3</v>
      </c>
      <c r="R18" s="23" t="n">
        <v>90</v>
      </c>
      <c r="S18" s="23" t="n">
        <v>88.7</v>
      </c>
      <c r="T18" s="23" t="n">
        <v>89.9</v>
      </c>
      <c r="U18" s="23" t="n">
        <v>90.3</v>
      </c>
      <c r="V18" s="23" t="n">
        <v>90.1</v>
      </c>
      <c r="W18" s="23" t="n">
        <v>90.4</v>
      </c>
      <c r="X18" s="23" t="n">
        <v>91</v>
      </c>
    </row>
    <row r="19" customFormat="false" ht="15" hidden="false" customHeight="false" outlineLevel="0" collapsed="false">
      <c r="A19" s="12" t="s">
        <v>396</v>
      </c>
      <c r="B19" s="12" t="s">
        <v>408</v>
      </c>
      <c r="C19" s="12" t="s">
        <v>404</v>
      </c>
      <c r="D19" s="23" t="n">
        <v>76.1</v>
      </c>
      <c r="E19" s="23" t="n">
        <v>76.5</v>
      </c>
      <c r="F19" s="23" t="n">
        <v>76.7</v>
      </c>
      <c r="G19" s="23" t="n">
        <v>76.7</v>
      </c>
      <c r="H19" s="23" t="n">
        <v>76.4</v>
      </c>
      <c r="I19" s="23" t="n">
        <v>76</v>
      </c>
      <c r="J19" s="23" t="n">
        <v>75.4</v>
      </c>
      <c r="K19" s="23" t="n">
        <v>74.8</v>
      </c>
      <c r="L19" s="23" t="n">
        <v>73.6</v>
      </c>
      <c r="M19" s="23" t="n">
        <v>73.4</v>
      </c>
      <c r="N19" s="23" t="n">
        <v>73.9</v>
      </c>
      <c r="O19" s="23" t="n">
        <v>72.8</v>
      </c>
      <c r="P19" s="23" t="n">
        <v>72</v>
      </c>
      <c r="Q19" s="23" t="n">
        <v>72.3</v>
      </c>
      <c r="R19" s="23" t="n">
        <v>72</v>
      </c>
      <c r="S19" s="23" t="n">
        <v>71.1</v>
      </c>
      <c r="T19" s="23" t="n">
        <v>71.9</v>
      </c>
      <c r="U19" s="23" t="n">
        <v>72.3</v>
      </c>
      <c r="V19" s="23" t="n">
        <v>72</v>
      </c>
      <c r="W19" s="23" t="n">
        <v>71.8</v>
      </c>
      <c r="X19" s="23" t="n">
        <v>72</v>
      </c>
    </row>
    <row r="20" customFormat="false" ht="15" hidden="false" customHeight="false" outlineLevel="0" collapsed="false">
      <c r="A20" s="12" t="s">
        <v>396</v>
      </c>
      <c r="B20" s="12" t="s">
        <v>408</v>
      </c>
      <c r="C20" s="12" t="s">
        <v>405</v>
      </c>
      <c r="D20" s="23" t="n">
        <v>95.6</v>
      </c>
      <c r="E20" s="23" t="n">
        <v>95.6</v>
      </c>
      <c r="F20" s="23" t="n">
        <v>96.8</v>
      </c>
      <c r="G20" s="23" t="n">
        <v>95.7</v>
      </c>
      <c r="H20" s="23" t="n">
        <v>95.2</v>
      </c>
      <c r="I20" s="23" t="n">
        <v>95.6</v>
      </c>
      <c r="J20" s="23" t="n">
        <v>95.9</v>
      </c>
      <c r="K20" s="23" t="n">
        <v>95.8</v>
      </c>
      <c r="L20" s="23" t="n">
        <v>96.4</v>
      </c>
      <c r="M20" s="23" t="n">
        <v>97.1</v>
      </c>
      <c r="N20" s="23" t="n">
        <v>97</v>
      </c>
      <c r="O20" s="23" t="n">
        <v>96.3</v>
      </c>
      <c r="P20" s="23" t="n">
        <v>96.2</v>
      </c>
      <c r="Q20" s="23" t="n">
        <v>96.2</v>
      </c>
      <c r="R20" s="23" t="n">
        <v>94.9</v>
      </c>
      <c r="S20" s="23" t="n">
        <v>93.3</v>
      </c>
      <c r="T20" s="23" t="n">
        <v>94.2</v>
      </c>
      <c r="U20" s="23" t="n">
        <v>94.6</v>
      </c>
      <c r="V20" s="23" t="n">
        <v>94.6</v>
      </c>
      <c r="W20" s="23" t="n">
        <v>94.6</v>
      </c>
      <c r="X20" s="23" t="n">
        <v>95.1</v>
      </c>
    </row>
    <row r="21" customFormat="false" ht="15" hidden="false" customHeight="false" outlineLevel="0" collapsed="false">
      <c r="A21" s="12" t="s">
        <v>396</v>
      </c>
      <c r="B21" s="12" t="s">
        <v>408</v>
      </c>
      <c r="C21" s="12" t="s">
        <v>406</v>
      </c>
      <c r="D21" s="23" t="n">
        <v>93</v>
      </c>
      <c r="E21" s="23" t="n">
        <v>94</v>
      </c>
      <c r="F21" s="23" t="n">
        <v>94</v>
      </c>
      <c r="G21" s="23" t="n">
        <v>93.8</v>
      </c>
      <c r="H21" s="23" t="n">
        <v>94.3</v>
      </c>
      <c r="I21" s="23" t="n">
        <v>94.7</v>
      </c>
      <c r="J21" s="23" t="n">
        <v>94.2</v>
      </c>
      <c r="K21" s="23" t="n">
        <v>92.9</v>
      </c>
      <c r="L21" s="23" t="n">
        <v>93.4</v>
      </c>
      <c r="M21" s="23" t="n">
        <v>93.3</v>
      </c>
      <c r="N21" s="23" t="n">
        <v>94.8</v>
      </c>
      <c r="O21" s="23" t="n">
        <v>95.1</v>
      </c>
      <c r="P21" s="23" t="n">
        <v>95</v>
      </c>
      <c r="Q21" s="23" t="n">
        <v>93.4</v>
      </c>
      <c r="R21" s="23" t="n">
        <v>94</v>
      </c>
      <c r="S21" s="23" t="n">
        <v>94</v>
      </c>
      <c r="T21" s="23" t="n">
        <v>94</v>
      </c>
      <c r="U21" s="23" t="n">
        <v>94.5</v>
      </c>
      <c r="V21" s="23" t="n">
        <v>93.4</v>
      </c>
      <c r="W21" s="23" t="n">
        <v>94.2</v>
      </c>
      <c r="X21" s="23" t="n">
        <v>95.1</v>
      </c>
    </row>
    <row r="22" customFormat="false" ht="15" hidden="false" customHeight="false" outlineLevel="0" collapsed="false">
      <c r="A22" s="12" t="s">
        <v>396</v>
      </c>
      <c r="B22" s="12" t="s">
        <v>408</v>
      </c>
      <c r="C22" s="12" t="s">
        <v>407</v>
      </c>
      <c r="D22" s="23" t="n">
        <v>69.7</v>
      </c>
      <c r="E22" s="23" t="n">
        <v>70.4</v>
      </c>
      <c r="F22" s="23" t="n">
        <v>69.9</v>
      </c>
      <c r="G22" s="23" t="n">
        <v>70.4</v>
      </c>
      <c r="H22" s="23" t="n">
        <v>70.5</v>
      </c>
      <c r="I22" s="23" t="n">
        <v>71</v>
      </c>
      <c r="J22" s="23" t="n">
        <v>71.4</v>
      </c>
      <c r="K22" s="23" t="n">
        <v>68.5</v>
      </c>
      <c r="L22" s="23" t="n">
        <v>67.2</v>
      </c>
      <c r="M22" s="23" t="n">
        <v>68.5</v>
      </c>
      <c r="N22" s="23" t="n">
        <v>72.9</v>
      </c>
      <c r="O22" s="23" t="n">
        <v>72.9</v>
      </c>
      <c r="P22" s="23" t="n">
        <v>72.3</v>
      </c>
      <c r="Q22" s="23" t="n">
        <v>74.9</v>
      </c>
      <c r="R22" s="23" t="n">
        <v>76.1</v>
      </c>
      <c r="S22" s="23" t="n">
        <v>76.4</v>
      </c>
      <c r="T22" s="23" t="n">
        <v>78</v>
      </c>
      <c r="U22" s="23" t="n">
        <v>78.6</v>
      </c>
      <c r="V22" s="23" t="n">
        <v>78.3</v>
      </c>
      <c r="W22" s="23" t="n">
        <v>79.3</v>
      </c>
      <c r="X22" s="23" t="n">
        <v>81.6</v>
      </c>
    </row>
    <row r="23" customFormat="false" ht="15" hidden="false" customHeight="false" outlineLevel="0" collapsed="false">
      <c r="A23" s="12" t="s">
        <v>396</v>
      </c>
      <c r="B23" s="12" t="s">
        <v>408</v>
      </c>
      <c r="C23" s="12" t="s">
        <v>413</v>
      </c>
      <c r="D23" s="23" t="n">
        <v>4.3</v>
      </c>
      <c r="E23" s="23" t="n">
        <v>5.5</v>
      </c>
      <c r="F23" s="23" t="n">
        <v>5.2</v>
      </c>
      <c r="G23" s="23" t="n">
        <v>5.2</v>
      </c>
      <c r="H23" s="23" t="n">
        <v>5</v>
      </c>
      <c r="I23" s="23" t="n">
        <v>4.1</v>
      </c>
      <c r="J23" s="23" t="n">
        <v>3.5</v>
      </c>
      <c r="K23" s="23" t="n">
        <v>5.6</v>
      </c>
      <c r="L23" s="23" t="n">
        <v>4</v>
      </c>
      <c r="M23" s="23" t="n">
        <v>3.2</v>
      </c>
      <c r="N23" s="23" t="n">
        <v>3.8</v>
      </c>
      <c r="O23" s="23" t="n">
        <v>2.8</v>
      </c>
      <c r="P23" s="23" t="n">
        <v>3.3</v>
      </c>
      <c r="Q23" s="23" t="n">
        <v>3.7</v>
      </c>
      <c r="R23" s="23" t="n">
        <v>4.1</v>
      </c>
      <c r="S23" s="23" t="n">
        <v>5</v>
      </c>
      <c r="T23" s="23" t="n">
        <v>5.5</v>
      </c>
      <c r="U23" s="23" t="n">
        <v>6.9</v>
      </c>
      <c r="V23" s="23" t="n">
        <v>6.6</v>
      </c>
      <c r="W23" s="23" t="n">
        <v>5.7</v>
      </c>
      <c r="X23" s="23" t="n">
        <v>5.7</v>
      </c>
    </row>
    <row r="24" customFormat="false" ht="15" hidden="false" customHeight="false" outlineLevel="0" collapsed="false">
      <c r="A24" s="12" t="s">
        <v>396</v>
      </c>
      <c r="B24" s="12" t="s">
        <v>409</v>
      </c>
      <c r="C24" s="12" t="s">
        <v>398</v>
      </c>
      <c r="D24" s="23" t="n">
        <v>46.3</v>
      </c>
      <c r="E24" s="23" t="n">
        <v>50</v>
      </c>
      <c r="F24" s="23" t="n">
        <v>48.7</v>
      </c>
      <c r="G24" s="23" t="n">
        <v>45.8</v>
      </c>
      <c r="H24" s="23" t="n">
        <v>43</v>
      </c>
      <c r="I24" s="23" t="n">
        <v>41.4</v>
      </c>
      <c r="J24" s="23" t="n">
        <v>37.9</v>
      </c>
      <c r="K24" s="23" t="n">
        <v>37.1</v>
      </c>
      <c r="L24" s="23" t="n">
        <v>37.3</v>
      </c>
      <c r="M24" s="23" t="n">
        <v>37.7</v>
      </c>
      <c r="N24" s="23" t="n">
        <v>35.8</v>
      </c>
      <c r="O24" s="23" t="n">
        <v>32.7</v>
      </c>
      <c r="P24" s="23" t="n">
        <v>30.6</v>
      </c>
      <c r="Q24" s="23" t="n">
        <v>31.7</v>
      </c>
      <c r="R24" s="23" t="n">
        <v>31</v>
      </c>
      <c r="S24" s="23" t="n">
        <v>28.7</v>
      </c>
      <c r="T24" s="23" t="n">
        <v>34.6</v>
      </c>
      <c r="U24" s="23" t="n">
        <v>33.3</v>
      </c>
      <c r="V24" s="23" t="n">
        <v>31.2</v>
      </c>
      <c r="W24" s="23" t="n">
        <v>31.8</v>
      </c>
      <c r="X24" s="23" t="n">
        <v>34.1</v>
      </c>
    </row>
    <row r="25" customFormat="false" ht="15" hidden="false" customHeight="false" outlineLevel="0" collapsed="false">
      <c r="A25" s="12" t="s">
        <v>396</v>
      </c>
      <c r="B25" s="12" t="s">
        <v>409</v>
      </c>
      <c r="C25" s="12" t="s">
        <v>411</v>
      </c>
      <c r="D25" s="23" t="n">
        <v>65.5</v>
      </c>
      <c r="E25" s="23" t="n">
        <v>67.5</v>
      </c>
      <c r="F25" s="23" t="n">
        <v>68.4</v>
      </c>
      <c r="G25" s="23" t="n">
        <v>69.4</v>
      </c>
      <c r="H25" s="23" t="n">
        <v>71.2</v>
      </c>
      <c r="I25" s="23" t="n">
        <v>72.9</v>
      </c>
      <c r="J25" s="23" t="n">
        <v>72</v>
      </c>
      <c r="K25" s="23" t="n">
        <v>73.7</v>
      </c>
      <c r="L25" s="23" t="n">
        <v>73.7</v>
      </c>
      <c r="M25" s="23" t="n">
        <v>73.4</v>
      </c>
      <c r="N25" s="23" t="n">
        <v>74.3</v>
      </c>
      <c r="O25" s="23" t="n">
        <v>74</v>
      </c>
      <c r="P25" s="23" t="n">
        <v>73.3</v>
      </c>
      <c r="Q25" s="23" t="n">
        <v>72.9</v>
      </c>
      <c r="R25" s="23" t="n">
        <v>73.7</v>
      </c>
      <c r="S25" s="23" t="n">
        <v>73.5</v>
      </c>
      <c r="T25" s="23" t="n">
        <v>75.2</v>
      </c>
      <c r="U25" s="23" t="n">
        <v>74.7</v>
      </c>
      <c r="V25" s="23" t="n">
        <v>74.9</v>
      </c>
      <c r="W25" s="23" t="n">
        <v>75.4</v>
      </c>
      <c r="X25" s="23" t="n">
        <v>75.7</v>
      </c>
    </row>
    <row r="26" customFormat="false" ht="15" hidden="false" customHeight="false" outlineLevel="0" collapsed="false">
      <c r="A26" s="12" t="s">
        <v>396</v>
      </c>
      <c r="B26" s="12" t="s">
        <v>409</v>
      </c>
      <c r="C26" s="12" t="s">
        <v>400</v>
      </c>
      <c r="D26" s="23" t="n">
        <v>58.8</v>
      </c>
      <c r="E26" s="23" t="n">
        <v>60.8</v>
      </c>
      <c r="F26" s="23" t="n">
        <v>61.8</v>
      </c>
      <c r="G26" s="23" t="n">
        <v>62.7</v>
      </c>
      <c r="H26" s="23" t="n">
        <v>64.3</v>
      </c>
      <c r="I26" s="23" t="n">
        <v>66</v>
      </c>
      <c r="J26" s="23" t="n">
        <v>65</v>
      </c>
      <c r="K26" s="23" t="n">
        <v>66</v>
      </c>
      <c r="L26" s="23" t="n">
        <v>65.7</v>
      </c>
      <c r="M26" s="23" t="n">
        <v>64.9</v>
      </c>
      <c r="N26" s="23" t="n">
        <v>65.6</v>
      </c>
      <c r="O26" s="23" t="n">
        <v>65.2</v>
      </c>
      <c r="P26" s="23" t="n">
        <v>64.4</v>
      </c>
      <c r="Q26" s="23" t="n">
        <v>64.4</v>
      </c>
      <c r="R26" s="23" t="n">
        <v>65.1</v>
      </c>
      <c r="S26" s="23" t="n">
        <v>64.9</v>
      </c>
      <c r="T26" s="23" t="n">
        <v>66.3</v>
      </c>
      <c r="U26" s="23" t="n">
        <v>65.6</v>
      </c>
      <c r="V26" s="23" t="n">
        <v>65.7</v>
      </c>
      <c r="W26" s="23" t="n">
        <v>66.1</v>
      </c>
      <c r="X26" s="23" t="n">
        <v>66.6</v>
      </c>
    </row>
    <row r="27" customFormat="false" ht="15" hidden="false" customHeight="false" outlineLevel="0" collapsed="false">
      <c r="A27" s="12" t="s">
        <v>396</v>
      </c>
      <c r="B27" s="12" t="s">
        <v>409</v>
      </c>
      <c r="C27" s="12" t="s">
        <v>401</v>
      </c>
      <c r="D27" s="23" t="n">
        <v>53.6</v>
      </c>
      <c r="E27" s="23" t="n">
        <v>55.2</v>
      </c>
      <c r="F27" s="23" t="n">
        <v>56</v>
      </c>
      <c r="G27" s="23" t="n">
        <v>57</v>
      </c>
      <c r="H27" s="23" t="n">
        <v>58.1</v>
      </c>
      <c r="I27" s="23" t="n">
        <v>59.2</v>
      </c>
      <c r="J27" s="23" t="n">
        <v>58.3</v>
      </c>
      <c r="K27" s="23" t="n">
        <v>59.4</v>
      </c>
      <c r="L27" s="23" t="n">
        <v>58.8</v>
      </c>
      <c r="M27" s="23" t="n">
        <v>58.1</v>
      </c>
      <c r="N27" s="23" t="n">
        <v>58.6</v>
      </c>
      <c r="O27" s="23" t="n">
        <v>58.1</v>
      </c>
      <c r="P27" s="23" t="n">
        <v>57.3</v>
      </c>
      <c r="Q27" s="23" t="n">
        <v>57.1</v>
      </c>
      <c r="R27" s="23" t="n">
        <v>57.7</v>
      </c>
      <c r="S27" s="23" t="n">
        <v>57.5</v>
      </c>
      <c r="T27" s="23" t="n">
        <v>58.6</v>
      </c>
      <c r="U27" s="23" t="n">
        <v>58.1</v>
      </c>
      <c r="V27" s="23" t="n">
        <v>58.3</v>
      </c>
      <c r="W27" s="23" t="n">
        <v>58.3</v>
      </c>
      <c r="X27" s="23" t="n">
        <v>58.7</v>
      </c>
    </row>
    <row r="28" customFormat="false" ht="15" hidden="false" customHeight="false" outlineLevel="0" collapsed="false">
      <c r="A28" s="12" t="s">
        <v>396</v>
      </c>
      <c r="B28" s="12" t="s">
        <v>409</v>
      </c>
      <c r="C28" s="12" t="s">
        <v>403</v>
      </c>
      <c r="D28" s="23" t="n">
        <v>85</v>
      </c>
      <c r="E28" s="23" t="n">
        <v>85.3</v>
      </c>
      <c r="F28" s="23" t="n">
        <v>85.4</v>
      </c>
      <c r="G28" s="23" t="n">
        <v>87.7</v>
      </c>
      <c r="H28" s="23" t="n">
        <v>88.4</v>
      </c>
      <c r="I28" s="23" t="n">
        <v>90.6</v>
      </c>
      <c r="J28" s="23" t="n">
        <v>88.7</v>
      </c>
      <c r="K28" s="23" t="n">
        <v>87.9</v>
      </c>
      <c r="L28" s="23" t="n">
        <v>89</v>
      </c>
      <c r="M28" s="23" t="n">
        <v>89</v>
      </c>
      <c r="N28" s="23" t="n">
        <v>87.7</v>
      </c>
      <c r="O28" s="23" t="n">
        <v>87.6</v>
      </c>
      <c r="P28" s="23" t="n">
        <v>86.2</v>
      </c>
      <c r="Q28" s="23" t="n">
        <v>87.9</v>
      </c>
      <c r="R28" s="23" t="n">
        <v>88.3</v>
      </c>
      <c r="S28" s="23" t="n">
        <v>87.9</v>
      </c>
      <c r="T28" s="23" t="n">
        <v>88.4</v>
      </c>
      <c r="U28" s="23" t="n">
        <v>87.2</v>
      </c>
      <c r="V28" s="23" t="n">
        <v>86.2</v>
      </c>
      <c r="W28" s="23" t="n">
        <v>86.4</v>
      </c>
      <c r="X28" s="23" t="n">
        <v>85.6</v>
      </c>
    </row>
    <row r="29" customFormat="false" ht="15" hidden="false" customHeight="false" outlineLevel="0" collapsed="false">
      <c r="A29" s="12" t="s">
        <v>396</v>
      </c>
      <c r="B29" s="12" t="s">
        <v>409</v>
      </c>
      <c r="C29" s="12" t="s">
        <v>412</v>
      </c>
      <c r="D29" s="23" t="n">
        <v>69.3</v>
      </c>
      <c r="E29" s="23" t="n">
        <v>70.8</v>
      </c>
      <c r="F29" s="23" t="n">
        <v>72</v>
      </c>
      <c r="G29" s="23" t="n">
        <v>73.7</v>
      </c>
      <c r="H29" s="23" t="n">
        <v>76</v>
      </c>
      <c r="I29" s="23" t="n">
        <v>78.1</v>
      </c>
      <c r="J29" s="23" t="n">
        <v>77.7</v>
      </c>
      <c r="K29" s="23" t="n">
        <v>79.4</v>
      </c>
      <c r="L29" s="23" t="n">
        <v>79.3</v>
      </c>
      <c r="M29" s="23" t="n">
        <v>78.9</v>
      </c>
      <c r="N29" s="23" t="n">
        <v>80.3</v>
      </c>
      <c r="O29" s="23" t="n">
        <v>80.6</v>
      </c>
      <c r="P29" s="23" t="n">
        <v>80.2</v>
      </c>
      <c r="Q29" s="23" t="n">
        <v>79.8</v>
      </c>
      <c r="R29" s="23" t="n">
        <v>80.9</v>
      </c>
      <c r="S29" s="23" t="n">
        <v>81.2</v>
      </c>
      <c r="T29" s="23" t="n">
        <v>82.2</v>
      </c>
      <c r="U29" s="23" t="n">
        <v>82.1</v>
      </c>
      <c r="V29" s="23" t="n">
        <v>82.9</v>
      </c>
      <c r="W29" s="23" t="n">
        <v>83.6</v>
      </c>
      <c r="X29" s="23" t="n">
        <v>83.6</v>
      </c>
    </row>
    <row r="30" customFormat="false" ht="15" hidden="false" customHeight="false" outlineLevel="0" collapsed="false">
      <c r="A30" s="12" t="s">
        <v>396</v>
      </c>
      <c r="B30" s="12" t="s">
        <v>409</v>
      </c>
      <c r="C30" s="12" t="s">
        <v>404</v>
      </c>
      <c r="D30" s="23" t="n">
        <v>54.8</v>
      </c>
      <c r="E30" s="23" t="n">
        <v>55.9</v>
      </c>
      <c r="F30" s="23" t="n">
        <v>57.1</v>
      </c>
      <c r="G30" s="23" t="n">
        <v>58.6</v>
      </c>
      <c r="H30" s="23" t="n">
        <v>60.1</v>
      </c>
      <c r="I30" s="23" t="n">
        <v>61.5</v>
      </c>
      <c r="J30" s="23" t="n">
        <v>60.9</v>
      </c>
      <c r="K30" s="23" t="n">
        <v>62.1</v>
      </c>
      <c r="L30" s="23" t="n">
        <v>61.3</v>
      </c>
      <c r="M30" s="23" t="n">
        <v>60.5</v>
      </c>
      <c r="N30" s="23" t="n">
        <v>61.3</v>
      </c>
      <c r="O30" s="23" t="n">
        <v>61.2</v>
      </c>
      <c r="P30" s="23" t="n">
        <v>60.6</v>
      </c>
      <c r="Q30" s="23" t="n">
        <v>60.3</v>
      </c>
      <c r="R30" s="23" t="n">
        <v>61</v>
      </c>
      <c r="S30" s="23" t="n">
        <v>61.2</v>
      </c>
      <c r="T30" s="23" t="n">
        <v>61.7</v>
      </c>
      <c r="U30" s="23" t="n">
        <v>61.4</v>
      </c>
      <c r="V30" s="23" t="n">
        <v>62</v>
      </c>
      <c r="W30" s="23" t="n">
        <v>62</v>
      </c>
      <c r="X30" s="23" t="n">
        <v>62.1</v>
      </c>
    </row>
    <row r="31" customFormat="false" ht="15" hidden="false" customHeight="false" outlineLevel="0" collapsed="false">
      <c r="A31" s="12" t="s">
        <v>396</v>
      </c>
      <c r="B31" s="12" t="s">
        <v>409</v>
      </c>
      <c r="C31" s="12" t="s">
        <v>405</v>
      </c>
      <c r="D31" s="23" t="n">
        <v>76.8</v>
      </c>
      <c r="E31" s="23" t="n">
        <v>80.3</v>
      </c>
      <c r="F31" s="23" t="n">
        <v>81.3</v>
      </c>
      <c r="G31" s="23" t="n">
        <v>80.8</v>
      </c>
      <c r="H31" s="23" t="n">
        <v>83.8</v>
      </c>
      <c r="I31" s="23" t="n">
        <v>84.7</v>
      </c>
      <c r="J31" s="23" t="n">
        <v>86.6</v>
      </c>
      <c r="K31" s="23" t="n">
        <v>88.3</v>
      </c>
      <c r="L31" s="23" t="n">
        <v>87.1</v>
      </c>
      <c r="M31" s="23" t="n">
        <v>87.6</v>
      </c>
      <c r="N31" s="23" t="n">
        <v>90.2</v>
      </c>
      <c r="O31" s="23" t="n">
        <v>90.9</v>
      </c>
      <c r="P31" s="23" t="n">
        <v>90</v>
      </c>
      <c r="Q31" s="23" t="n">
        <v>88.4</v>
      </c>
      <c r="R31" s="23" t="n">
        <v>88.8</v>
      </c>
      <c r="S31" s="23" t="n">
        <v>86.5</v>
      </c>
      <c r="T31" s="23" t="n">
        <v>89.2</v>
      </c>
      <c r="U31" s="23" t="n">
        <v>88</v>
      </c>
      <c r="V31" s="23" t="n">
        <v>90.3</v>
      </c>
      <c r="W31" s="23" t="n">
        <v>89</v>
      </c>
      <c r="X31" s="23" t="n">
        <v>89.1</v>
      </c>
    </row>
    <row r="32" customFormat="false" ht="15" hidden="false" customHeight="false" outlineLevel="0" collapsed="false">
      <c r="A32" s="12" t="s">
        <v>396</v>
      </c>
      <c r="B32" s="12" t="s">
        <v>409</v>
      </c>
      <c r="C32" s="12" t="s">
        <v>406</v>
      </c>
      <c r="D32" s="23" t="n">
        <v>66.3</v>
      </c>
      <c r="E32" s="23" t="n">
        <v>67.2</v>
      </c>
      <c r="F32" s="23" t="n">
        <v>71</v>
      </c>
      <c r="G32" s="23" t="n">
        <v>74.8</v>
      </c>
      <c r="H32" s="23" t="n">
        <v>77.6</v>
      </c>
      <c r="I32" s="23" t="n">
        <v>80.3</v>
      </c>
      <c r="J32" s="23" t="n">
        <v>77.5</v>
      </c>
      <c r="K32" s="23" t="n">
        <v>80.4</v>
      </c>
      <c r="L32" s="23" t="n">
        <v>80.8</v>
      </c>
      <c r="M32" s="23" t="n">
        <v>79</v>
      </c>
      <c r="N32" s="23" t="n">
        <v>82.5</v>
      </c>
      <c r="O32" s="23" t="n">
        <v>82.6</v>
      </c>
      <c r="P32" s="23" t="n">
        <v>81.3</v>
      </c>
      <c r="Q32" s="23" t="n">
        <v>81.7</v>
      </c>
      <c r="R32" s="23" t="n">
        <v>83.2</v>
      </c>
      <c r="S32" s="23" t="n">
        <v>84</v>
      </c>
      <c r="T32" s="23" t="n">
        <v>84.9</v>
      </c>
      <c r="U32" s="23" t="n">
        <v>85.6</v>
      </c>
      <c r="V32" s="23" t="n">
        <v>86.7</v>
      </c>
      <c r="W32" s="23" t="n">
        <v>88.8</v>
      </c>
      <c r="X32" s="23" t="n">
        <v>88.4</v>
      </c>
    </row>
    <row r="33" customFormat="false" ht="15" hidden="false" customHeight="false" outlineLevel="0" collapsed="false">
      <c r="A33" s="12" t="s">
        <v>396</v>
      </c>
      <c r="B33" s="12" t="s">
        <v>409</v>
      </c>
      <c r="C33" s="12" t="s">
        <v>407</v>
      </c>
      <c r="D33" s="23" t="n">
        <v>34.7</v>
      </c>
      <c r="E33" s="23" t="n">
        <v>35.9</v>
      </c>
      <c r="F33" s="23" t="n">
        <v>36.3</v>
      </c>
      <c r="G33" s="23" t="n">
        <v>38.3</v>
      </c>
      <c r="H33" s="23" t="n">
        <v>42</v>
      </c>
      <c r="I33" s="23" t="n">
        <v>45.7</v>
      </c>
      <c r="J33" s="23" t="n">
        <v>48</v>
      </c>
      <c r="K33" s="23" t="n">
        <v>52.7</v>
      </c>
      <c r="L33" s="23" t="n">
        <v>53.4</v>
      </c>
      <c r="M33" s="23" t="n">
        <v>53.8</v>
      </c>
      <c r="N33" s="23" t="n">
        <v>54.5</v>
      </c>
      <c r="O33" s="23" t="n">
        <v>56.2</v>
      </c>
      <c r="P33" s="23" t="n">
        <v>59.3</v>
      </c>
      <c r="Q33" s="23" t="n">
        <v>58.5</v>
      </c>
      <c r="R33" s="23" t="n">
        <v>61.1</v>
      </c>
      <c r="S33" s="23" t="n">
        <v>65.3</v>
      </c>
      <c r="T33" s="23" t="n">
        <v>65.5</v>
      </c>
      <c r="U33" s="23" t="n">
        <v>66.6</v>
      </c>
      <c r="V33" s="23" t="n">
        <v>67.6</v>
      </c>
      <c r="W33" s="23" t="n">
        <v>69.4</v>
      </c>
      <c r="X33" s="23" t="n">
        <v>70.8</v>
      </c>
    </row>
    <row r="34" customFormat="false" ht="15" hidden="false" customHeight="false" outlineLevel="0" collapsed="false">
      <c r="A34" s="12" t="s">
        <v>396</v>
      </c>
      <c r="B34" s="12" t="s">
        <v>409</v>
      </c>
      <c r="C34" s="12" t="s">
        <v>413</v>
      </c>
      <c r="D34" s="23" t="n">
        <v>1.2</v>
      </c>
      <c r="E34" s="23" t="n">
        <v>1.3</v>
      </c>
      <c r="F34" s="23" t="n">
        <v>1.6</v>
      </c>
      <c r="G34" s="23" t="n">
        <v>2.3</v>
      </c>
      <c r="H34" s="23" t="n">
        <v>1.7</v>
      </c>
      <c r="I34" s="23" t="n">
        <v>1.7</v>
      </c>
      <c r="J34" s="23" t="n">
        <v>1.8</v>
      </c>
      <c r="K34" s="23" t="n">
        <v>2.5</v>
      </c>
      <c r="L34" s="23" t="n">
        <v>1.5</v>
      </c>
      <c r="M34" s="23" t="n">
        <v>1.8</v>
      </c>
      <c r="N34" s="23" t="n">
        <v>2.3</v>
      </c>
      <c r="O34" s="23" t="n">
        <v>1.9</v>
      </c>
      <c r="P34" s="23" t="n">
        <v>1.9</v>
      </c>
      <c r="Q34" s="23" t="n">
        <v>2.4</v>
      </c>
      <c r="R34" s="23" t="n">
        <v>2.6</v>
      </c>
      <c r="S34" s="23" t="n">
        <v>2.6</v>
      </c>
      <c r="T34" s="23" t="n">
        <v>3.6</v>
      </c>
      <c r="U34" s="23" t="n">
        <v>3.8</v>
      </c>
      <c r="V34" s="23" t="n">
        <v>4.1</v>
      </c>
      <c r="W34" s="23" t="n">
        <v>3.2</v>
      </c>
      <c r="X34" s="23" t="n">
        <v>4.3</v>
      </c>
    </row>
    <row r="35" customFormat="false" ht="15" hidden="false" customHeight="false" outlineLevel="0" collapsed="false">
      <c r="A35" s="12" t="s">
        <v>410</v>
      </c>
      <c r="B35" s="12" t="s">
        <v>397</v>
      </c>
      <c r="C35" s="12" t="s">
        <v>398</v>
      </c>
      <c r="D35" s="23" t="n">
        <v>47.9</v>
      </c>
      <c r="E35" s="23" t="n">
        <v>48.2</v>
      </c>
      <c r="F35" s="23" t="n">
        <v>47.9</v>
      </c>
      <c r="G35" s="23" t="n">
        <v>47.7</v>
      </c>
      <c r="H35" s="23" t="n">
        <v>45</v>
      </c>
      <c r="I35" s="23" t="n">
        <v>42.7</v>
      </c>
      <c r="J35" s="23" t="n">
        <v>40.9</v>
      </c>
      <c r="K35" s="23" t="n">
        <v>39</v>
      </c>
      <c r="L35" s="23" t="n">
        <v>37.8</v>
      </c>
      <c r="M35" s="23" t="n">
        <v>35.7</v>
      </c>
      <c r="N35" s="23" t="n">
        <v>34.7</v>
      </c>
      <c r="O35" s="23" t="n">
        <v>33</v>
      </c>
      <c r="P35" s="23" t="n">
        <v>33.3</v>
      </c>
      <c r="Q35" s="23" t="n">
        <v>33</v>
      </c>
      <c r="R35" s="23" t="n">
        <v>33</v>
      </c>
      <c r="S35" s="23" t="n">
        <v>29.9</v>
      </c>
      <c r="T35" s="23" t="n">
        <v>31.5</v>
      </c>
      <c r="U35" s="23" t="n">
        <v>32.6</v>
      </c>
      <c r="V35" s="23" t="n">
        <v>33.1</v>
      </c>
      <c r="W35" s="23" t="n">
        <v>33.8</v>
      </c>
      <c r="X35" s="23" t="n">
        <v>33.7</v>
      </c>
    </row>
    <row r="36" customFormat="false" ht="15" hidden="false" customHeight="false" outlineLevel="0" collapsed="false">
      <c r="A36" s="12" t="s">
        <v>410</v>
      </c>
      <c r="B36" s="12" t="s">
        <v>397</v>
      </c>
      <c r="C36" s="12" t="s">
        <v>411</v>
      </c>
      <c r="D36" s="23" t="n">
        <v>70</v>
      </c>
      <c r="E36" s="23" t="n">
        <v>71.1</v>
      </c>
      <c r="F36" s="23" t="n">
        <v>71.8</v>
      </c>
      <c r="G36" s="23" t="n">
        <v>72.7</v>
      </c>
      <c r="H36" s="23" t="n">
        <v>73.1</v>
      </c>
      <c r="I36" s="23" t="n">
        <v>73.5</v>
      </c>
      <c r="J36" s="23" t="n">
        <v>73.9</v>
      </c>
      <c r="K36" s="23" t="n">
        <v>74.3</v>
      </c>
      <c r="L36" s="23" t="n">
        <v>74.3</v>
      </c>
      <c r="M36" s="23" t="n">
        <v>74.2</v>
      </c>
      <c r="N36" s="23" t="n">
        <v>74.3</v>
      </c>
      <c r="O36" s="23" t="n">
        <v>74.2</v>
      </c>
      <c r="P36" s="23" t="n">
        <v>73.9</v>
      </c>
      <c r="Q36" s="23" t="n">
        <v>73.7</v>
      </c>
      <c r="R36" s="23" t="n">
        <v>73.8</v>
      </c>
      <c r="S36" s="23" t="n">
        <v>72.2</v>
      </c>
      <c r="T36" s="23" t="n">
        <v>73.7</v>
      </c>
      <c r="U36" s="23" t="n">
        <v>74</v>
      </c>
      <c r="V36" s="23" t="n">
        <v>74.5</v>
      </c>
      <c r="W36" s="23" t="n">
        <v>74.6</v>
      </c>
      <c r="X36" s="23" t="n">
        <v>74.9</v>
      </c>
    </row>
    <row r="37" customFormat="false" ht="15" hidden="false" customHeight="false" outlineLevel="0" collapsed="false">
      <c r="A37" s="12" t="s">
        <v>410</v>
      </c>
      <c r="B37" s="12" t="s">
        <v>397</v>
      </c>
      <c r="C37" s="12" t="s">
        <v>400</v>
      </c>
      <c r="D37" s="23" t="n">
        <v>62.4</v>
      </c>
      <c r="E37" s="23" t="n">
        <v>63.6</v>
      </c>
      <c r="F37" s="23" t="n">
        <v>64.5</v>
      </c>
      <c r="G37" s="23" t="n">
        <v>65.4</v>
      </c>
      <c r="H37" s="23" t="n">
        <v>65.7</v>
      </c>
      <c r="I37" s="23" t="n">
        <v>66.1</v>
      </c>
      <c r="J37" s="23" t="n">
        <v>66.3</v>
      </c>
      <c r="K37" s="23" t="n">
        <v>66.5</v>
      </c>
      <c r="L37" s="23" t="n">
        <v>66.2</v>
      </c>
      <c r="M37" s="23" t="n">
        <v>65.6</v>
      </c>
      <c r="N37" s="23" t="n">
        <v>65.6</v>
      </c>
      <c r="O37" s="23" t="n">
        <v>65.4</v>
      </c>
      <c r="P37" s="23" t="n">
        <v>64.9</v>
      </c>
      <c r="Q37" s="23" t="n">
        <v>64.8</v>
      </c>
      <c r="R37" s="23" t="n">
        <v>64.8</v>
      </c>
      <c r="S37" s="23" t="n">
        <v>63.4</v>
      </c>
      <c r="T37" s="23" t="n">
        <v>64.7</v>
      </c>
      <c r="U37" s="23" t="n">
        <v>64.9</v>
      </c>
      <c r="V37" s="23" t="n">
        <v>65.2</v>
      </c>
      <c r="W37" s="23" t="n">
        <v>65.3</v>
      </c>
      <c r="X37" s="23" t="n">
        <v>65.6</v>
      </c>
    </row>
    <row r="38" customFormat="false" ht="15" hidden="false" customHeight="false" outlineLevel="0" collapsed="false">
      <c r="A38" s="12" t="s">
        <v>410</v>
      </c>
      <c r="B38" s="12" t="s">
        <v>397</v>
      </c>
      <c r="C38" s="12" t="s">
        <v>401</v>
      </c>
      <c r="D38" s="23" t="n">
        <v>57.1</v>
      </c>
      <c r="E38" s="23" t="n">
        <v>57.9</v>
      </c>
      <c r="F38" s="23" t="n">
        <v>58.6</v>
      </c>
      <c r="G38" s="23" t="n">
        <v>59.4</v>
      </c>
      <c r="H38" s="23" t="n">
        <v>59.5</v>
      </c>
      <c r="I38" s="23" t="n">
        <v>59.6</v>
      </c>
      <c r="J38" s="23" t="n">
        <v>59.7</v>
      </c>
      <c r="K38" s="23" t="n">
        <v>59.7</v>
      </c>
      <c r="L38" s="23" t="n">
        <v>59.4</v>
      </c>
      <c r="M38" s="23" t="n">
        <v>58.9</v>
      </c>
      <c r="N38" s="23" t="n">
        <v>58.8</v>
      </c>
      <c r="O38" s="23" t="n">
        <v>58.5</v>
      </c>
      <c r="P38" s="23" t="n">
        <v>58.1</v>
      </c>
      <c r="Q38" s="23" t="n">
        <v>57.9</v>
      </c>
      <c r="R38" s="23" t="n">
        <v>57.9</v>
      </c>
      <c r="S38" s="23" t="n">
        <v>56.7</v>
      </c>
      <c r="T38" s="23" t="n">
        <v>57.6</v>
      </c>
      <c r="U38" s="23" t="n">
        <v>57.8</v>
      </c>
      <c r="V38" s="23" t="n">
        <v>58.1</v>
      </c>
      <c r="W38" s="23" t="n">
        <v>58</v>
      </c>
      <c r="X38" s="23" t="n">
        <v>58.2</v>
      </c>
    </row>
    <row r="39" customFormat="false" ht="15" hidden="false" customHeight="false" outlineLevel="0" collapsed="false">
      <c r="A39" s="12" t="s">
        <v>410</v>
      </c>
      <c r="B39" s="12" t="s">
        <v>397</v>
      </c>
      <c r="C39" s="12" t="s">
        <v>403</v>
      </c>
      <c r="D39" s="23" t="n">
        <v>85.6</v>
      </c>
      <c r="E39" s="23" t="n">
        <v>86.4</v>
      </c>
      <c r="F39" s="23" t="n">
        <v>86.9</v>
      </c>
      <c r="G39" s="23" t="n">
        <v>87.8</v>
      </c>
      <c r="H39" s="23" t="n">
        <v>87.9</v>
      </c>
      <c r="I39" s="23" t="n">
        <v>88.6</v>
      </c>
      <c r="J39" s="23" t="n">
        <v>88.7</v>
      </c>
      <c r="K39" s="23" t="n">
        <v>89</v>
      </c>
      <c r="L39" s="23" t="n">
        <v>89.1</v>
      </c>
      <c r="M39" s="23" t="n">
        <v>89.1</v>
      </c>
      <c r="N39" s="23" t="n">
        <v>88.3</v>
      </c>
      <c r="O39" s="23" t="n">
        <v>87.7</v>
      </c>
      <c r="P39" s="23" t="n">
        <v>87</v>
      </c>
      <c r="Q39" s="23" t="n">
        <v>86.5</v>
      </c>
      <c r="R39" s="23" t="n">
        <v>86.2</v>
      </c>
      <c r="S39" s="23" t="n">
        <v>84.4</v>
      </c>
      <c r="T39" s="23" t="n">
        <v>86.1</v>
      </c>
      <c r="U39" s="23" t="n">
        <v>86.1</v>
      </c>
      <c r="V39" s="23" t="n">
        <v>86.9</v>
      </c>
      <c r="W39" s="23" t="n">
        <v>86.1</v>
      </c>
      <c r="X39" s="23" t="n">
        <v>86.5</v>
      </c>
    </row>
    <row r="40" customFormat="false" ht="15" hidden="false" customHeight="false" outlineLevel="0" collapsed="false">
      <c r="A40" s="12" t="s">
        <v>410</v>
      </c>
      <c r="B40" s="12" t="s">
        <v>397</v>
      </c>
      <c r="C40" s="12" t="s">
        <v>412</v>
      </c>
      <c r="D40" s="23" t="n">
        <v>74.7</v>
      </c>
      <c r="E40" s="23" t="n">
        <v>75.8</v>
      </c>
      <c r="F40" s="23" t="n">
        <v>76.5</v>
      </c>
      <c r="G40" s="23" t="n">
        <v>77.5</v>
      </c>
      <c r="H40" s="23" t="n">
        <v>78.3</v>
      </c>
      <c r="I40" s="23" t="n">
        <v>79.1</v>
      </c>
      <c r="J40" s="23" t="n">
        <v>79.7</v>
      </c>
      <c r="K40" s="23" t="n">
        <v>80.4</v>
      </c>
      <c r="L40" s="23" t="n">
        <v>80.5</v>
      </c>
      <c r="M40" s="23" t="n">
        <v>80.7</v>
      </c>
      <c r="N40" s="23" t="n">
        <v>81.1</v>
      </c>
      <c r="O40" s="23" t="n">
        <v>81.2</v>
      </c>
      <c r="P40" s="23" t="n">
        <v>80.9</v>
      </c>
      <c r="Q40" s="23" t="n">
        <v>80.8</v>
      </c>
      <c r="R40" s="23" t="n">
        <v>81</v>
      </c>
      <c r="S40" s="23" t="n">
        <v>79.9</v>
      </c>
      <c r="T40" s="23" t="n">
        <v>81.4</v>
      </c>
      <c r="U40" s="23" t="n">
        <v>81.7</v>
      </c>
      <c r="V40" s="23" t="n">
        <v>82.4</v>
      </c>
      <c r="W40" s="23" t="n">
        <v>82.6</v>
      </c>
      <c r="X40" s="23" t="n">
        <v>83.1</v>
      </c>
    </row>
    <row r="41" customFormat="false" ht="15" hidden="false" customHeight="false" outlineLevel="0" collapsed="false">
      <c r="A41" s="12" t="s">
        <v>410</v>
      </c>
      <c r="B41" s="12" t="s">
        <v>397</v>
      </c>
      <c r="C41" s="12" t="s">
        <v>404</v>
      </c>
      <c r="D41" s="23" t="n">
        <v>58.6</v>
      </c>
      <c r="E41" s="23" t="n">
        <v>59.5</v>
      </c>
      <c r="F41" s="23" t="n">
        <v>60.2</v>
      </c>
      <c r="G41" s="23" t="n">
        <v>61.1</v>
      </c>
      <c r="H41" s="23" t="n">
        <v>61.6</v>
      </c>
      <c r="I41" s="23" t="n">
        <v>62</v>
      </c>
      <c r="J41" s="23" t="n">
        <v>62.2</v>
      </c>
      <c r="K41" s="23" t="n">
        <v>62.5</v>
      </c>
      <c r="L41" s="23" t="n">
        <v>62.2</v>
      </c>
      <c r="M41" s="23" t="n">
        <v>61.9</v>
      </c>
      <c r="N41" s="23" t="n">
        <v>62</v>
      </c>
      <c r="O41" s="23" t="n">
        <v>61.8</v>
      </c>
      <c r="P41" s="23" t="n">
        <v>61.3</v>
      </c>
      <c r="Q41" s="23" t="n">
        <v>61.2</v>
      </c>
      <c r="R41" s="23" t="n">
        <v>61.2</v>
      </c>
      <c r="S41" s="23" t="n">
        <v>60.3</v>
      </c>
      <c r="T41" s="23" t="n">
        <v>61.2</v>
      </c>
      <c r="U41" s="23" t="n">
        <v>61.3</v>
      </c>
      <c r="V41" s="23" t="n">
        <v>61.6</v>
      </c>
      <c r="W41" s="23" t="n">
        <v>61.5</v>
      </c>
      <c r="X41" s="23" t="n">
        <v>61.7</v>
      </c>
    </row>
    <row r="42" customFormat="false" ht="15" hidden="false" customHeight="false" outlineLevel="0" collapsed="false">
      <c r="A42" s="12" t="s">
        <v>410</v>
      </c>
      <c r="B42" s="12" t="s">
        <v>397</v>
      </c>
      <c r="C42" s="12" t="s">
        <v>405</v>
      </c>
      <c r="D42" s="23" t="n">
        <v>82.3</v>
      </c>
      <c r="E42" s="23" t="n">
        <v>83.4</v>
      </c>
      <c r="F42" s="23" t="n">
        <v>84.2</v>
      </c>
      <c r="G42" s="23" t="n">
        <v>85.1</v>
      </c>
      <c r="H42" s="23" t="n">
        <v>86.4</v>
      </c>
      <c r="I42" s="23" t="n">
        <v>87.3</v>
      </c>
      <c r="J42" s="23" t="n">
        <v>88.2</v>
      </c>
      <c r="K42" s="23" t="n">
        <v>88.9</v>
      </c>
      <c r="L42" s="23" t="n">
        <v>89.3</v>
      </c>
      <c r="M42" s="23" t="n">
        <v>89.6</v>
      </c>
      <c r="N42" s="23" t="n">
        <v>89.8</v>
      </c>
      <c r="O42" s="23" t="n">
        <v>90.3</v>
      </c>
      <c r="P42" s="23" t="n">
        <v>90</v>
      </c>
      <c r="Q42" s="23" t="n">
        <v>89.6</v>
      </c>
      <c r="R42" s="23" t="n">
        <v>89.4</v>
      </c>
      <c r="S42" s="23" t="n">
        <v>87.8</v>
      </c>
      <c r="T42" s="23" t="n">
        <v>89.1</v>
      </c>
      <c r="U42" s="23" t="n">
        <v>89.1</v>
      </c>
      <c r="V42" s="23" t="n">
        <v>89.4</v>
      </c>
      <c r="W42" s="23" t="n">
        <v>89.1</v>
      </c>
      <c r="X42" s="23" t="n">
        <v>89.4</v>
      </c>
    </row>
    <row r="43" customFormat="false" ht="15" hidden="false" customHeight="false" outlineLevel="0" collapsed="false">
      <c r="A43" s="12" t="s">
        <v>410</v>
      </c>
      <c r="B43" s="12" t="s">
        <v>397</v>
      </c>
      <c r="C43" s="12" t="s">
        <v>406</v>
      </c>
      <c r="D43" s="23" t="n">
        <v>74</v>
      </c>
      <c r="E43" s="23" t="n">
        <v>75.5</v>
      </c>
      <c r="F43" s="23" t="n">
        <v>76.9</v>
      </c>
      <c r="G43" s="23" t="n">
        <v>78</v>
      </c>
      <c r="H43" s="23" t="n">
        <v>79.2</v>
      </c>
      <c r="I43" s="23" t="n">
        <v>80.6</v>
      </c>
      <c r="J43" s="23" t="n">
        <v>81.4</v>
      </c>
      <c r="K43" s="23" t="n">
        <v>82.5</v>
      </c>
      <c r="L43" s="23" t="n">
        <v>82.9</v>
      </c>
      <c r="M43" s="23" t="n">
        <v>83.2</v>
      </c>
      <c r="N43" s="23" t="n">
        <v>83.8</v>
      </c>
      <c r="O43" s="23" t="n">
        <v>84.1</v>
      </c>
      <c r="P43" s="23" t="n">
        <v>84</v>
      </c>
      <c r="Q43" s="23" t="n">
        <v>84.3</v>
      </c>
      <c r="R43" s="23" t="n">
        <v>85.1</v>
      </c>
      <c r="S43" s="23" t="n">
        <v>84</v>
      </c>
      <c r="T43" s="23" t="n">
        <v>85.4</v>
      </c>
      <c r="U43" s="23" t="n">
        <v>86.2</v>
      </c>
      <c r="V43" s="23" t="n">
        <v>86.5</v>
      </c>
      <c r="W43" s="23" t="n">
        <v>87.2</v>
      </c>
      <c r="X43" s="23" t="n">
        <v>87.6</v>
      </c>
    </row>
    <row r="44" customFormat="false" ht="15" hidden="false" customHeight="false" outlineLevel="0" collapsed="false">
      <c r="A44" s="12" t="s">
        <v>410</v>
      </c>
      <c r="B44" s="12" t="s">
        <v>397</v>
      </c>
      <c r="C44" s="12" t="s">
        <v>407</v>
      </c>
      <c r="D44" s="23" t="n">
        <v>46</v>
      </c>
      <c r="E44" s="23" t="n">
        <v>46.8</v>
      </c>
      <c r="F44" s="23" t="n">
        <v>47.4</v>
      </c>
      <c r="G44" s="23" t="n">
        <v>49.1</v>
      </c>
      <c r="H44" s="23" t="n">
        <v>50</v>
      </c>
      <c r="I44" s="23" t="n">
        <v>50.7</v>
      </c>
      <c r="J44" s="23" t="n">
        <v>52.4</v>
      </c>
      <c r="K44" s="23" t="n">
        <v>53.5</v>
      </c>
      <c r="L44" s="23" t="n">
        <v>54.1</v>
      </c>
      <c r="M44" s="23" t="n">
        <v>55.4</v>
      </c>
      <c r="N44" s="23" t="n">
        <v>57.6</v>
      </c>
      <c r="O44" s="23" t="n">
        <v>59.2</v>
      </c>
      <c r="P44" s="23" t="n">
        <v>59.6</v>
      </c>
      <c r="Q44" s="23" t="n">
        <v>60.5</v>
      </c>
      <c r="R44" s="23" t="n">
        <v>61.6</v>
      </c>
      <c r="S44" s="23" t="n">
        <v>62.5</v>
      </c>
      <c r="T44" s="23" t="n">
        <v>64.4</v>
      </c>
      <c r="U44" s="23" t="n">
        <v>65.4</v>
      </c>
      <c r="V44" s="23" t="n">
        <v>67.1</v>
      </c>
      <c r="W44" s="23" t="n">
        <v>68.3</v>
      </c>
      <c r="X44" s="23" t="n">
        <v>69.4</v>
      </c>
    </row>
    <row r="45" customFormat="false" ht="15" hidden="false" customHeight="false" outlineLevel="0" collapsed="false">
      <c r="A45" s="12" t="s">
        <v>410</v>
      </c>
      <c r="B45" s="12" t="s">
        <v>397</v>
      </c>
      <c r="C45" s="12" t="s">
        <v>413</v>
      </c>
      <c r="D45" s="23" t="n">
        <v>2</v>
      </c>
      <c r="E45" s="23" t="n">
        <v>2.1</v>
      </c>
      <c r="F45" s="23" t="n">
        <v>2</v>
      </c>
      <c r="G45" s="23" t="n">
        <v>2.1</v>
      </c>
      <c r="H45" s="23" t="n">
        <v>2.1</v>
      </c>
      <c r="I45" s="23" t="n">
        <v>2</v>
      </c>
      <c r="J45" s="23" t="n">
        <v>2</v>
      </c>
      <c r="K45" s="23" t="n">
        <v>2.1</v>
      </c>
      <c r="L45" s="23" t="n">
        <v>1.8</v>
      </c>
      <c r="M45" s="23" t="n">
        <v>1.7</v>
      </c>
      <c r="N45" s="23" t="n">
        <v>1.9</v>
      </c>
      <c r="O45" s="23" t="n">
        <v>2</v>
      </c>
      <c r="P45" s="23" t="n">
        <v>2.1</v>
      </c>
      <c r="Q45" s="23" t="n">
        <v>2.3</v>
      </c>
      <c r="R45" s="23" t="n">
        <v>2.5</v>
      </c>
      <c r="S45" s="23" t="n">
        <v>2.9</v>
      </c>
      <c r="T45" s="23" t="n">
        <v>3.3</v>
      </c>
      <c r="U45" s="23" t="n">
        <v>3.5</v>
      </c>
      <c r="V45" s="23" t="n">
        <v>3.7</v>
      </c>
      <c r="W45" s="23" t="n">
        <v>3.8</v>
      </c>
      <c r="X45" s="23" t="n">
        <v>4.5</v>
      </c>
    </row>
    <row r="46" customFormat="false" ht="15" hidden="false" customHeight="false" outlineLevel="0" collapsed="false">
      <c r="A46" s="12" t="s">
        <v>410</v>
      </c>
      <c r="B46" s="12" t="s">
        <v>408</v>
      </c>
      <c r="C46" s="12" t="s">
        <v>398</v>
      </c>
      <c r="D46" s="23" t="n">
        <v>52.5</v>
      </c>
      <c r="E46" s="23" t="n">
        <v>52.2</v>
      </c>
      <c r="F46" s="23" t="n">
        <v>52.2</v>
      </c>
      <c r="G46" s="23" t="n">
        <v>51.5</v>
      </c>
      <c r="H46" s="23" t="n">
        <v>48.2</v>
      </c>
      <c r="I46" s="23" t="n">
        <v>45</v>
      </c>
      <c r="J46" s="23" t="n">
        <v>42.6</v>
      </c>
      <c r="K46" s="23" t="n">
        <v>40.3</v>
      </c>
      <c r="L46" s="23" t="n">
        <v>39.6</v>
      </c>
      <c r="M46" s="23" t="n">
        <v>37.3</v>
      </c>
      <c r="N46" s="23" t="n">
        <v>36.2</v>
      </c>
      <c r="O46" s="23" t="n">
        <v>34.7</v>
      </c>
      <c r="P46" s="23" t="n">
        <v>35.1</v>
      </c>
      <c r="Q46" s="23" t="n">
        <v>35.1</v>
      </c>
      <c r="R46" s="23" t="n">
        <v>35.1</v>
      </c>
      <c r="S46" s="23" t="n">
        <v>32.2</v>
      </c>
      <c r="T46" s="23" t="n">
        <v>33.2</v>
      </c>
      <c r="U46" s="23" t="n">
        <v>34.5</v>
      </c>
      <c r="V46" s="23" t="n">
        <v>35.1</v>
      </c>
      <c r="W46" s="23" t="n">
        <v>36.3</v>
      </c>
      <c r="X46" s="23" t="n">
        <v>35.5</v>
      </c>
    </row>
    <row r="47" customFormat="false" ht="15" hidden="false" customHeight="false" outlineLevel="0" collapsed="false">
      <c r="A47" s="12" t="s">
        <v>410</v>
      </c>
      <c r="B47" s="12" t="s">
        <v>408</v>
      </c>
      <c r="C47" s="12" t="s">
        <v>411</v>
      </c>
      <c r="D47" s="23" t="n">
        <v>80.9</v>
      </c>
      <c r="E47" s="23" t="n">
        <v>81.2</v>
      </c>
      <c r="F47" s="23" t="n">
        <v>81.4</v>
      </c>
      <c r="G47" s="23" t="n">
        <v>81.6</v>
      </c>
      <c r="H47" s="23" t="n">
        <v>80.8</v>
      </c>
      <c r="I47" s="23" t="n">
        <v>80.6</v>
      </c>
      <c r="J47" s="23" t="n">
        <v>80.4</v>
      </c>
      <c r="K47" s="23" t="n">
        <v>80.1</v>
      </c>
      <c r="L47" s="23" t="n">
        <v>79.8</v>
      </c>
      <c r="M47" s="23" t="n">
        <v>79.5</v>
      </c>
      <c r="N47" s="23" t="n">
        <v>79.5</v>
      </c>
      <c r="O47" s="23" t="n">
        <v>79.2</v>
      </c>
      <c r="P47" s="23" t="n">
        <v>78.9</v>
      </c>
      <c r="Q47" s="23" t="n">
        <v>78.8</v>
      </c>
      <c r="R47" s="23" t="n">
        <v>78.5</v>
      </c>
      <c r="S47" s="23" t="n">
        <v>76.9</v>
      </c>
      <c r="T47" s="23" t="n">
        <v>77.9</v>
      </c>
      <c r="U47" s="23" t="n">
        <v>78.3</v>
      </c>
      <c r="V47" s="23" t="n">
        <v>78.4</v>
      </c>
      <c r="W47" s="23" t="n">
        <v>78.6</v>
      </c>
      <c r="X47" s="23" t="n">
        <v>78.6</v>
      </c>
    </row>
    <row r="48" customFormat="false" ht="15" hidden="false" customHeight="false" outlineLevel="0" collapsed="false">
      <c r="A48" s="12" t="s">
        <v>410</v>
      </c>
      <c r="B48" s="12" t="s">
        <v>408</v>
      </c>
      <c r="C48" s="12" t="s">
        <v>400</v>
      </c>
      <c r="D48" s="23" t="n">
        <v>73</v>
      </c>
      <c r="E48" s="23" t="n">
        <v>73.5</v>
      </c>
      <c r="F48" s="23" t="n">
        <v>73.9</v>
      </c>
      <c r="G48" s="23" t="n">
        <v>74.2</v>
      </c>
      <c r="H48" s="23" t="n">
        <v>73.5</v>
      </c>
      <c r="I48" s="23" t="n">
        <v>73.2</v>
      </c>
      <c r="J48" s="23" t="n">
        <v>72.7</v>
      </c>
      <c r="K48" s="23" t="n">
        <v>72.3</v>
      </c>
      <c r="L48" s="23" t="n">
        <v>71.7</v>
      </c>
      <c r="M48" s="23" t="n">
        <v>70.9</v>
      </c>
      <c r="N48" s="23" t="n">
        <v>70.8</v>
      </c>
      <c r="O48" s="23" t="n">
        <v>70.5</v>
      </c>
      <c r="P48" s="23" t="n">
        <v>70.1</v>
      </c>
      <c r="Q48" s="23" t="n">
        <v>70</v>
      </c>
      <c r="R48" s="23" t="n">
        <v>69.7</v>
      </c>
      <c r="S48" s="23" t="n">
        <v>68.2</v>
      </c>
      <c r="T48" s="23" t="n">
        <v>69.1</v>
      </c>
      <c r="U48" s="23" t="n">
        <v>69.4</v>
      </c>
      <c r="V48" s="23" t="n">
        <v>69.4</v>
      </c>
      <c r="W48" s="23" t="n">
        <v>69.5</v>
      </c>
      <c r="X48" s="23" t="n">
        <v>69.6</v>
      </c>
    </row>
    <row r="49" customFormat="false" ht="15" hidden="false" customHeight="false" outlineLevel="0" collapsed="false">
      <c r="A49" s="12" t="s">
        <v>410</v>
      </c>
      <c r="B49" s="12" t="s">
        <v>408</v>
      </c>
      <c r="C49" s="12" t="s">
        <v>401</v>
      </c>
      <c r="D49" s="23" t="n">
        <v>68.1</v>
      </c>
      <c r="E49" s="23" t="n">
        <v>68.4</v>
      </c>
      <c r="F49" s="23" t="n">
        <v>68.5</v>
      </c>
      <c r="G49" s="23" t="n">
        <v>68.7</v>
      </c>
      <c r="H49" s="23" t="n">
        <v>67.8</v>
      </c>
      <c r="I49" s="23" t="n">
        <v>67.3</v>
      </c>
      <c r="J49" s="23" t="n">
        <v>66.8</v>
      </c>
      <c r="K49" s="23" t="n">
        <v>66.3</v>
      </c>
      <c r="L49" s="23" t="n">
        <v>65.6</v>
      </c>
      <c r="M49" s="23" t="n">
        <v>65</v>
      </c>
      <c r="N49" s="23" t="n">
        <v>64.8</v>
      </c>
      <c r="O49" s="23" t="n">
        <v>64.3</v>
      </c>
      <c r="P49" s="23" t="n">
        <v>63.9</v>
      </c>
      <c r="Q49" s="23" t="n">
        <v>63.7</v>
      </c>
      <c r="R49" s="23" t="n">
        <v>63.4</v>
      </c>
      <c r="S49" s="23" t="n">
        <v>62.1</v>
      </c>
      <c r="T49" s="23" t="n">
        <v>62.9</v>
      </c>
      <c r="U49" s="23" t="n">
        <v>63.1</v>
      </c>
      <c r="V49" s="23" t="n">
        <v>63</v>
      </c>
      <c r="W49" s="23" t="n">
        <v>63</v>
      </c>
      <c r="X49" s="23" t="n">
        <v>62.9</v>
      </c>
    </row>
    <row r="50" customFormat="false" ht="15" hidden="false" customHeight="false" outlineLevel="0" collapsed="false">
      <c r="A50" s="12" t="s">
        <v>410</v>
      </c>
      <c r="B50" s="12" t="s">
        <v>408</v>
      </c>
      <c r="C50" s="12" t="s">
        <v>403</v>
      </c>
      <c r="D50" s="23" t="n">
        <v>92.2</v>
      </c>
      <c r="E50" s="23" t="n">
        <v>92.4</v>
      </c>
      <c r="F50" s="23" t="n">
        <v>92.6</v>
      </c>
      <c r="G50" s="23" t="n">
        <v>92.6</v>
      </c>
      <c r="H50" s="23" t="n">
        <v>92.1</v>
      </c>
      <c r="I50" s="23" t="n">
        <v>92.2</v>
      </c>
      <c r="J50" s="23" t="n">
        <v>92.2</v>
      </c>
      <c r="K50" s="23" t="n">
        <v>92.7</v>
      </c>
      <c r="L50" s="23" t="n">
        <v>92.2</v>
      </c>
      <c r="M50" s="23" t="n">
        <v>92.2</v>
      </c>
      <c r="N50" s="23" t="n">
        <v>91.6</v>
      </c>
      <c r="O50" s="23" t="n">
        <v>91.2</v>
      </c>
      <c r="P50" s="23" t="n">
        <v>90.3</v>
      </c>
      <c r="Q50" s="23" t="n">
        <v>90.1</v>
      </c>
      <c r="R50" s="23" t="n">
        <v>89.7</v>
      </c>
      <c r="S50" s="23" t="n">
        <v>87</v>
      </c>
      <c r="T50" s="23" t="n">
        <v>88.3</v>
      </c>
      <c r="U50" s="23" t="n">
        <v>89</v>
      </c>
      <c r="V50" s="23" t="n">
        <v>89.7</v>
      </c>
      <c r="W50" s="23" t="n">
        <v>89</v>
      </c>
      <c r="X50" s="23" t="n">
        <v>89.4</v>
      </c>
    </row>
    <row r="51" customFormat="false" ht="15" hidden="false" customHeight="false" outlineLevel="0" collapsed="false">
      <c r="A51" s="12" t="s">
        <v>410</v>
      </c>
      <c r="B51" s="12" t="s">
        <v>408</v>
      </c>
      <c r="C51" s="12" t="s">
        <v>412</v>
      </c>
      <c r="D51" s="23" t="n">
        <v>87.1</v>
      </c>
      <c r="E51" s="23" t="n">
        <v>87.3</v>
      </c>
      <c r="F51" s="23" t="n">
        <v>87.2</v>
      </c>
      <c r="G51" s="23" t="n">
        <v>87.5</v>
      </c>
      <c r="H51" s="23" t="n">
        <v>87</v>
      </c>
      <c r="I51" s="23" t="n">
        <v>87.2</v>
      </c>
      <c r="J51" s="23" t="n">
        <v>87.1</v>
      </c>
      <c r="K51" s="23" t="n">
        <v>87.1</v>
      </c>
      <c r="L51" s="23" t="n">
        <v>86.8</v>
      </c>
      <c r="M51" s="23" t="n">
        <v>86.9</v>
      </c>
      <c r="N51" s="23" t="n">
        <v>87.2</v>
      </c>
      <c r="O51" s="23" t="n">
        <v>87</v>
      </c>
      <c r="P51" s="23" t="n">
        <v>86.7</v>
      </c>
      <c r="Q51" s="23" t="n">
        <v>86.7</v>
      </c>
      <c r="R51" s="23" t="n">
        <v>86.5</v>
      </c>
      <c r="S51" s="23" t="n">
        <v>85.3</v>
      </c>
      <c r="T51" s="23" t="n">
        <v>86.3</v>
      </c>
      <c r="U51" s="23" t="n">
        <v>86.7</v>
      </c>
      <c r="V51" s="23" t="n">
        <v>87</v>
      </c>
      <c r="W51" s="23" t="n">
        <v>87.1</v>
      </c>
      <c r="X51" s="23" t="n">
        <v>87.4</v>
      </c>
    </row>
    <row r="52" customFormat="false" ht="15" hidden="false" customHeight="false" outlineLevel="0" collapsed="false">
      <c r="A52" s="12" t="s">
        <v>410</v>
      </c>
      <c r="B52" s="12" t="s">
        <v>408</v>
      </c>
      <c r="C52" s="12" t="s">
        <v>404</v>
      </c>
      <c r="D52" s="23" t="n">
        <v>70.8</v>
      </c>
      <c r="E52" s="23" t="n">
        <v>71.1</v>
      </c>
      <c r="F52" s="23" t="n">
        <v>71.2</v>
      </c>
      <c r="G52" s="23" t="n">
        <v>71.4</v>
      </c>
      <c r="H52" s="23" t="n">
        <v>70.8</v>
      </c>
      <c r="I52" s="23" t="n">
        <v>70.6</v>
      </c>
      <c r="J52" s="23" t="n">
        <v>70.3</v>
      </c>
      <c r="K52" s="23" t="n">
        <v>70</v>
      </c>
      <c r="L52" s="23" t="n">
        <v>69.2</v>
      </c>
      <c r="M52" s="23" t="n">
        <v>68.8</v>
      </c>
      <c r="N52" s="23" t="n">
        <v>68.8</v>
      </c>
      <c r="O52" s="23" t="n">
        <v>68.3</v>
      </c>
      <c r="P52" s="23" t="n">
        <v>67.9</v>
      </c>
      <c r="Q52" s="23" t="n">
        <v>67.7</v>
      </c>
      <c r="R52" s="23" t="n">
        <v>67.4</v>
      </c>
      <c r="S52" s="23" t="n">
        <v>66.4</v>
      </c>
      <c r="T52" s="23" t="n">
        <v>67.1</v>
      </c>
      <c r="U52" s="23" t="n">
        <v>67.2</v>
      </c>
      <c r="V52" s="23" t="n">
        <v>67.2</v>
      </c>
      <c r="W52" s="23" t="n">
        <v>67.1</v>
      </c>
      <c r="X52" s="23" t="n">
        <v>67.2</v>
      </c>
    </row>
    <row r="53" customFormat="false" ht="15" hidden="false" customHeight="false" outlineLevel="0" collapsed="false">
      <c r="A53" s="12" t="s">
        <v>410</v>
      </c>
      <c r="B53" s="12" t="s">
        <v>408</v>
      </c>
      <c r="C53" s="12" t="s">
        <v>405</v>
      </c>
      <c r="D53" s="23" t="n">
        <v>94.2</v>
      </c>
      <c r="E53" s="23" t="n">
        <v>94.2</v>
      </c>
      <c r="F53" s="23" t="n">
        <v>94.2</v>
      </c>
      <c r="G53" s="23" t="n">
        <v>94</v>
      </c>
      <c r="H53" s="23" t="n">
        <v>93.8</v>
      </c>
      <c r="I53" s="23" t="n">
        <v>94.5</v>
      </c>
      <c r="J53" s="23" t="n">
        <v>94.6</v>
      </c>
      <c r="K53" s="23" t="n">
        <v>94.3</v>
      </c>
      <c r="L53" s="23" t="n">
        <v>94.4</v>
      </c>
      <c r="M53" s="23" t="n">
        <v>94.6</v>
      </c>
      <c r="N53" s="23" t="n">
        <v>94.9</v>
      </c>
      <c r="O53" s="23" t="n">
        <v>94.9</v>
      </c>
      <c r="P53" s="23" t="n">
        <v>94.5</v>
      </c>
      <c r="Q53" s="23" t="n">
        <v>94.4</v>
      </c>
      <c r="R53" s="23" t="n">
        <v>93.9</v>
      </c>
      <c r="S53" s="23" t="n">
        <v>92.5</v>
      </c>
      <c r="T53" s="23" t="n">
        <v>93.2</v>
      </c>
      <c r="U53" s="23" t="n">
        <v>93.5</v>
      </c>
      <c r="V53" s="23" t="n">
        <v>93.5</v>
      </c>
      <c r="W53" s="23" t="n">
        <v>93.5</v>
      </c>
      <c r="X53" s="23" t="n">
        <v>93.5</v>
      </c>
    </row>
    <row r="54" customFormat="false" ht="15" hidden="false" customHeight="false" outlineLevel="0" collapsed="false">
      <c r="A54" s="12" t="s">
        <v>410</v>
      </c>
      <c r="B54" s="12" t="s">
        <v>408</v>
      </c>
      <c r="C54" s="12" t="s">
        <v>406</v>
      </c>
      <c r="D54" s="23" t="n">
        <v>90</v>
      </c>
      <c r="E54" s="23" t="n">
        <v>90.4</v>
      </c>
      <c r="F54" s="23" t="n">
        <v>90.4</v>
      </c>
      <c r="G54" s="23" t="n">
        <v>90.3</v>
      </c>
      <c r="H54" s="23" t="n">
        <v>90.2</v>
      </c>
      <c r="I54" s="23" t="n">
        <v>90.1</v>
      </c>
      <c r="J54" s="23" t="n">
        <v>90.3</v>
      </c>
      <c r="K54" s="23" t="n">
        <v>90.5</v>
      </c>
      <c r="L54" s="23" t="n">
        <v>90.4</v>
      </c>
      <c r="M54" s="23" t="n">
        <v>90.5</v>
      </c>
      <c r="N54" s="23" t="n">
        <v>90.9</v>
      </c>
      <c r="O54" s="23" t="n">
        <v>90.8</v>
      </c>
      <c r="P54" s="23" t="n">
        <v>90.7</v>
      </c>
      <c r="Q54" s="23" t="n">
        <v>90.7</v>
      </c>
      <c r="R54" s="23" t="n">
        <v>90.9</v>
      </c>
      <c r="S54" s="23" t="n">
        <v>90.1</v>
      </c>
      <c r="T54" s="23" t="n">
        <v>91</v>
      </c>
      <c r="U54" s="23" t="n">
        <v>91.4</v>
      </c>
      <c r="V54" s="23" t="n">
        <v>90.9</v>
      </c>
      <c r="W54" s="23" t="n">
        <v>91</v>
      </c>
      <c r="X54" s="23" t="n">
        <v>91.7</v>
      </c>
    </row>
    <row r="55" customFormat="false" ht="15" hidden="false" customHeight="false" outlineLevel="0" collapsed="false">
      <c r="A55" s="12" t="s">
        <v>410</v>
      </c>
      <c r="B55" s="12" t="s">
        <v>408</v>
      </c>
      <c r="C55" s="12" t="s">
        <v>407</v>
      </c>
      <c r="D55" s="23" t="n">
        <v>62.9</v>
      </c>
      <c r="E55" s="23" t="n">
        <v>63.3</v>
      </c>
      <c r="F55" s="23" t="n">
        <v>62.8</v>
      </c>
      <c r="G55" s="23" t="n">
        <v>64.7</v>
      </c>
      <c r="H55" s="23" t="n">
        <v>63.6</v>
      </c>
      <c r="I55" s="23" t="n">
        <v>63.7</v>
      </c>
      <c r="J55" s="23" t="n">
        <v>63.5</v>
      </c>
      <c r="K55" s="23" t="n">
        <v>63.6</v>
      </c>
      <c r="L55" s="23" t="n">
        <v>63.3</v>
      </c>
      <c r="M55" s="23" t="n">
        <v>64.3</v>
      </c>
      <c r="N55" s="23" t="n">
        <v>66.2</v>
      </c>
      <c r="O55" s="23" t="n">
        <v>67</v>
      </c>
      <c r="P55" s="23" t="n">
        <v>67.9</v>
      </c>
      <c r="Q55" s="23" t="n">
        <v>68.4</v>
      </c>
      <c r="R55" s="23" t="n">
        <v>69.2</v>
      </c>
      <c r="S55" s="23" t="n">
        <v>69.6</v>
      </c>
      <c r="T55" s="23" t="n">
        <v>71</v>
      </c>
      <c r="U55" s="23" t="n">
        <v>72.2</v>
      </c>
      <c r="V55" s="23" t="n">
        <v>73.5</v>
      </c>
      <c r="W55" s="23" t="n">
        <v>74.8</v>
      </c>
      <c r="X55" s="23" t="n">
        <v>75.1</v>
      </c>
    </row>
    <row r="56" customFormat="false" ht="15" hidden="false" customHeight="false" outlineLevel="0" collapsed="false">
      <c r="A56" s="12" t="s">
        <v>410</v>
      </c>
      <c r="B56" s="12" t="s">
        <v>408</v>
      </c>
      <c r="C56" s="12" t="s">
        <v>413</v>
      </c>
      <c r="D56" s="23" t="n">
        <v>3.2</v>
      </c>
      <c r="E56" s="23" t="n">
        <v>3.4</v>
      </c>
      <c r="F56" s="23" t="n">
        <v>3.3</v>
      </c>
      <c r="G56" s="23" t="n">
        <v>3.1</v>
      </c>
      <c r="H56" s="23" t="n">
        <v>2.9</v>
      </c>
      <c r="I56" s="23" t="n">
        <v>2.7</v>
      </c>
      <c r="J56" s="23" t="n">
        <v>2.5</v>
      </c>
      <c r="K56" s="23" t="n">
        <v>2.7</v>
      </c>
      <c r="L56" s="23" t="n">
        <v>2.4</v>
      </c>
      <c r="M56" s="23" t="n">
        <v>2.3</v>
      </c>
      <c r="N56" s="23" t="n">
        <v>2.4</v>
      </c>
      <c r="O56" s="23" t="n">
        <v>2.5</v>
      </c>
      <c r="P56" s="23" t="n">
        <v>2.9</v>
      </c>
      <c r="Q56" s="23" t="n">
        <v>3.1</v>
      </c>
      <c r="R56" s="23" t="n">
        <v>3.3</v>
      </c>
      <c r="S56" s="23" t="n">
        <v>3.7</v>
      </c>
      <c r="T56" s="23" t="n">
        <v>4.3</v>
      </c>
      <c r="U56" s="23" t="n">
        <v>4.5</v>
      </c>
      <c r="V56" s="23" t="n">
        <v>4.6</v>
      </c>
      <c r="W56" s="23" t="n">
        <v>4.8</v>
      </c>
      <c r="X56" s="23" t="n">
        <v>5.4</v>
      </c>
    </row>
    <row r="57" customFormat="false" ht="15" hidden="false" customHeight="false" outlineLevel="0" collapsed="false">
      <c r="A57" s="12" t="s">
        <v>410</v>
      </c>
      <c r="B57" s="12" t="s">
        <v>409</v>
      </c>
      <c r="C57" s="12" t="s">
        <v>398</v>
      </c>
      <c r="D57" s="23" t="n">
        <v>43</v>
      </c>
      <c r="E57" s="23" t="n">
        <v>44</v>
      </c>
      <c r="F57" s="23" t="n">
        <v>43.4</v>
      </c>
      <c r="G57" s="23" t="n">
        <v>43.7</v>
      </c>
      <c r="H57" s="23" t="n">
        <v>41.7</v>
      </c>
      <c r="I57" s="23" t="n">
        <v>40.2</v>
      </c>
      <c r="J57" s="23" t="n">
        <v>39.2</v>
      </c>
      <c r="K57" s="23" t="n">
        <v>37.6</v>
      </c>
      <c r="L57" s="23" t="n">
        <v>35.9</v>
      </c>
      <c r="M57" s="23" t="n">
        <v>34</v>
      </c>
      <c r="N57" s="23" t="n">
        <v>33.2</v>
      </c>
      <c r="O57" s="23" t="n">
        <v>31.3</v>
      </c>
      <c r="P57" s="23" t="n">
        <v>31.5</v>
      </c>
      <c r="Q57" s="23" t="n">
        <v>30.8</v>
      </c>
      <c r="R57" s="23" t="n">
        <v>30.7</v>
      </c>
      <c r="S57" s="23" t="n">
        <v>27.5</v>
      </c>
      <c r="T57" s="23" t="n">
        <v>29.8</v>
      </c>
      <c r="U57" s="23" t="n">
        <v>30.5</v>
      </c>
      <c r="V57" s="23" t="n">
        <v>30.9</v>
      </c>
      <c r="W57" s="23" t="n">
        <v>31.2</v>
      </c>
      <c r="X57" s="23" t="n">
        <v>31.9</v>
      </c>
    </row>
    <row r="58" customFormat="false" ht="15" hidden="false" customHeight="false" outlineLevel="0" collapsed="false">
      <c r="A58" s="12" t="s">
        <v>410</v>
      </c>
      <c r="B58" s="12" t="s">
        <v>409</v>
      </c>
      <c r="C58" s="12" t="s">
        <v>411</v>
      </c>
      <c r="D58" s="23" t="n">
        <v>58.9</v>
      </c>
      <c r="E58" s="23" t="n">
        <v>60.7</v>
      </c>
      <c r="F58" s="23" t="n">
        <v>61.9</v>
      </c>
      <c r="G58" s="23" t="n">
        <v>63.6</v>
      </c>
      <c r="H58" s="23" t="n">
        <v>65.1</v>
      </c>
      <c r="I58" s="23" t="n">
        <v>66.3</v>
      </c>
      <c r="J58" s="23" t="n">
        <v>67.3</v>
      </c>
      <c r="K58" s="23" t="n">
        <v>68.4</v>
      </c>
      <c r="L58" s="23" t="n">
        <v>68.7</v>
      </c>
      <c r="M58" s="23" t="n">
        <v>68.8</v>
      </c>
      <c r="N58" s="23" t="n">
        <v>69</v>
      </c>
      <c r="O58" s="23" t="n">
        <v>69.2</v>
      </c>
      <c r="P58" s="23" t="n">
        <v>68.8</v>
      </c>
      <c r="Q58" s="23" t="n">
        <v>68.6</v>
      </c>
      <c r="R58" s="23" t="n">
        <v>69</v>
      </c>
      <c r="S58" s="23" t="n">
        <v>67.6</v>
      </c>
      <c r="T58" s="23" t="n">
        <v>69.5</v>
      </c>
      <c r="U58" s="23" t="n">
        <v>69.7</v>
      </c>
      <c r="V58" s="23" t="n">
        <v>70.5</v>
      </c>
      <c r="W58" s="23" t="n">
        <v>70.6</v>
      </c>
      <c r="X58" s="23" t="n">
        <v>71.2</v>
      </c>
    </row>
    <row r="59" customFormat="false" ht="15" hidden="false" customHeight="false" outlineLevel="0" collapsed="false">
      <c r="A59" s="12" t="s">
        <v>410</v>
      </c>
      <c r="B59" s="12" t="s">
        <v>409</v>
      </c>
      <c r="C59" s="12" t="s">
        <v>400</v>
      </c>
      <c r="D59" s="23" t="n">
        <v>51.8</v>
      </c>
      <c r="E59" s="23" t="n">
        <v>53.6</v>
      </c>
      <c r="F59" s="23" t="n">
        <v>55</v>
      </c>
      <c r="G59" s="23" t="n">
        <v>56.6</v>
      </c>
      <c r="H59" s="23" t="n">
        <v>57.9</v>
      </c>
      <c r="I59" s="23" t="n">
        <v>58.9</v>
      </c>
      <c r="J59" s="23" t="n">
        <v>59.8</v>
      </c>
      <c r="K59" s="23" t="n">
        <v>60.6</v>
      </c>
      <c r="L59" s="23" t="n">
        <v>60.7</v>
      </c>
      <c r="M59" s="23" t="n">
        <v>60.3</v>
      </c>
      <c r="N59" s="23" t="n">
        <v>60.3</v>
      </c>
      <c r="O59" s="23" t="n">
        <v>60.3</v>
      </c>
      <c r="P59" s="23" t="n">
        <v>59.8</v>
      </c>
      <c r="Q59" s="23" t="n">
        <v>59.7</v>
      </c>
      <c r="R59" s="23" t="n">
        <v>60</v>
      </c>
      <c r="S59" s="23" t="n">
        <v>58.8</v>
      </c>
      <c r="T59" s="23" t="n">
        <v>60.3</v>
      </c>
      <c r="U59" s="23" t="n">
        <v>60.4</v>
      </c>
      <c r="V59" s="23" t="n">
        <v>61.2</v>
      </c>
      <c r="W59" s="23" t="n">
        <v>61.2</v>
      </c>
      <c r="X59" s="23" t="n">
        <v>61.6</v>
      </c>
    </row>
    <row r="60" customFormat="false" ht="15" hidden="false" customHeight="false" outlineLevel="0" collapsed="false">
      <c r="A60" s="12" t="s">
        <v>410</v>
      </c>
      <c r="B60" s="12" t="s">
        <v>409</v>
      </c>
      <c r="C60" s="12" t="s">
        <v>401</v>
      </c>
      <c r="D60" s="23" t="n">
        <v>46.5</v>
      </c>
      <c r="E60" s="23" t="n">
        <v>47.9</v>
      </c>
      <c r="F60" s="23" t="n">
        <v>49</v>
      </c>
      <c r="G60" s="23" t="n">
        <v>50.4</v>
      </c>
      <c r="H60" s="23" t="n">
        <v>51.4</v>
      </c>
      <c r="I60" s="23" t="n">
        <v>52.2</v>
      </c>
      <c r="J60" s="23" t="n">
        <v>52.8</v>
      </c>
      <c r="K60" s="23" t="n">
        <v>53.4</v>
      </c>
      <c r="L60" s="23" t="n">
        <v>53.4</v>
      </c>
      <c r="M60" s="23" t="n">
        <v>53.1</v>
      </c>
      <c r="N60" s="23" t="n">
        <v>53.1</v>
      </c>
      <c r="O60" s="23" t="n">
        <v>53</v>
      </c>
      <c r="P60" s="23" t="n">
        <v>52.6</v>
      </c>
      <c r="Q60" s="23" t="n">
        <v>52.4</v>
      </c>
      <c r="R60" s="23" t="n">
        <v>52.7</v>
      </c>
      <c r="S60" s="23" t="n">
        <v>51.6</v>
      </c>
      <c r="T60" s="23" t="n">
        <v>52.7</v>
      </c>
      <c r="U60" s="23" t="n">
        <v>52.8</v>
      </c>
      <c r="V60" s="23" t="n">
        <v>53.4</v>
      </c>
      <c r="W60" s="23" t="n">
        <v>53.3</v>
      </c>
      <c r="X60" s="23" t="n">
        <v>53.7</v>
      </c>
    </row>
    <row r="61" customFormat="false" ht="15" hidden="false" customHeight="false" outlineLevel="0" collapsed="false">
      <c r="A61" s="12" t="s">
        <v>410</v>
      </c>
      <c r="B61" s="12" t="s">
        <v>409</v>
      </c>
      <c r="C61" s="12" t="s">
        <v>403</v>
      </c>
      <c r="D61" s="23" t="n">
        <v>78.5</v>
      </c>
      <c r="E61" s="23" t="n">
        <v>80</v>
      </c>
      <c r="F61" s="23" t="n">
        <v>80.7</v>
      </c>
      <c r="G61" s="23" t="n">
        <v>82.6</v>
      </c>
      <c r="H61" s="23" t="n">
        <v>83.5</v>
      </c>
      <c r="I61" s="23" t="n">
        <v>84.7</v>
      </c>
      <c r="J61" s="23" t="n">
        <v>84.9</v>
      </c>
      <c r="K61" s="23" t="n">
        <v>85.3</v>
      </c>
      <c r="L61" s="23" t="n">
        <v>86</v>
      </c>
      <c r="M61" s="23" t="n">
        <v>86.1</v>
      </c>
      <c r="N61" s="23" t="n">
        <v>85.1</v>
      </c>
      <c r="O61" s="23" t="n">
        <v>84.3</v>
      </c>
      <c r="P61" s="23" t="n">
        <v>83.7</v>
      </c>
      <c r="Q61" s="23" t="n">
        <v>83</v>
      </c>
      <c r="R61" s="23" t="n">
        <v>82.7</v>
      </c>
      <c r="S61" s="23" t="n">
        <v>81.7</v>
      </c>
      <c r="T61" s="23" t="n">
        <v>83.8</v>
      </c>
      <c r="U61" s="23" t="n">
        <v>83.2</v>
      </c>
      <c r="V61" s="23" t="n">
        <v>84.2</v>
      </c>
      <c r="W61" s="23" t="n">
        <v>83.2</v>
      </c>
      <c r="X61" s="23" t="n">
        <v>83.5</v>
      </c>
    </row>
    <row r="62" customFormat="false" ht="15" hidden="false" customHeight="false" outlineLevel="0" collapsed="false">
      <c r="A62" s="12" t="s">
        <v>410</v>
      </c>
      <c r="B62" s="12" t="s">
        <v>409</v>
      </c>
      <c r="C62" s="12" t="s">
        <v>412</v>
      </c>
      <c r="D62" s="23" t="n">
        <v>62.2</v>
      </c>
      <c r="E62" s="23" t="n">
        <v>64</v>
      </c>
      <c r="F62" s="23" t="n">
        <v>65.5</v>
      </c>
      <c r="G62" s="23" t="n">
        <v>67.4</v>
      </c>
      <c r="H62" s="23" t="n">
        <v>69.4</v>
      </c>
      <c r="I62" s="23" t="n">
        <v>70.9</v>
      </c>
      <c r="J62" s="23" t="n">
        <v>72.3</v>
      </c>
      <c r="K62" s="23" t="n">
        <v>73.6</v>
      </c>
      <c r="L62" s="23" t="n">
        <v>74.3</v>
      </c>
      <c r="M62" s="23" t="n">
        <v>74.6</v>
      </c>
      <c r="N62" s="23" t="n">
        <v>75</v>
      </c>
      <c r="O62" s="23" t="n">
        <v>75.5</v>
      </c>
      <c r="P62" s="23" t="n">
        <v>75.1</v>
      </c>
      <c r="Q62" s="23" t="n">
        <v>75.1</v>
      </c>
      <c r="R62" s="23" t="n">
        <v>75.6</v>
      </c>
      <c r="S62" s="23" t="n">
        <v>74.7</v>
      </c>
      <c r="T62" s="23" t="n">
        <v>76.5</v>
      </c>
      <c r="U62" s="23" t="n">
        <v>76.7</v>
      </c>
      <c r="V62" s="23" t="n">
        <v>77.8</v>
      </c>
      <c r="W62" s="23" t="n">
        <v>78.1</v>
      </c>
      <c r="X62" s="23" t="n">
        <v>78.8</v>
      </c>
    </row>
    <row r="63" customFormat="false" ht="15" hidden="false" customHeight="false" outlineLevel="0" collapsed="false">
      <c r="A63" s="12" t="s">
        <v>410</v>
      </c>
      <c r="B63" s="12" t="s">
        <v>409</v>
      </c>
      <c r="C63" s="12" t="s">
        <v>404</v>
      </c>
      <c r="D63" s="23" t="n">
        <v>47</v>
      </c>
      <c r="E63" s="23" t="n">
        <v>48.5</v>
      </c>
      <c r="F63" s="23" t="n">
        <v>49.8</v>
      </c>
      <c r="G63" s="23" t="n">
        <v>51.3</v>
      </c>
      <c r="H63" s="23" t="n">
        <v>52.8</v>
      </c>
      <c r="I63" s="23" t="n">
        <v>53.8</v>
      </c>
      <c r="J63" s="23" t="n">
        <v>54.6</v>
      </c>
      <c r="K63" s="23" t="n">
        <v>55.5</v>
      </c>
      <c r="L63" s="23" t="n">
        <v>55.6</v>
      </c>
      <c r="M63" s="23" t="n">
        <v>55.5</v>
      </c>
      <c r="N63" s="23" t="n">
        <v>55.6</v>
      </c>
      <c r="O63" s="23" t="n">
        <v>55.7</v>
      </c>
      <c r="P63" s="23" t="n">
        <v>55.2</v>
      </c>
      <c r="Q63" s="23" t="n">
        <v>55.1</v>
      </c>
      <c r="R63" s="23" t="n">
        <v>55.4</v>
      </c>
      <c r="S63" s="23" t="n">
        <v>54.7</v>
      </c>
      <c r="T63" s="23" t="n">
        <v>55.6</v>
      </c>
      <c r="U63" s="23" t="n">
        <v>55.7</v>
      </c>
      <c r="V63" s="23" t="n">
        <v>56.3</v>
      </c>
      <c r="W63" s="23" t="n">
        <v>56.2</v>
      </c>
      <c r="X63" s="23" t="n">
        <v>56.7</v>
      </c>
    </row>
    <row r="64" customFormat="false" ht="15" hidden="false" customHeight="false" outlineLevel="0" collapsed="false">
      <c r="A64" s="12" t="s">
        <v>410</v>
      </c>
      <c r="B64" s="12" t="s">
        <v>409</v>
      </c>
      <c r="C64" s="12" t="s">
        <v>405</v>
      </c>
      <c r="D64" s="23" t="n">
        <v>70.1</v>
      </c>
      <c r="E64" s="23" t="n">
        <v>72.3</v>
      </c>
      <c r="F64" s="23" t="n">
        <v>73.8</v>
      </c>
      <c r="G64" s="23" t="n">
        <v>75.8</v>
      </c>
      <c r="H64" s="23" t="n">
        <v>78.7</v>
      </c>
      <c r="I64" s="23" t="n">
        <v>79.8</v>
      </c>
      <c r="J64" s="23" t="n">
        <v>81.4</v>
      </c>
      <c r="K64" s="23" t="n">
        <v>83.3</v>
      </c>
      <c r="L64" s="23" t="n">
        <v>84</v>
      </c>
      <c r="M64" s="23" t="n">
        <v>84.4</v>
      </c>
      <c r="N64" s="23" t="n">
        <v>84.6</v>
      </c>
      <c r="O64" s="23" t="n">
        <v>85.6</v>
      </c>
      <c r="P64" s="23" t="n">
        <v>85.3</v>
      </c>
      <c r="Q64" s="23" t="n">
        <v>84.8</v>
      </c>
      <c r="R64" s="23" t="n">
        <v>84.9</v>
      </c>
      <c r="S64" s="23" t="n">
        <v>83.2</v>
      </c>
      <c r="T64" s="23" t="n">
        <v>85</v>
      </c>
      <c r="U64" s="23" t="n">
        <v>84.7</v>
      </c>
      <c r="V64" s="23" t="n">
        <v>85.2</v>
      </c>
      <c r="W64" s="23" t="n">
        <v>84.7</v>
      </c>
      <c r="X64" s="23" t="n">
        <v>85.4</v>
      </c>
    </row>
    <row r="65" customFormat="false" ht="15" hidden="false" customHeight="false" outlineLevel="0" collapsed="false">
      <c r="A65" s="12" t="s">
        <v>410</v>
      </c>
      <c r="B65" s="12" t="s">
        <v>409</v>
      </c>
      <c r="C65" s="12" t="s">
        <v>406</v>
      </c>
      <c r="D65" s="23" t="n">
        <v>58.1</v>
      </c>
      <c r="E65" s="23" t="n">
        <v>60.7</v>
      </c>
      <c r="F65" s="23" t="n">
        <v>63.5</v>
      </c>
      <c r="G65" s="23" t="n">
        <v>65.8</v>
      </c>
      <c r="H65" s="23" t="n">
        <v>68.2</v>
      </c>
      <c r="I65" s="23" t="n">
        <v>71.1</v>
      </c>
      <c r="J65" s="23" t="n">
        <v>72.4</v>
      </c>
      <c r="K65" s="23" t="n">
        <v>74.6</v>
      </c>
      <c r="L65" s="23" t="n">
        <v>75.5</v>
      </c>
      <c r="M65" s="23" t="n">
        <v>75.9</v>
      </c>
      <c r="N65" s="23" t="n">
        <v>76.8</v>
      </c>
      <c r="O65" s="23" t="n">
        <v>77.3</v>
      </c>
      <c r="P65" s="23" t="n">
        <v>77.3</v>
      </c>
      <c r="Q65" s="23" t="n">
        <v>77.9</v>
      </c>
      <c r="R65" s="23" t="n">
        <v>79.3</v>
      </c>
      <c r="S65" s="23" t="n">
        <v>77.9</v>
      </c>
      <c r="T65" s="23" t="n">
        <v>79.8</v>
      </c>
      <c r="U65" s="23" t="n">
        <v>81</v>
      </c>
      <c r="V65" s="23" t="n">
        <v>82</v>
      </c>
      <c r="W65" s="23" t="n">
        <v>83.4</v>
      </c>
      <c r="X65" s="23" t="n">
        <v>83.5</v>
      </c>
    </row>
    <row r="66" customFormat="false" ht="15" hidden="false" customHeight="false" outlineLevel="0" collapsed="false">
      <c r="A66" s="12" t="s">
        <v>410</v>
      </c>
      <c r="B66" s="12" t="s">
        <v>409</v>
      </c>
      <c r="C66" s="12" t="s">
        <v>407</v>
      </c>
      <c r="D66" s="23" t="n">
        <v>29.9</v>
      </c>
      <c r="E66" s="23" t="n">
        <v>31.2</v>
      </c>
      <c r="F66" s="23" t="n">
        <v>32.7</v>
      </c>
      <c r="G66" s="23" t="n">
        <v>34.2</v>
      </c>
      <c r="H66" s="23" t="n">
        <v>37.1</v>
      </c>
      <c r="I66" s="23" t="n">
        <v>38.4</v>
      </c>
      <c r="J66" s="23" t="n">
        <v>41.8</v>
      </c>
      <c r="K66" s="23" t="n">
        <v>43.9</v>
      </c>
      <c r="L66" s="23" t="n">
        <v>45.2</v>
      </c>
      <c r="M66" s="23" t="n">
        <v>46.9</v>
      </c>
      <c r="N66" s="23" t="n">
        <v>49.4</v>
      </c>
      <c r="O66" s="23" t="n">
        <v>51.7</v>
      </c>
      <c r="P66" s="23" t="n">
        <v>51.8</v>
      </c>
      <c r="Q66" s="23" t="n">
        <v>52.9</v>
      </c>
      <c r="R66" s="23" t="n">
        <v>54.4</v>
      </c>
      <c r="S66" s="23" t="n">
        <v>55.7</v>
      </c>
      <c r="T66" s="23" t="n">
        <v>58.1</v>
      </c>
      <c r="U66" s="23" t="n">
        <v>58.9</v>
      </c>
      <c r="V66" s="23" t="n">
        <v>61.1</v>
      </c>
      <c r="W66" s="23" t="n">
        <v>62</v>
      </c>
      <c r="X66" s="23" t="n">
        <v>63.9</v>
      </c>
    </row>
    <row r="67" customFormat="false" ht="15" hidden="false" customHeight="false" outlineLevel="0" collapsed="false">
      <c r="A67" s="12" t="s">
        <v>410</v>
      </c>
      <c r="B67" s="12" t="s">
        <v>409</v>
      </c>
      <c r="C67" s="12" t="s">
        <v>413</v>
      </c>
      <c r="D67" s="23" t="n">
        <v>1.1</v>
      </c>
      <c r="E67" s="23" t="n">
        <v>1.1</v>
      </c>
      <c r="F67" s="23" t="n">
        <v>1.1</v>
      </c>
      <c r="G67" s="23" t="n">
        <v>1.4</v>
      </c>
      <c r="H67" s="23" t="n">
        <v>1.4</v>
      </c>
      <c r="I67" s="23" t="n">
        <v>1.5</v>
      </c>
      <c r="J67" s="23" t="n">
        <v>1.5</v>
      </c>
      <c r="K67" s="23" t="n">
        <v>1.6</v>
      </c>
      <c r="L67" s="23" t="n">
        <v>1.4</v>
      </c>
      <c r="M67" s="23" t="n">
        <v>1.3</v>
      </c>
      <c r="N67" s="23" t="n">
        <v>1.4</v>
      </c>
      <c r="O67" s="23" t="n">
        <v>1.5</v>
      </c>
      <c r="P67" s="23" t="n">
        <v>1.6</v>
      </c>
      <c r="Q67" s="23" t="n">
        <v>1.7</v>
      </c>
      <c r="R67" s="23" t="n">
        <v>1.9</v>
      </c>
      <c r="S67" s="23" t="n">
        <v>2.2</v>
      </c>
      <c r="T67" s="23" t="n">
        <v>2.5</v>
      </c>
      <c r="U67" s="23" t="n">
        <v>2.8</v>
      </c>
      <c r="V67" s="23" t="n">
        <v>3</v>
      </c>
      <c r="W67" s="23" t="n">
        <v>3.1</v>
      </c>
      <c r="X67" s="23" t="n">
        <v>3.8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44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4" t="s">
        <v>414</v>
      </c>
      <c r="B1" s="4" t="s">
        <v>92</v>
      </c>
      <c r="C1" s="4" t="s">
        <v>91</v>
      </c>
      <c r="D1" s="4" t="s">
        <v>371</v>
      </c>
      <c r="E1" s="4" t="s">
        <v>415</v>
      </c>
      <c r="F1" s="4" t="s">
        <v>416</v>
      </c>
      <c r="G1" s="4" t="s">
        <v>417</v>
      </c>
      <c r="H1" s="4" t="s">
        <v>418</v>
      </c>
      <c r="I1" s="4" t="s">
        <v>419</v>
      </c>
      <c r="J1" s="4" t="s">
        <v>420</v>
      </c>
    </row>
    <row r="2" customFormat="false" ht="15" hidden="false" customHeight="false" outlineLevel="0" collapsed="false">
      <c r="A2" s="24" t="s">
        <v>421</v>
      </c>
      <c r="B2" s="24" t="s">
        <v>65</v>
      </c>
      <c r="C2" s="24" t="s">
        <v>422</v>
      </c>
      <c r="D2" s="24" t="s">
        <v>423</v>
      </c>
      <c r="E2" s="25" t="n">
        <v>2379505</v>
      </c>
      <c r="F2" s="24" t="s">
        <v>424</v>
      </c>
      <c r="G2" s="24" t="s">
        <v>425</v>
      </c>
      <c r="H2" s="24" t="s">
        <v>426</v>
      </c>
      <c r="I2" s="24" t="s">
        <v>427</v>
      </c>
      <c r="J2" s="24" t="s">
        <v>428</v>
      </c>
    </row>
    <row r="3" customFormat="false" ht="15" hidden="false" customHeight="false" outlineLevel="0" collapsed="false">
      <c r="A3" s="24" t="s">
        <v>421</v>
      </c>
      <c r="B3" s="24" t="s">
        <v>65</v>
      </c>
      <c r="C3" s="24" t="s">
        <v>276</v>
      </c>
      <c r="D3" s="24" t="s">
        <v>423</v>
      </c>
      <c r="E3" s="25" t="n">
        <v>1428405</v>
      </c>
      <c r="F3" s="24" t="s">
        <v>424</v>
      </c>
      <c r="G3" s="24" t="s">
        <v>429</v>
      </c>
      <c r="H3" s="24" t="s">
        <v>430</v>
      </c>
      <c r="I3" s="24" t="s">
        <v>427</v>
      </c>
      <c r="J3" s="24"/>
    </row>
    <row r="4" customFormat="false" ht="15" hidden="false" customHeight="false" outlineLevel="0" collapsed="false">
      <c r="A4" s="24" t="s">
        <v>421</v>
      </c>
      <c r="B4" s="24" t="s">
        <v>65</v>
      </c>
      <c r="C4" s="24" t="s">
        <v>268</v>
      </c>
      <c r="D4" s="24" t="s">
        <v>423</v>
      </c>
      <c r="E4" s="25" t="n">
        <v>951100</v>
      </c>
      <c r="F4" s="24" t="s">
        <v>424</v>
      </c>
      <c r="G4" s="24" t="s">
        <v>431</v>
      </c>
      <c r="H4" s="24" t="s">
        <v>432</v>
      </c>
      <c r="I4" s="24" t="s">
        <v>427</v>
      </c>
      <c r="J4" s="24"/>
    </row>
    <row r="5" customFormat="false" ht="15" hidden="false" customHeight="false" outlineLevel="0" collapsed="false">
      <c r="A5" s="24" t="s">
        <v>421</v>
      </c>
      <c r="B5" s="24" t="s">
        <v>65</v>
      </c>
      <c r="C5" s="24" t="s">
        <v>433</v>
      </c>
      <c r="D5" s="24" t="s">
        <v>423</v>
      </c>
      <c r="E5" s="25" t="n">
        <v>189141</v>
      </c>
      <c r="F5" s="24" t="s">
        <v>424</v>
      </c>
      <c r="G5" s="24" t="s">
        <v>434</v>
      </c>
      <c r="H5" s="24"/>
      <c r="I5" s="24" t="s">
        <v>427</v>
      </c>
      <c r="J5" s="24"/>
    </row>
    <row r="6" customFormat="false" ht="15" hidden="false" customHeight="false" outlineLevel="0" collapsed="false">
      <c r="A6" s="24" t="s">
        <v>421</v>
      </c>
      <c r="B6" s="24" t="s">
        <v>66</v>
      </c>
      <c r="C6" s="24" t="s">
        <v>435</v>
      </c>
      <c r="D6" s="24" t="s">
        <v>423</v>
      </c>
      <c r="E6" s="24"/>
      <c r="F6" s="24" t="s">
        <v>424</v>
      </c>
      <c r="G6" s="24" t="s">
        <v>436</v>
      </c>
      <c r="H6" s="24"/>
      <c r="I6" s="24" t="s">
        <v>427</v>
      </c>
      <c r="J6" s="24" t="s">
        <v>437</v>
      </c>
    </row>
    <row r="7" customFormat="false" ht="15" hidden="false" customHeight="false" outlineLevel="0" collapsed="false">
      <c r="A7" s="24" t="s">
        <v>421</v>
      </c>
      <c r="B7" s="24" t="s">
        <v>66</v>
      </c>
      <c r="C7" s="24" t="s">
        <v>422</v>
      </c>
      <c r="D7" s="24" t="s">
        <v>438</v>
      </c>
      <c r="E7" s="25" t="n">
        <v>273631</v>
      </c>
      <c r="F7" s="24" t="s">
        <v>424</v>
      </c>
      <c r="G7" s="24" t="s">
        <v>439</v>
      </c>
      <c r="H7" s="24" t="s">
        <v>440</v>
      </c>
      <c r="I7" s="24" t="s">
        <v>441</v>
      </c>
      <c r="J7" s="24" t="s">
        <v>442</v>
      </c>
    </row>
    <row r="8" customFormat="false" ht="15" hidden="false" customHeight="false" outlineLevel="0" collapsed="false">
      <c r="A8" s="24" t="s">
        <v>421</v>
      </c>
      <c r="B8" s="24" t="s">
        <v>66</v>
      </c>
      <c r="C8" s="24" t="s">
        <v>268</v>
      </c>
      <c r="D8" s="24" t="s">
        <v>438</v>
      </c>
      <c r="E8" s="25" t="n">
        <v>109686</v>
      </c>
      <c r="F8" s="24" t="s">
        <v>424</v>
      </c>
      <c r="G8" s="24" t="s">
        <v>443</v>
      </c>
      <c r="H8" s="24" t="s">
        <v>444</v>
      </c>
      <c r="I8" s="24" t="s">
        <v>441</v>
      </c>
      <c r="J8" s="24"/>
    </row>
    <row r="9" customFormat="false" ht="15" hidden="false" customHeight="false" outlineLevel="0" collapsed="false">
      <c r="A9" s="24" t="s">
        <v>421</v>
      </c>
      <c r="B9" s="24" t="s">
        <v>66</v>
      </c>
      <c r="C9" s="24" t="s">
        <v>276</v>
      </c>
      <c r="D9" s="24" t="s">
        <v>438</v>
      </c>
      <c r="E9" s="25" t="n">
        <v>163945</v>
      </c>
      <c r="F9" s="24" t="s">
        <v>424</v>
      </c>
      <c r="G9" s="24" t="s">
        <v>445</v>
      </c>
      <c r="H9" s="24" t="s">
        <v>446</v>
      </c>
      <c r="I9" s="24" t="s">
        <v>441</v>
      </c>
      <c r="J9" s="24"/>
    </row>
    <row r="10" customFormat="false" ht="15" hidden="false" customHeight="false" outlineLevel="0" collapsed="false">
      <c r="A10" s="24" t="s">
        <v>421</v>
      </c>
      <c r="B10" s="24" t="s">
        <v>66</v>
      </c>
      <c r="C10" s="24" t="s">
        <v>433</v>
      </c>
      <c r="D10" s="24" t="s">
        <v>438</v>
      </c>
      <c r="E10" s="25" t="n">
        <v>17263</v>
      </c>
      <c r="F10" s="24" t="s">
        <v>424</v>
      </c>
      <c r="G10" s="24" t="s">
        <v>447</v>
      </c>
      <c r="H10" s="24" t="s">
        <v>448</v>
      </c>
      <c r="I10" s="24" t="s">
        <v>441</v>
      </c>
      <c r="J10" s="24"/>
    </row>
    <row r="11" customFormat="false" ht="15" hidden="false" customHeight="false" outlineLevel="0" collapsed="false">
      <c r="A11" s="24" t="s">
        <v>421</v>
      </c>
      <c r="B11" s="24" t="s">
        <v>66</v>
      </c>
      <c r="C11" s="24" t="s">
        <v>449</v>
      </c>
      <c r="D11" s="24" t="s">
        <v>438</v>
      </c>
      <c r="E11" s="25" t="n">
        <v>18571</v>
      </c>
      <c r="F11" s="24" t="s">
        <v>424</v>
      </c>
      <c r="G11" s="24" t="s">
        <v>450</v>
      </c>
      <c r="H11" s="24" t="s">
        <v>451</v>
      </c>
      <c r="I11" s="24" t="s">
        <v>441</v>
      </c>
      <c r="J11" s="24"/>
    </row>
    <row r="12" customFormat="false" ht="15" hidden="false" customHeight="false" outlineLevel="0" collapsed="false">
      <c r="A12" s="24" t="s">
        <v>421</v>
      </c>
      <c r="B12" s="24" t="s">
        <v>66</v>
      </c>
      <c r="C12" s="24" t="s">
        <v>452</v>
      </c>
      <c r="D12" s="24" t="s">
        <v>438</v>
      </c>
      <c r="E12" s="25" t="n">
        <v>255060</v>
      </c>
      <c r="F12" s="24" t="s">
        <v>424</v>
      </c>
      <c r="G12" s="24" t="s">
        <v>453</v>
      </c>
      <c r="H12" s="24" t="s">
        <v>454</v>
      </c>
      <c r="I12" s="24" t="s">
        <v>441</v>
      </c>
      <c r="J12" s="24"/>
    </row>
    <row r="13" customFormat="false" ht="15" hidden="false" customHeight="false" outlineLevel="0" collapsed="false">
      <c r="A13" s="24" t="s">
        <v>421</v>
      </c>
      <c r="B13" s="24" t="s">
        <v>66</v>
      </c>
      <c r="C13" s="24" t="s">
        <v>455</v>
      </c>
      <c r="D13" s="24" t="s">
        <v>438</v>
      </c>
      <c r="E13" s="25" t="n">
        <v>1632</v>
      </c>
      <c r="F13" s="24" t="s">
        <v>424</v>
      </c>
      <c r="G13" s="24" t="s">
        <v>456</v>
      </c>
      <c r="H13" s="24" t="s">
        <v>457</v>
      </c>
      <c r="I13" s="24" t="s">
        <v>441</v>
      </c>
      <c r="J13" s="24"/>
    </row>
    <row r="14" customFormat="false" ht="15" hidden="false" customHeight="false" outlineLevel="0" collapsed="false">
      <c r="A14" s="24" t="s">
        <v>421</v>
      </c>
      <c r="B14" s="24" t="s">
        <v>66</v>
      </c>
      <c r="C14" s="24" t="s">
        <v>458</v>
      </c>
      <c r="D14" s="24" t="s">
        <v>438</v>
      </c>
      <c r="E14" s="25" t="n">
        <v>14254</v>
      </c>
      <c r="F14" s="24" t="s">
        <v>424</v>
      </c>
      <c r="G14" s="24" t="s">
        <v>459</v>
      </c>
      <c r="H14" s="24" t="s">
        <v>460</v>
      </c>
      <c r="I14" s="24" t="s">
        <v>441</v>
      </c>
      <c r="J14" s="24"/>
    </row>
    <row r="15" customFormat="false" ht="15" hidden="false" customHeight="false" outlineLevel="0" collapsed="false">
      <c r="A15" s="24" t="s">
        <v>421</v>
      </c>
      <c r="B15" s="24" t="s">
        <v>66</v>
      </c>
      <c r="C15" s="24" t="s">
        <v>461</v>
      </c>
      <c r="D15" s="24" t="s">
        <v>438</v>
      </c>
      <c r="E15" s="25" t="n">
        <v>16894</v>
      </c>
      <c r="F15" s="24" t="s">
        <v>424</v>
      </c>
      <c r="G15" s="24" t="s">
        <v>462</v>
      </c>
      <c r="H15" s="24" t="s">
        <v>463</v>
      </c>
      <c r="I15" s="24" t="s">
        <v>441</v>
      </c>
      <c r="J15" s="24"/>
    </row>
    <row r="16" customFormat="false" ht="15" hidden="false" customHeight="false" outlineLevel="0" collapsed="false">
      <c r="A16" s="24" t="s">
        <v>421</v>
      </c>
      <c r="B16" s="24" t="s">
        <v>66</v>
      </c>
      <c r="C16" s="24" t="s">
        <v>464</v>
      </c>
      <c r="D16" s="24" t="s">
        <v>438</v>
      </c>
      <c r="E16" s="25" t="n">
        <v>222280</v>
      </c>
      <c r="F16" s="24" t="s">
        <v>424</v>
      </c>
      <c r="G16" s="24" t="s">
        <v>465</v>
      </c>
      <c r="H16" s="24" t="s">
        <v>466</v>
      </c>
      <c r="I16" s="24" t="s">
        <v>441</v>
      </c>
      <c r="J16" s="24"/>
    </row>
    <row r="17" customFormat="false" ht="15" hidden="false" customHeight="false" outlineLevel="0" collapsed="false">
      <c r="A17" s="24" t="s">
        <v>467</v>
      </c>
      <c r="B17" s="24" t="s">
        <v>66</v>
      </c>
      <c r="C17" s="24" t="s">
        <v>468</v>
      </c>
      <c r="D17" s="24" t="s">
        <v>438</v>
      </c>
      <c r="E17" s="25" t="n">
        <v>215405</v>
      </c>
      <c r="F17" s="24" t="s">
        <v>469</v>
      </c>
      <c r="G17" s="24" t="s">
        <v>470</v>
      </c>
      <c r="H17" s="24" t="s">
        <v>471</v>
      </c>
      <c r="I17" s="24" t="s">
        <v>441</v>
      </c>
      <c r="J17" s="24"/>
    </row>
    <row r="18" customFormat="false" ht="15" hidden="false" customHeight="false" outlineLevel="0" collapsed="false">
      <c r="A18" s="24" t="s">
        <v>467</v>
      </c>
      <c r="B18" s="24" t="s">
        <v>66</v>
      </c>
      <c r="C18" s="24" t="s">
        <v>472</v>
      </c>
      <c r="D18" s="24" t="s">
        <v>438</v>
      </c>
      <c r="E18" s="25" t="n">
        <v>89164</v>
      </c>
      <c r="F18" s="24" t="s">
        <v>469</v>
      </c>
      <c r="G18" s="24" t="s">
        <v>473</v>
      </c>
      <c r="H18" s="24" t="s">
        <v>474</v>
      </c>
      <c r="I18" s="24" t="s">
        <v>441</v>
      </c>
      <c r="J18" s="24"/>
    </row>
    <row r="19" customFormat="false" ht="15" hidden="false" customHeight="false" outlineLevel="0" collapsed="false">
      <c r="A19" s="24" t="s">
        <v>467</v>
      </c>
      <c r="B19" s="24" t="s">
        <v>66</v>
      </c>
      <c r="C19" s="24" t="s">
        <v>475</v>
      </c>
      <c r="D19" s="24" t="s">
        <v>438</v>
      </c>
      <c r="E19" s="25" t="n">
        <v>126241</v>
      </c>
      <c r="F19" s="24" t="s">
        <v>469</v>
      </c>
      <c r="G19" s="24" t="s">
        <v>476</v>
      </c>
      <c r="H19" s="24" t="s">
        <v>477</v>
      </c>
      <c r="I19" s="24" t="s">
        <v>441</v>
      </c>
      <c r="J19" s="24"/>
    </row>
    <row r="20" customFormat="false" ht="15" hidden="false" customHeight="false" outlineLevel="0" collapsed="false">
      <c r="A20" s="24" t="s">
        <v>467</v>
      </c>
      <c r="B20" s="24" t="s">
        <v>65</v>
      </c>
      <c r="C20" s="24" t="s">
        <v>468</v>
      </c>
      <c r="D20" s="24" t="s">
        <v>423</v>
      </c>
      <c r="E20" s="25" t="n">
        <v>1597612</v>
      </c>
      <c r="F20" s="24" t="s">
        <v>469</v>
      </c>
      <c r="G20" s="24"/>
      <c r="H20" s="24"/>
      <c r="I20" s="24" t="s">
        <v>427</v>
      </c>
      <c r="J20" s="24"/>
    </row>
    <row r="21" customFormat="false" ht="15" hidden="false" customHeight="false" outlineLevel="0" collapsed="false">
      <c r="A21" s="24" t="s">
        <v>467</v>
      </c>
      <c r="B21" s="24" t="s">
        <v>65</v>
      </c>
      <c r="C21" s="24" t="s">
        <v>472</v>
      </c>
      <c r="D21" s="24" t="s">
        <v>423</v>
      </c>
      <c r="E21" s="25" t="n">
        <v>706948</v>
      </c>
      <c r="F21" s="24" t="s">
        <v>469</v>
      </c>
      <c r="G21" s="24"/>
      <c r="H21" s="24"/>
      <c r="I21" s="24" t="s">
        <v>427</v>
      </c>
      <c r="J21" s="24" t="s">
        <v>478</v>
      </c>
    </row>
    <row r="22" customFormat="false" ht="15" hidden="false" customHeight="false" outlineLevel="0" collapsed="false">
      <c r="A22" s="24" t="s">
        <v>479</v>
      </c>
      <c r="B22" s="24" t="s">
        <v>65</v>
      </c>
      <c r="C22" s="24" t="s">
        <v>480</v>
      </c>
      <c r="D22" s="24" t="s">
        <v>88</v>
      </c>
      <c r="E22" s="25" t="n">
        <v>1896142</v>
      </c>
      <c r="F22" s="24" t="s">
        <v>424</v>
      </c>
      <c r="G22" s="24"/>
      <c r="H22" s="24"/>
      <c r="I22" s="24" t="s">
        <v>427</v>
      </c>
      <c r="J22" s="24"/>
    </row>
    <row r="23" customFormat="false" ht="15" hidden="false" customHeight="false" outlineLevel="0" collapsed="false">
      <c r="A23" s="24" t="s">
        <v>479</v>
      </c>
      <c r="B23" s="24" t="s">
        <v>65</v>
      </c>
      <c r="C23" s="24" t="s">
        <v>481</v>
      </c>
      <c r="D23" s="24" t="s">
        <v>88</v>
      </c>
      <c r="E23" s="25" t="n">
        <v>1203.1</v>
      </c>
      <c r="F23" s="24" t="s">
        <v>482</v>
      </c>
      <c r="G23" s="24"/>
      <c r="H23" s="24" t="s">
        <v>483</v>
      </c>
      <c r="I23" s="24" t="s">
        <v>427</v>
      </c>
      <c r="J23" s="24" t="s">
        <v>484</v>
      </c>
    </row>
    <row r="24" customFormat="false" ht="15" hidden="false" customHeight="false" outlineLevel="0" collapsed="false">
      <c r="A24" s="24" t="s">
        <v>479</v>
      </c>
      <c r="B24" s="24" t="s">
        <v>65</v>
      </c>
      <c r="C24" s="24" t="s">
        <v>485</v>
      </c>
      <c r="D24" s="24" t="s">
        <v>88</v>
      </c>
      <c r="E24" s="25" t="n">
        <v>87.12</v>
      </c>
      <c r="F24" s="24" t="s">
        <v>486</v>
      </c>
      <c r="G24" s="24"/>
      <c r="H24" s="24"/>
      <c r="I24" s="24" t="s">
        <v>427</v>
      </c>
      <c r="J24" s="24"/>
    </row>
    <row r="25" customFormat="false" ht="15" hidden="false" customHeight="false" outlineLevel="0" collapsed="false">
      <c r="A25" s="24" t="s">
        <v>487</v>
      </c>
      <c r="B25" s="24" t="s">
        <v>66</v>
      </c>
      <c r="C25" s="24" t="s">
        <v>488</v>
      </c>
      <c r="D25" s="24" t="s">
        <v>88</v>
      </c>
      <c r="E25" s="25" t="n">
        <v>3871993</v>
      </c>
      <c r="F25" s="24" t="s">
        <v>424</v>
      </c>
      <c r="G25" s="24" t="s">
        <v>489</v>
      </c>
      <c r="H25" s="24" t="s">
        <v>490</v>
      </c>
      <c r="I25" s="24" t="s">
        <v>491</v>
      </c>
      <c r="J25" s="24"/>
    </row>
    <row r="26" customFormat="false" ht="15" hidden="false" customHeight="false" outlineLevel="0" collapsed="false">
      <c r="A26" s="24" t="s">
        <v>487</v>
      </c>
      <c r="B26" s="24" t="s">
        <v>66</v>
      </c>
      <c r="C26" s="24" t="s">
        <v>492</v>
      </c>
      <c r="D26" s="24" t="s">
        <v>88</v>
      </c>
      <c r="E26" s="25" t="n">
        <v>3424384</v>
      </c>
      <c r="F26" s="24" t="s">
        <v>424</v>
      </c>
      <c r="G26" s="24" t="s">
        <v>493</v>
      </c>
      <c r="H26" s="24" t="s">
        <v>494</v>
      </c>
      <c r="I26" s="24" t="s">
        <v>491</v>
      </c>
      <c r="J26" s="24"/>
    </row>
    <row r="27" customFormat="false" ht="15" hidden="false" customHeight="false" outlineLevel="0" collapsed="false">
      <c r="A27" s="24" t="s">
        <v>487</v>
      </c>
      <c r="B27" s="24" t="s">
        <v>66</v>
      </c>
      <c r="C27" s="24" t="s">
        <v>495</v>
      </c>
      <c r="D27" s="24" t="s">
        <v>88</v>
      </c>
      <c r="E27" s="25" t="n">
        <v>443770</v>
      </c>
      <c r="F27" s="24" t="s">
        <v>424</v>
      </c>
      <c r="G27" s="24" t="s">
        <v>496</v>
      </c>
      <c r="H27" s="24" t="s">
        <v>497</v>
      </c>
      <c r="I27" s="24" t="s">
        <v>491</v>
      </c>
      <c r="J27" s="24"/>
    </row>
    <row r="28" customFormat="false" ht="15" hidden="false" customHeight="false" outlineLevel="0" collapsed="false">
      <c r="A28" s="24" t="s">
        <v>487</v>
      </c>
      <c r="B28" s="24" t="s">
        <v>66</v>
      </c>
      <c r="C28" s="24" t="s">
        <v>498</v>
      </c>
      <c r="D28" s="24" t="s">
        <v>88</v>
      </c>
      <c r="E28" s="25" t="n">
        <v>3839</v>
      </c>
      <c r="F28" s="24" t="s">
        <v>424</v>
      </c>
      <c r="G28" s="24" t="s">
        <v>499</v>
      </c>
      <c r="H28" s="24" t="s">
        <v>500</v>
      </c>
      <c r="I28" s="24" t="s">
        <v>491</v>
      </c>
      <c r="J28" s="24"/>
    </row>
    <row r="29" customFormat="false" ht="15" hidden="false" customHeight="false" outlineLevel="0" collapsed="false">
      <c r="A29" s="24" t="s">
        <v>487</v>
      </c>
      <c r="B29" s="24" t="s">
        <v>65</v>
      </c>
      <c r="C29" s="24" t="s">
        <v>488</v>
      </c>
      <c r="D29" s="24" t="s">
        <v>88</v>
      </c>
      <c r="E29" s="25" t="n">
        <v>22345226</v>
      </c>
      <c r="F29" s="24" t="s">
        <v>424</v>
      </c>
      <c r="G29" s="24" t="s">
        <v>501</v>
      </c>
      <c r="H29" s="24" t="s">
        <v>502</v>
      </c>
      <c r="I29" s="24" t="s">
        <v>491</v>
      </c>
      <c r="J29" s="24"/>
    </row>
    <row r="30" customFormat="false" ht="15" hidden="false" customHeight="false" outlineLevel="0" collapsed="false">
      <c r="A30" s="24" t="s">
        <v>487</v>
      </c>
      <c r="B30" s="24" t="s">
        <v>65</v>
      </c>
      <c r="C30" s="24" t="s">
        <v>492</v>
      </c>
      <c r="D30" s="24" t="s">
        <v>88</v>
      </c>
      <c r="E30" s="25" t="n">
        <v>18808084</v>
      </c>
      <c r="F30" s="24" t="s">
        <v>424</v>
      </c>
      <c r="G30" s="24" t="s">
        <v>503</v>
      </c>
      <c r="H30" s="24" t="s">
        <v>504</v>
      </c>
      <c r="I30" s="24" t="s">
        <v>491</v>
      </c>
      <c r="J30" s="24"/>
    </row>
    <row r="31" customFormat="false" ht="15" hidden="false" customHeight="false" outlineLevel="0" collapsed="false">
      <c r="A31" s="24" t="s">
        <v>487</v>
      </c>
      <c r="B31" s="24" t="s">
        <v>65</v>
      </c>
      <c r="C31" s="24" t="s">
        <v>495</v>
      </c>
      <c r="D31" s="24" t="s">
        <v>88</v>
      </c>
      <c r="E31" s="25" t="n">
        <v>3469416</v>
      </c>
      <c r="F31" s="24" t="s">
        <v>424</v>
      </c>
      <c r="G31" s="24" t="s">
        <v>505</v>
      </c>
      <c r="H31" s="24" t="s">
        <v>506</v>
      </c>
      <c r="I31" s="24" t="s">
        <v>491</v>
      </c>
      <c r="J31" s="24"/>
    </row>
    <row r="32" customFormat="false" ht="15" hidden="false" customHeight="false" outlineLevel="0" collapsed="false">
      <c r="A32" s="24" t="s">
        <v>487</v>
      </c>
      <c r="B32" s="24" t="s">
        <v>65</v>
      </c>
      <c r="C32" s="24" t="s">
        <v>498</v>
      </c>
      <c r="D32" s="24" t="s">
        <v>88</v>
      </c>
      <c r="E32" s="25" t="n">
        <v>67726</v>
      </c>
      <c r="F32" s="24" t="s">
        <v>424</v>
      </c>
      <c r="G32" s="24" t="s">
        <v>507</v>
      </c>
      <c r="H32" s="24" t="s">
        <v>508</v>
      </c>
      <c r="I32" s="24" t="s">
        <v>491</v>
      </c>
      <c r="J32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23.85" hidden="false" customHeight="false" outlineLevel="0" collapsed="false">
      <c r="A1" s="4" t="s">
        <v>509</v>
      </c>
      <c r="B1" s="4" t="s">
        <v>510</v>
      </c>
      <c r="C1" s="4" t="s">
        <v>511</v>
      </c>
      <c r="D1" s="4" t="s">
        <v>512</v>
      </c>
      <c r="E1" s="4" t="s">
        <v>7</v>
      </c>
      <c r="F1" s="4" t="s">
        <v>513</v>
      </c>
      <c r="G1" s="4" t="s">
        <v>514</v>
      </c>
    </row>
    <row r="2" customFormat="false" ht="15" hidden="false" customHeight="false" outlineLevel="0" collapsed="false">
      <c r="A2" s="5" t="s">
        <v>515</v>
      </c>
      <c r="B2" s="5" t="s">
        <v>516</v>
      </c>
      <c r="C2" s="5" t="s">
        <v>517</v>
      </c>
      <c r="D2" s="5" t="s">
        <v>518</v>
      </c>
      <c r="E2" s="5" t="s">
        <v>519</v>
      </c>
      <c r="F2" s="5" t="s">
        <v>520</v>
      </c>
      <c r="G2" s="5" t="s">
        <v>521</v>
      </c>
    </row>
    <row r="3" customFormat="false" ht="23.85" hidden="false" customHeight="false" outlineLevel="0" collapsed="false">
      <c r="A3" s="5" t="s">
        <v>522</v>
      </c>
      <c r="B3" s="5" t="s">
        <v>516</v>
      </c>
      <c r="C3" s="5" t="s">
        <v>523</v>
      </c>
      <c r="D3" s="5" t="s">
        <v>524</v>
      </c>
      <c r="E3" s="5" t="s">
        <v>525</v>
      </c>
      <c r="F3" s="5" t="s">
        <v>520</v>
      </c>
      <c r="G3" s="5" t="s">
        <v>526</v>
      </c>
    </row>
    <row r="4" customFormat="false" ht="23.85" hidden="false" customHeight="false" outlineLevel="0" collapsed="false">
      <c r="A4" s="5" t="s">
        <v>527</v>
      </c>
      <c r="B4" s="5" t="s">
        <v>516</v>
      </c>
      <c r="C4" s="5" t="s">
        <v>523</v>
      </c>
      <c r="D4" s="5" t="s">
        <v>528</v>
      </c>
      <c r="E4" s="5" t="s">
        <v>529</v>
      </c>
      <c r="F4" s="5" t="s">
        <v>520</v>
      </c>
      <c r="G4" s="5" t="s">
        <v>530</v>
      </c>
    </row>
    <row r="5" customFormat="false" ht="23.85" hidden="false" customHeight="false" outlineLevel="0" collapsed="false">
      <c r="A5" s="5" t="s">
        <v>531</v>
      </c>
      <c r="B5" s="5" t="s">
        <v>516</v>
      </c>
      <c r="C5" s="5" t="s">
        <v>532</v>
      </c>
      <c r="D5" s="5" t="s">
        <v>533</v>
      </c>
      <c r="E5" s="5" t="s">
        <v>31</v>
      </c>
      <c r="F5" s="5" t="s">
        <v>520</v>
      </c>
      <c r="G5" s="5" t="s">
        <v>534</v>
      </c>
    </row>
    <row r="6" customFormat="false" ht="15" hidden="false" customHeight="false" outlineLevel="0" collapsed="false">
      <c r="A6" s="5" t="s">
        <v>535</v>
      </c>
      <c r="B6" s="5" t="s">
        <v>516</v>
      </c>
      <c r="C6" s="5" t="s">
        <v>536</v>
      </c>
      <c r="D6" s="5" t="s">
        <v>537</v>
      </c>
      <c r="E6" s="5" t="s">
        <v>28</v>
      </c>
      <c r="F6" s="5" t="s">
        <v>520</v>
      </c>
      <c r="G6" s="5" t="s">
        <v>538</v>
      </c>
    </row>
    <row r="7" customFormat="false" ht="15" hidden="false" customHeight="false" outlineLevel="0" collapsed="false">
      <c r="A7" s="5" t="s">
        <v>539</v>
      </c>
      <c r="B7" s="5" t="s">
        <v>516</v>
      </c>
      <c r="C7" s="5" t="s">
        <v>540</v>
      </c>
      <c r="D7" s="5" t="s">
        <v>541</v>
      </c>
      <c r="E7" s="5" t="s">
        <v>28</v>
      </c>
      <c r="F7" s="5" t="s">
        <v>520</v>
      </c>
      <c r="G7" s="5" t="s">
        <v>542</v>
      </c>
    </row>
    <row r="8" customFormat="false" ht="23.85" hidden="false" customHeight="false" outlineLevel="0" collapsed="false">
      <c r="A8" s="5" t="s">
        <v>543</v>
      </c>
      <c r="B8" s="5" t="s">
        <v>516</v>
      </c>
      <c r="C8" s="5" t="s">
        <v>544</v>
      </c>
      <c r="D8" s="5" t="s">
        <v>545</v>
      </c>
      <c r="E8" s="5" t="s">
        <v>28</v>
      </c>
      <c r="F8" s="5" t="s">
        <v>520</v>
      </c>
      <c r="G8" s="5" t="s">
        <v>546</v>
      </c>
    </row>
    <row r="9" customFormat="false" ht="35.05" hidden="false" customHeight="false" outlineLevel="0" collapsed="false">
      <c r="A9" s="5" t="s">
        <v>547</v>
      </c>
      <c r="B9" s="5" t="s">
        <v>548</v>
      </c>
      <c r="C9" s="5" t="s">
        <v>549</v>
      </c>
      <c r="D9" s="5" t="s">
        <v>550</v>
      </c>
      <c r="E9" s="5" t="s">
        <v>551</v>
      </c>
      <c r="F9" s="5" t="s">
        <v>520</v>
      </c>
      <c r="G9" s="5" t="s">
        <v>552</v>
      </c>
    </row>
    <row r="10" customFormat="false" ht="23.85" hidden="false" customHeight="false" outlineLevel="0" collapsed="false">
      <c r="A10" s="5" t="s">
        <v>553</v>
      </c>
      <c r="B10" s="5" t="s">
        <v>554</v>
      </c>
      <c r="C10" s="5" t="s">
        <v>555</v>
      </c>
      <c r="D10" s="5" t="s">
        <v>556</v>
      </c>
      <c r="E10" s="5" t="s">
        <v>557</v>
      </c>
      <c r="F10" s="5" t="s">
        <v>520</v>
      </c>
      <c r="G10" s="5"/>
    </row>
    <row r="11" customFormat="false" ht="23.85" hidden="false" customHeight="false" outlineLevel="0" collapsed="false">
      <c r="A11" s="5" t="s">
        <v>558</v>
      </c>
      <c r="B11" s="5" t="s">
        <v>559</v>
      </c>
      <c r="C11" s="5" t="s">
        <v>560</v>
      </c>
      <c r="D11" s="5" t="s">
        <v>561</v>
      </c>
      <c r="E11" s="5" t="s">
        <v>562</v>
      </c>
      <c r="F11" s="5" t="s">
        <v>520</v>
      </c>
      <c r="G11" s="5" t="s">
        <v>563</v>
      </c>
    </row>
    <row r="12" customFormat="false" ht="35.05" hidden="false" customHeight="false" outlineLevel="0" collapsed="false">
      <c r="A12" s="5" t="s">
        <v>487</v>
      </c>
      <c r="B12" s="5" t="s">
        <v>564</v>
      </c>
      <c r="C12" s="5" t="s">
        <v>565</v>
      </c>
      <c r="D12" s="5" t="s">
        <v>566</v>
      </c>
      <c r="E12" s="5" t="s">
        <v>567</v>
      </c>
      <c r="F12" s="5" t="s">
        <v>520</v>
      </c>
      <c r="G1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2026-10-21T11:00:18Z</dcterms:created>
  <dc:creator>openpyxl</dc:creator>
  <dc:description/>
  <dc:language>en-US</dc:language>
  <cp:lastModifiedBy/>
  <dcterms:modified xsi:type="dcterms:W3CDTF">2026-10-21T11:00:18Z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