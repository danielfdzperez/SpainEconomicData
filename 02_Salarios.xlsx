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EME" sheetId="1" state="visible" r:id="rId3"/>
    <sheet name="Resumen_Salarios" sheetId="2" state="visible" r:id="rId4"/>
    <sheet name="EES_Distribucion" sheetId="3" state="visible" r:id="rId5"/>
    <sheet name="EES_Moda" sheetId="4" state="visible" r:id="rId6"/>
    <sheet name="Estimacion_DesvTipica" sheetId="5" state="visible" r:id="rId7"/>
    <sheet name="EES_Edad" sheetId="6" state="visible" r:id="rId8"/>
    <sheet name="EES_CCAA_2024" sheetId="7" state="visible" r:id="rId9"/>
    <sheet name="EES_Sector_Ocup_Contrato" sheetId="8" state="visible" r:id="rId10"/>
    <sheet name="EES_Desigualdad_SMI" sheetId="9" state="visible" r:id="rId11"/>
    <sheet name="AEAT_Centiles_2024" sheetId="10" state="visible" r:id="rId12"/>
    <sheet name="SMI_Historico" sheetId="11" state="visible" r:id="rId13"/>
    <sheet name="FUENTES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<sst xmlns="http://schemas.openxmlformats.org/spreadsheetml/2006/main" count="1533" uniqueCount="660">
  <si>
    <t xml:space="preserve">Base de conocimiento — Salarios (España y Comunidad de Madrid)</t>
  </si>
  <si>
    <t xml:space="preserve">Descripción</t>
  </si>
  <si>
    <t xml:space="preserve">Salarios brutos anuales con la distribución más completa que ofrecen las fuentes públicas gratuitas: media, mediana, percentiles 10 y 90, cuartiles, moda (2022–2024), desigualdad (Gini, razones entre deciles), edad, sexo, comunidad autónoma, sector, ocupación, tipo de contrato y proporción de trabajadores por múltiplos del SMI. Se añade la distribución por centiles de la Agencia Tributaria (número de personas por tramo y salario medio por sexo) y el histórico del SMI.</t>
  </si>
  <si>
    <t xml:space="preserve">Fecha de consulta: 2026-10-21. La desviación típica NO la publica ningún organismo (solo con microdatos): la hoja Estimacion_DesvTipica ofrece una aproximación lognormal marcada en amarillo.</t>
  </si>
  <si>
    <t xml:space="preserve">Índice de hojas</t>
  </si>
  <si>
    <t xml:space="preserve">Hoja</t>
  </si>
  <si>
    <t xml:space="preserve">Contenido</t>
  </si>
  <si>
    <t xml:space="preserve">Cobertura</t>
  </si>
  <si>
    <t xml:space="preserve">Resumen_Salarios</t>
  </si>
  <si>
    <t xml:space="preserve">Cuadro 2024: media, mediana, percentiles, moda, ratios, brecha de género, DT estimada, SMI.</t>
  </si>
  <si>
    <t xml:space="preserve">2024</t>
  </si>
  <si>
    <t xml:space="preserve">EES_Distribucion</t>
  </si>
  <si>
    <t xml:space="preserve">Media, P10, cuartiles, mediana, P90 por sexo, España y Madrid.</t>
  </si>
  <si>
    <t xml:space="preserve">2008–2024</t>
  </si>
  <si>
    <t xml:space="preserve">EES_Moda</t>
  </si>
  <si>
    <t xml:space="preserve">Salario modal y detalle (nota de prensa INE).</t>
  </si>
  <si>
    <t xml:space="preserve">2022–2024, España</t>
  </si>
  <si>
    <t xml:space="preserve">Estimacion_DesvTipica</t>
  </si>
  <si>
    <t xml:space="preserve">Desviación típica aproximada por tres métodos lognormales, serie anual.</t>
  </si>
  <si>
    <t xml:space="preserve">2008–2024, España y Madrid</t>
  </si>
  <si>
    <t xml:space="preserve">EES_Edad</t>
  </si>
  <si>
    <t xml:space="preserve">Salario medio por tramo de edad y sexo (España 11 tramos; Madrid 5 tramos).</t>
  </si>
  <si>
    <t xml:space="preserve">EES_CCAA_2024</t>
  </si>
  <si>
    <t xml:space="preserve">Distribución del salario por CCAA con ratios y ranking (fórmulas).</t>
  </si>
  <si>
    <t xml:space="preserve">EES_Sector_Ocup_Contrato</t>
  </si>
  <si>
    <t xml:space="preserve">Salario medio por sector CNAE-09, ocupación CNO-11 y tipo de contrato (España).</t>
  </si>
  <si>
    <t xml:space="preserve">EES_Desigualdad_SMI</t>
  </si>
  <si>
    <t xml:space="preserve">Gini, tasa de salario bajo, razones de deciles y % de trabajadores por múltiplos del SMI.</t>
  </si>
  <si>
    <t xml:space="preserve">2008–2024, España</t>
  </si>
  <si>
    <t xml:space="preserve">AEAT_Centiles_2024</t>
  </si>
  <si>
    <t xml:space="preserve">Número de asalariados y salario medio por centil/decil y sexo (Agencia Tributaria).</t>
  </si>
  <si>
    <t xml:space="preserve">2024, España</t>
  </si>
  <si>
    <t xml:space="preserve">SMI_Historico</t>
  </si>
  <si>
    <t xml:space="preserve">Salario mínimo interprofesional y su relación con el salario mediano.</t>
  </si>
  <si>
    <t xml:space="preserve">2004–2026</t>
  </si>
  <si>
    <t xml:space="preserve">FUENTES</t>
  </si>
  <si>
    <t xml:space="preserve">Origen de cada bloque.</t>
  </si>
  <si>
    <t xml:space="preserve">Notas, límites y huecos conocidos</t>
  </si>
  <si>
    <t xml:space="preserve">• La EES mide el salario bruto anual por trabajador asalariado (incluye pagas extra y pagos irregulares), sin la sección A (agricultura) del CNAE. No equivale a ganancia por hora ni a coste laboral.</t>
  </si>
  <si>
    <t xml:space="preserve">• Fiabilidad: en las tablas del INE los valores negativos indican muestra de 100 a 500 observaciones (alta variabilidad) y las celdas vacías menos de 100. En este libro los negativos se guardan en positivo con fondo naranja.</t>
  </si>
  <si>
    <t xml:space="preserve">• Percentiles disponibles en la EES: P10, cuartiles, mediana y P90. Percentiles más extremos (P1, P5, P95, P99) solo existen en la hoja AEAT_Centiles_2024, que cubre otra población (asalariados con año completo y ≥ SMI) y no es directamente comparable con la EES.</t>
  </si>
  <si>
    <t xml:space="preserve">• Moda: el INE solo la menciona en las notas de prensa; se han recogido 2022, 2023 y 2024 (España). No hay moda para Madrid ni series anteriores.</t>
  </si>
  <si>
    <t xml:space="preserve">• Ruptura metodológica en los tramos de SMI (hoja EES_Desigualdad_SMI) entre 2018 y 2019: no comparar tasas de ambos periodos sin cautela.</t>
  </si>
  <si>
    <t xml:space="preserve">• Madrid solo tiene detalle completo en EES_Distribucion (por sexo) y EES_Edad (5 tramos). Sin sector/ocupación/contrato para Madrid ni percentiles AEAT de Madrid (hueco pendiente).</t>
  </si>
  <si>
    <t xml:space="preserve">• Huecos pendientes: coste laboral trimestral (ETCL, tabla 6061), salarios pactados en convenio, salarios por hora, decilas de salario de la EPA por CCAA (tabla 66241), tablas AEAT por edad/CCAA/provincia/sector, años anteriores a 2008.</t>
  </si>
  <si>
    <t xml:space="preserve">• SMI: 2018–2026 verificado contra dos fuentes en esta sesión; 2004–2017 son cifras históricas recordadas del BOE que deben contrastarse antes de citarlas.</t>
  </si>
  <si>
    <t xml:space="preserve">Convención de colores</t>
  </si>
  <si>
    <t xml:space="preserve">Azul: dato copiado de la fuente (valor fijo)</t>
  </si>
  <si>
    <t xml:space="preserve">Negro: fórmula de esta hoja</t>
  </si>
  <si>
    <t xml:space="preserve">Verde: fórmula que enlaza con otra hoja</t>
  </si>
  <si>
    <t xml:space="preserve">Fondo naranja claro: dato con muestra pequeña / poco fiable según la fuente</t>
  </si>
  <si>
    <t xml:space="preserve">Fondo amarillo claro: estimación no oficial (elaboración propia)</t>
  </si>
  <si>
    <t xml:space="preserve">Resumen de salarios — España y Comunidad de Madrid (salario bruto anual, euros)</t>
  </si>
  <si>
    <t xml:space="preserve">Último año disponible: 2024 (INE, Encuesta Anual de Estructura Salarial). Los valores enlazan con las hojas de detalle (verde).</t>
  </si>
  <si>
    <t xml:space="preserve">Medida 2024 (€/año)</t>
  </si>
  <si>
    <t xml:space="preserve">España ambos</t>
  </si>
  <si>
    <t xml:space="preserve">España mujeres</t>
  </si>
  <si>
    <t xml:space="preserve">España hombres</t>
  </si>
  <si>
    <t xml:space="preserve">Madrid ambos</t>
  </si>
  <si>
    <t xml:space="preserve">Madrid mujeres</t>
  </si>
  <si>
    <t xml:space="preserve">Madrid hombres</t>
  </si>
  <si>
    <t xml:space="preserve">Media</t>
  </si>
  <si>
    <t xml:space="preserve">Mediana</t>
  </si>
  <si>
    <t xml:space="preserve">Percentil 10</t>
  </si>
  <si>
    <t xml:space="preserve">Cuartil inferior</t>
  </si>
  <si>
    <t xml:space="preserve">Cuartil superior</t>
  </si>
  <si>
    <t xml:space="preserve">Percentil 90</t>
  </si>
  <si>
    <t xml:space="preserve">Moda (salario más frecuente)</t>
  </si>
  <si>
    <t xml:space="preserve">n.d.</t>
  </si>
  <si>
    <t xml:space="preserve">Indicadores derivados (fórmulas)</t>
  </si>
  <si>
    <t xml:space="preserve">Media / mediana</t>
  </si>
  <si>
    <t xml:space="preserve">P90 / P10</t>
  </si>
  <si>
    <t xml:space="preserve">Rango intercuartílico (€)</t>
  </si>
  <si>
    <t xml:space="preserve">Brecha de género en la media (1 − mujeres/hombres, %) [col. ambos sexos]</t>
  </si>
  <si>
    <t xml:space="preserve">Brecha de género en la mediana (1 − mujeres/hombres, %) [col. ambos sexos]</t>
  </si>
  <si>
    <t xml:space="preserve">Madrid vs España (ambos sexos): media / mediana (%)</t>
  </si>
  <si>
    <t xml:space="preserve">← diferencia % de la media (B) y de la mediana (C) de Madrid sobre la de España</t>
  </si>
  <si>
    <t xml:space="preserve">Desviación típica estimada 2024 (NO oficial, lognormal)</t>
  </si>
  <si>
    <t xml:space="preserve">Territorio</t>
  </si>
  <si>
    <t xml:space="preserve">DT (P90/P10)</t>
  </si>
  <si>
    <t xml:space="preserve">DT (cuartiles)</t>
  </si>
  <si>
    <t xml:space="preserve">DT (media/mediana)</t>
  </si>
  <si>
    <t xml:space="preserve">Coef. variación (P90/P10, %)</t>
  </si>
  <si>
    <t xml:space="preserve">Total Nacional</t>
  </si>
  <si>
    <t xml:space="preserve">Comunidad de Madrid</t>
  </si>
  <si>
    <t xml:space="preserve">SMI y evolución</t>
  </si>
  <si>
    <t xml:space="preserve">SMI 2026, mensual en 14 pagas (€)</t>
  </si>
  <si>
    <t xml:space="preserve">SMI 2026, anual (€)</t>
  </si>
  <si>
    <t xml:space="preserve">SMI 2024 anual / salario mediano España 2024 (%)</t>
  </si>
  <si>
    <t xml:space="preserve">Crecimiento nominal de la media 2008–2024, España (%)</t>
  </si>
  <si>
    <t xml:space="preserve">Crecimiento nominal de la media 2008–2024, Madrid (%)</t>
  </si>
  <si>
    <t xml:space="preserve">Crecimiento nominal de la mediana 2008–2024, España (%)</t>
  </si>
  <si>
    <t xml:space="preserve">Crecimiento nominal de la mediana 2008–2024, Madrid (%)</t>
  </si>
  <si>
    <t xml:space="preserve">cod_INE</t>
  </si>
  <si>
    <t xml:space="preserve">sexo</t>
  </si>
  <si>
    <t xml:space="preserve">territorio</t>
  </si>
  <si>
    <t xml:space="preserve">medida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</si>
  <si>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</si>
  <si>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</si>
  <si>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</si>
  <si>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</si>
  <si>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</si>
  <si>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</si>
  <si>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</si>
  <si>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</si>
  <si>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</si>
  <si>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</si>
  <si>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</si>
  <si>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</si>
  <si>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</si>
  <si>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</si>
  <si>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</si>
  <si>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</si>
  <si>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EAES741</t>
  </si>
  <si>
    <t xml:space="preserve">Ambos sexos</t>
  </si>
  <si>
    <t xml:space="preserve">EAES740</t>
  </si>
  <si>
    <t xml:space="preserve">EAES739</t>
  </si>
  <si>
    <t xml:space="preserve">EAES738</t>
  </si>
  <si>
    <t xml:space="preserve">EAES737</t>
  </si>
  <si>
    <t xml:space="preserve">EAES736</t>
  </si>
  <si>
    <t xml:space="preserve">EAES633</t>
  </si>
  <si>
    <t xml:space="preserve">Mujeres</t>
  </si>
  <si>
    <t xml:space="preserve">EAES632</t>
  </si>
  <si>
    <t xml:space="preserve">EAES631</t>
  </si>
  <si>
    <t xml:space="preserve">EAES630</t>
  </si>
  <si>
    <t xml:space="preserve">EAES629</t>
  </si>
  <si>
    <t xml:space="preserve">EAES628</t>
  </si>
  <si>
    <t xml:space="preserve">EAES525</t>
  </si>
  <si>
    <t xml:space="preserve">Hombres</t>
  </si>
  <si>
    <t xml:space="preserve">EAES524</t>
  </si>
  <si>
    <t xml:space="preserve">EAES523</t>
  </si>
  <si>
    <t xml:space="preserve">EAES522</t>
  </si>
  <si>
    <t xml:space="preserve">EAES521</t>
  </si>
  <si>
    <t xml:space="preserve">EAES520</t>
  </si>
  <si>
    <t xml:space="preserve">EAES663</t>
  </si>
  <si>
    <t xml:space="preserve">EAES662</t>
  </si>
  <si>
    <t xml:space="preserve">EAES661</t>
  </si>
  <si>
    <t xml:space="preserve">EAES660</t>
  </si>
  <si>
    <t xml:space="preserve">EAES659</t>
  </si>
  <si>
    <t xml:space="preserve">EAES658</t>
  </si>
  <si>
    <t xml:space="preserve">EAES555</t>
  </si>
  <si>
    <t xml:space="preserve">EAES554</t>
  </si>
  <si>
    <t xml:space="preserve">EAES553</t>
  </si>
  <si>
    <t xml:space="preserve">EAES552</t>
  </si>
  <si>
    <t xml:space="preserve">EAES551</t>
  </si>
  <si>
    <t xml:space="preserve">EAES550</t>
  </si>
  <si>
    <t xml:space="preserve">EAES447</t>
  </si>
  <si>
    <t xml:space="preserve">EAES446</t>
  </si>
  <si>
    <t xml:space="preserve">EAES445</t>
  </si>
  <si>
    <t xml:space="preserve">EAES444</t>
  </si>
  <si>
    <t xml:space="preserve">EAES443</t>
  </si>
  <si>
    <t xml:space="preserve">EAES442</t>
  </si>
  <si>
    <t xml:space="preserve">anio</t>
  </si>
  <si>
    <t xml:space="preserve">salario_medio</t>
  </si>
  <si>
    <t xml:space="preserve">salario_mediano</t>
  </si>
  <si>
    <t xml:space="preserve">salario_modal</t>
  </si>
  <si>
    <t xml:space="preserve">media/mediana</t>
  </si>
  <si>
    <t xml:space="preserve">media/moda</t>
  </si>
  <si>
    <t xml:space="preserve">detalle</t>
  </si>
  <si>
    <t xml:space="preserve">fuente</t>
  </si>
  <si>
    <t xml:space="preserve">Moda en torno a 14.586,44 € (4,2% de asalariados); picos similares en 16.495,84 € (4,2%) y 18.494,32 € (4,1%); intervalo más frecuente 14.000-15.000 €</t>
  </si>
  <si>
    <t xml:space="preserve">INE nota de prensa EES 2022</t>
  </si>
  <si>
    <t xml:space="preserve">Moda en torno a 15.574,85 € (4,6% de asalariados); intervalo más frecuente 15.000-16.000 €</t>
  </si>
  <si>
    <t xml:space="preserve">INE nota de prensa EAES 2023</t>
  </si>
  <si>
    <t xml:space="preserve">Intervalo más frecuente 16.000-17.000 € (3,8% de asalariados); 16.000-23.000 € concentra el 29,5%</t>
  </si>
  <si>
    <t xml:space="preserve">INE nota de prensa EAES 2024 (28 mayo 2026)</t>
  </si>
  <si>
    <t xml:space="preserve">Salario bruto anual en euros, ambos sexos, España. El INE solo da la moda en la nota de prensa, no en las tablas de la API; Madrid no la publica. Se recogen únicamente los tres años consultados.</t>
  </si>
  <si>
    <t xml:space="preserve">ESTIMACIÓN NO OFICIAL de la desviación típica del salario bruto anual (ambos sexos)</t>
  </si>
  <si>
    <t xml:space="preserve">El INE no publica la desviación típica (solo microdatos). Aquí se aproxima suponiendo una distribución lognormal ajustada con (a) P90/P10, (b) cuartiles y (c) media/mediana. Orden de magnitud, no dato oficial.</t>
  </si>
  <si>
    <t xml:space="preserve">Año</t>
  </si>
  <si>
    <t xml:space="preserve">P10</t>
  </si>
  <si>
    <t xml:space="preserve">Cuartil inf.</t>
  </si>
  <si>
    <t xml:space="preserve">Cuartil sup.</t>
  </si>
  <si>
    <t xml:space="preserve">P90</t>
  </si>
  <si>
    <t xml:space="preserve">σ (P90/P10)</t>
  </si>
  <si>
    <t xml:space="preserve">σ (cuartiles)</t>
  </si>
  <si>
    <t xml:space="preserve">σ (media/mediana)</t>
  </si>
  <si>
    <t xml:space="preserve">DT est. (P90/P10)</t>
  </si>
  <si>
    <t xml:space="preserve">DT est. (cuartiles)</t>
  </si>
  <si>
    <t xml:space="preserve">DT est. (media/mediana)</t>
  </si>
  <si>
    <t xml:space="preserve">Coef. variación est. (%) (P90/P10)</t>
  </si>
  <si>
    <t xml:space="preserve">Método: si ln(salario) ~ Normal(m, σ²), SD = media × √(e^σ² − 1); σ se obtiene de los percentiles (P90/P10: ln(P90/P10)/(2·z0,9); cuartiles: ln(Q3/Q1)/(2·z0,75)) o de la relación media/mediana (σ = √(2·ln(media/mediana))). La cola derecha real es más pesada que la lognormal, por lo que la DT real tiende a ser superior. Usar como referencia, no como cifra oficial.</t>
  </si>
  <si>
    <t xml:space="preserve">tabla_INE</t>
  </si>
  <si>
    <t xml:space="preserve">edad</t>
  </si>
  <si>
    <t xml:space="preserve">28189</t>
  </si>
  <si>
    <t xml:space="preserve">EAES399</t>
  </si>
  <si>
    <t xml:space="preserve">Todas las edades</t>
  </si>
  <si>
    <t xml:space="preserve">EAES398</t>
  </si>
  <si>
    <t xml:space="preserve">Menos de 20</t>
  </si>
  <si>
    <t xml:space="preserve">EAES396</t>
  </si>
  <si>
    <t xml:space="preserve">20 a 24</t>
  </si>
  <si>
    <t xml:space="preserve">EAES395</t>
  </si>
  <si>
    <t xml:space="preserve">25 a 29</t>
  </si>
  <si>
    <t xml:space="preserve">EAES394</t>
  </si>
  <si>
    <t xml:space="preserve">30 a 34</t>
  </si>
  <si>
    <t xml:space="preserve">EAES393</t>
  </si>
  <si>
    <t xml:space="preserve">35 a 39</t>
  </si>
  <si>
    <t xml:space="preserve">EAES392</t>
  </si>
  <si>
    <t xml:space="preserve">40 a 44</t>
  </si>
  <si>
    <t xml:space="preserve">EAES391</t>
  </si>
  <si>
    <t xml:space="preserve">45 a 49</t>
  </si>
  <si>
    <t xml:space="preserve">EAES390</t>
  </si>
  <si>
    <t xml:space="preserve">50 a 54</t>
  </si>
  <si>
    <t xml:space="preserve">EAES389</t>
  </si>
  <si>
    <t xml:space="preserve">55 a 59</t>
  </si>
  <si>
    <t xml:space="preserve">EAES388</t>
  </si>
  <si>
    <t xml:space="preserve">60 a 64</t>
  </si>
  <si>
    <t xml:space="preserve">EAES397</t>
  </si>
  <si>
    <t xml:space="preserve">65 y más</t>
  </si>
  <si>
    <t xml:space="preserve">EAES387</t>
  </si>
  <si>
    <t xml:space="preserve">EAES386</t>
  </si>
  <si>
    <t xml:space="preserve">EAES384</t>
  </si>
  <si>
    <t xml:space="preserve">EAES383</t>
  </si>
  <si>
    <t xml:space="preserve">EAES382</t>
  </si>
  <si>
    <t xml:space="preserve">EAES381</t>
  </si>
  <si>
    <t xml:space="preserve">EAES380</t>
  </si>
  <si>
    <t xml:space="preserve">EAES379</t>
  </si>
  <si>
    <t xml:space="preserve">EAES378</t>
  </si>
  <si>
    <t xml:space="preserve">EAES377</t>
  </si>
  <si>
    <t xml:space="preserve">EAES376</t>
  </si>
  <si>
    <t xml:space="preserve">EAES385</t>
  </si>
  <si>
    <t xml:space="preserve">EAES375</t>
  </si>
  <si>
    <t xml:space="preserve">EAES374</t>
  </si>
  <si>
    <t xml:space="preserve">EAES372</t>
  </si>
  <si>
    <t xml:space="preserve">EAES371</t>
  </si>
  <si>
    <t xml:space="preserve">EAES370</t>
  </si>
  <si>
    <t xml:space="preserve">EAES369</t>
  </si>
  <si>
    <t xml:space="preserve">EAES368</t>
  </si>
  <si>
    <t xml:space="preserve">EAES367</t>
  </si>
  <si>
    <t xml:space="preserve">EAES366</t>
  </si>
  <si>
    <t xml:space="preserve">EAES365</t>
  </si>
  <si>
    <t xml:space="preserve">EAES364</t>
  </si>
  <si>
    <t xml:space="preserve">EAES373</t>
  </si>
  <si>
    <t xml:space="preserve">28201</t>
  </si>
  <si>
    <t xml:space="preserve">EAES1624</t>
  </si>
  <si>
    <t xml:space="preserve">Menos de 25</t>
  </si>
  <si>
    <t xml:space="preserve">EAES1517</t>
  </si>
  <si>
    <t xml:space="preserve">EAES1410</t>
  </si>
  <si>
    <t xml:space="preserve">EAES1588</t>
  </si>
  <si>
    <t xml:space="preserve">25 a 34</t>
  </si>
  <si>
    <t xml:space="preserve">EAES1481</t>
  </si>
  <si>
    <t xml:space="preserve">EAES1374</t>
  </si>
  <si>
    <t xml:space="preserve">EAES1570</t>
  </si>
  <si>
    <t xml:space="preserve">35 a 44</t>
  </si>
  <si>
    <t xml:space="preserve">EAES1463</t>
  </si>
  <si>
    <t xml:space="preserve">EAES1356</t>
  </si>
  <si>
    <t xml:space="preserve">EAES1552</t>
  </si>
  <si>
    <t xml:space="preserve">45 a 54</t>
  </si>
  <si>
    <t xml:space="preserve">EAES1445</t>
  </si>
  <si>
    <t xml:space="preserve">EAES1338</t>
  </si>
  <si>
    <t xml:space="preserve">EAES1606</t>
  </si>
  <si>
    <t xml:space="preserve">55 y más</t>
  </si>
  <si>
    <t xml:space="preserve">EAES1499</t>
  </si>
  <si>
    <t xml:space="preserve">EAES1392</t>
  </si>
  <si>
    <t xml:space="preserve">EAES1611</t>
  </si>
  <si>
    <t xml:space="preserve">EAES1504</t>
  </si>
  <si>
    <t xml:space="preserve">EAES1397</t>
  </si>
  <si>
    <t xml:space="preserve">EAES1575</t>
  </si>
  <si>
    <t xml:space="preserve">EAES1468</t>
  </si>
  <si>
    <t xml:space="preserve">EAES1361</t>
  </si>
  <si>
    <t xml:space="preserve">EAES1557</t>
  </si>
  <si>
    <t xml:space="preserve">EAES1450</t>
  </si>
  <si>
    <t xml:space="preserve">EAES1343</t>
  </si>
  <si>
    <t xml:space="preserve">EAES1539</t>
  </si>
  <si>
    <t xml:space="preserve">EAES1432</t>
  </si>
  <si>
    <t xml:space="preserve">EAES1325</t>
  </si>
  <si>
    <t xml:space="preserve">EAES1593</t>
  </si>
  <si>
    <t xml:space="preserve">EAES1486</t>
  </si>
  <si>
    <t xml:space="preserve">EAES1379</t>
  </si>
  <si>
    <t xml:space="preserve">EAES1629</t>
  </si>
  <si>
    <t xml:space="preserve">EAES1522</t>
  </si>
  <si>
    <t xml:space="preserve">EAES1415</t>
  </si>
  <si>
    <t xml:space="preserve">Salario medio bruto anual (euros). Tabla 28189: España, 11 tramos de edad × sexo. Tabla 28201: España y Madrid, 5 tramos × sexo. Naranja = muestra de 100 a 500 observaciones (el INE publica el dato en negativo); celda vacía = menos de 100 observaciones (n.d.).</t>
  </si>
  <si>
    <t xml:space="preserve">media</t>
  </si>
  <si>
    <t xml:space="preserve">cuartil_inf</t>
  </si>
  <si>
    <t xml:space="preserve">mediana</t>
  </si>
  <si>
    <t xml:space="preserve">cuartil_sup</t>
  </si>
  <si>
    <t xml:space="preserve">P90/P10</t>
  </si>
  <si>
    <t xml:space="preserve">dif_media_vs_Nacional_€</t>
  </si>
  <si>
    <t xml:space="preserve">dif_media_vs_Nacional_%</t>
  </si>
  <si>
    <t xml:space="preserve">ranking_media (1=mayor)</t>
  </si>
  <si>
    <t xml:space="preserve">Andalucía</t>
  </si>
  <si>
    <t xml:space="preserve">Aragón</t>
  </si>
  <si>
    <t xml:space="preserve">Asturias, Principado de</t>
  </si>
  <si>
    <t xml:space="preserve">Balears, Illes</t>
  </si>
  <si>
    <t xml:space="preserve">Canarias</t>
  </si>
  <si>
    <t xml:space="preserve">Cantabria</t>
  </si>
  <si>
    <t xml:space="preserve">Castilla y León</t>
  </si>
  <si>
    <t xml:space="preserve">Castilla - La Mancha</t>
  </si>
  <si>
    <t xml:space="preserve">Cataluña</t>
  </si>
  <si>
    <t xml:space="preserve">Comunitat Valenciana</t>
  </si>
  <si>
    <t xml:space="preserve">Extremadura</t>
  </si>
  <si>
    <t xml:space="preserve">Galicia</t>
  </si>
  <si>
    <t xml:space="preserve">Madrid, Comunidad de</t>
  </si>
  <si>
    <t xml:space="preserve">Murcia, Región de</t>
  </si>
  <si>
    <t xml:space="preserve">Navarra, Comunidad Foral de</t>
  </si>
  <si>
    <t xml:space="preserve">País Vasco</t>
  </si>
  <si>
    <t xml:space="preserve">Rioja, La</t>
  </si>
  <si>
    <t xml:space="preserve">Salario bruto anual 2024, ambos sexos, euros (INE EAES, tabla 28191 por CCAA). Los ratios y diferencias son fórmulas.</t>
  </si>
  <si>
    <t xml:space="preserve">dimension</t>
  </si>
  <si>
    <t xml:space="preserve">categoria</t>
  </si>
  <si>
    <t xml:space="preserve">var_nominal_2008-2024_%</t>
  </si>
  <si>
    <t xml:space="preserve">vs_media_total_2024_%</t>
  </si>
  <si>
    <t xml:space="preserve">Sector (CNAE-09)</t>
  </si>
  <si>
    <t xml:space="preserve">28185</t>
  </si>
  <si>
    <t xml:space="preserve">EAES291</t>
  </si>
  <si>
    <t xml:space="preserve">Total</t>
  </si>
  <si>
    <t xml:space="preserve">EAES290</t>
  </si>
  <si>
    <t xml:space="preserve">B Industrias extractivas</t>
  </si>
  <si>
    <t xml:space="preserve">EAES289</t>
  </si>
  <si>
    <t xml:space="preserve">C Industria manufacturera</t>
  </si>
  <si>
    <t xml:space="preserve">EAES288</t>
  </si>
  <si>
    <t xml:space="preserve">D Energía eléctrica gas vapor aire acond.</t>
  </si>
  <si>
    <t xml:space="preserve">EAES287</t>
  </si>
  <si>
    <t xml:space="preserve">E Agua saneamiento residuos</t>
  </si>
  <si>
    <t xml:space="preserve">EAES286</t>
  </si>
  <si>
    <t xml:space="preserve">F Construcción</t>
  </si>
  <si>
    <t xml:space="preserve">EAES285</t>
  </si>
  <si>
    <t xml:space="preserve">G Comercio</t>
  </si>
  <si>
    <t xml:space="preserve">EAES284</t>
  </si>
  <si>
    <t xml:space="preserve">H Transporte y almacenamiento</t>
  </si>
  <si>
    <t xml:space="preserve">EAES283</t>
  </si>
  <si>
    <t xml:space="preserve">I Hostelería</t>
  </si>
  <si>
    <t xml:space="preserve">EAES282</t>
  </si>
  <si>
    <t xml:space="preserve">J Información y comunicaciones</t>
  </si>
  <si>
    <t xml:space="preserve">EAES281</t>
  </si>
  <si>
    <t xml:space="preserve">K Financieras y seguros</t>
  </si>
  <si>
    <t xml:space="preserve">EAES280</t>
  </si>
  <si>
    <t xml:space="preserve">L Inmobiliarias</t>
  </si>
  <si>
    <t xml:space="preserve">EAES279</t>
  </si>
  <si>
    <t xml:space="preserve">M Profesionales científicas y técnicas</t>
  </si>
  <si>
    <t xml:space="preserve">EAES278</t>
  </si>
  <si>
    <t xml:space="preserve">N Administrativas y auxiliares</t>
  </si>
  <si>
    <t xml:space="preserve">EAES277</t>
  </si>
  <si>
    <t xml:space="preserve">O Administración pública y defensa</t>
  </si>
  <si>
    <t xml:space="preserve">EAES276</t>
  </si>
  <si>
    <t xml:space="preserve">P Educación</t>
  </si>
  <si>
    <t xml:space="preserve">EAES275</t>
  </si>
  <si>
    <t xml:space="preserve">Q Sanitarias y servicios sociales</t>
  </si>
  <si>
    <t xml:space="preserve">EAES274</t>
  </si>
  <si>
    <t xml:space="preserve">R Artísticas recreativas y entretenimiento</t>
  </si>
  <si>
    <t xml:space="preserve">EAES273</t>
  </si>
  <si>
    <t xml:space="preserve">S Otros servicios</t>
  </si>
  <si>
    <t xml:space="preserve">Ocupación (CNO-11)</t>
  </si>
  <si>
    <t xml:space="preserve">28186</t>
  </si>
  <si>
    <t xml:space="preserve">EAES2556</t>
  </si>
  <si>
    <t xml:space="preserve">Todas las ocupaciones</t>
  </si>
  <si>
    <t xml:space="preserve">EAES2553</t>
  </si>
  <si>
    <t xml:space="preserve">Directores y gerentes</t>
  </si>
  <si>
    <t xml:space="preserve">EAES2550</t>
  </si>
  <si>
    <t xml:space="preserve">Técnicos y profesionales científicos e intelectuales de salud y enseñanza</t>
  </si>
  <si>
    <t xml:space="preserve">EAES2547</t>
  </si>
  <si>
    <t xml:space="preserve">Otros técnicos y profesionales científicos e intelectuales</t>
  </si>
  <si>
    <t xml:space="preserve">EAES2544</t>
  </si>
  <si>
    <t xml:space="preserve">Técnicos y profesionales de apoyo</t>
  </si>
  <si>
    <t xml:space="preserve">EAES2541</t>
  </si>
  <si>
    <t xml:space="preserve">Empleados de oficina que no atienden al público</t>
  </si>
  <si>
    <t xml:space="preserve">EAES2538</t>
  </si>
  <si>
    <t xml:space="preserve">Empleados de oficina que atienden al público</t>
  </si>
  <si>
    <t xml:space="preserve">EAES2535</t>
  </si>
  <si>
    <t xml:space="preserve">Trabajadores de restauración y comercio</t>
  </si>
  <si>
    <t xml:space="preserve">EAES2532</t>
  </si>
  <si>
    <t xml:space="preserve">Trabajadores de servicios de salud y cuidado de personas</t>
  </si>
  <si>
    <t xml:space="preserve">EAES2529</t>
  </si>
  <si>
    <t xml:space="preserve">Trabajadores de servicios de protección y seguridad</t>
  </si>
  <si>
    <t xml:space="preserve">EAES2526</t>
  </si>
  <si>
    <t xml:space="preserve">Trabajadores cualificados agrícolas ganaderos forestales y pesqueros</t>
  </si>
  <si>
    <t xml:space="preserve">EAES2523</t>
  </si>
  <si>
    <t xml:space="preserve">Cualificados de la construcción (excepto operadores)</t>
  </si>
  <si>
    <t xml:space="preserve">EAES2520</t>
  </si>
  <si>
    <t xml:space="preserve">Cualificados de industrias manufactureras (excepto operadores)</t>
  </si>
  <si>
    <t xml:space="preserve">EAES2517</t>
  </si>
  <si>
    <t xml:space="preserve">Operadores de instalaciones y maquinaria fijas y montadores</t>
  </si>
  <si>
    <t xml:space="preserve">EAES2514</t>
  </si>
  <si>
    <t xml:space="preserve">Conductores y operadores de maquinaria móvil</t>
  </si>
  <si>
    <t xml:space="preserve">EAES2511</t>
  </si>
  <si>
    <t xml:space="preserve">No cualificados en servicios (excepto transportes)</t>
  </si>
  <si>
    <t xml:space="preserve">EAES2508</t>
  </si>
  <si>
    <t xml:space="preserve">Peones de agricultura pesca construcción industria y transportes</t>
  </si>
  <si>
    <t xml:space="preserve">Tipo de contrato</t>
  </si>
  <si>
    <t xml:space="preserve">28188</t>
  </si>
  <si>
    <t xml:space="preserve">EAES363</t>
  </si>
  <si>
    <t xml:space="preserve">EAES361</t>
  </si>
  <si>
    <t xml:space="preserve">Indefinido</t>
  </si>
  <si>
    <t xml:space="preserve">EAES362</t>
  </si>
  <si>
    <t xml:space="preserve">Temporal</t>
  </si>
  <si>
    <t xml:space="preserve">Salario medio bruto anual (euros), España. Sector CNAE-09 (secciones B–S: la EES no cubre la sección A, agricultura), ocupación CNO-11 y tipo de contrato. Madrid no se descargó por sector/ocupación.</t>
  </si>
  <si>
    <t xml:space="preserve">concepto</t>
  </si>
  <si>
    <t xml:space="preserve">28184</t>
  </si>
  <si>
    <t xml:space="preserve">EAES234</t>
  </si>
  <si>
    <t xml:space="preserve">Índice de Gini (salario)</t>
  </si>
  <si>
    <t xml:space="preserve">EAES233</t>
  </si>
  <si>
    <t xml:space="preserve">% trabajadores con ganancia baja (low pay rate)</t>
  </si>
  <si>
    <t xml:space="preserve">EAES232</t>
  </si>
  <si>
    <t xml:space="preserve">% de mujeres en el total de asalariados con ganancia baja</t>
  </si>
  <si>
    <t xml:space="preserve">EAES231</t>
  </si>
  <si>
    <t xml:space="preserve">D9/D5 (decil 9 / mediana ganancia por hora)</t>
  </si>
  <si>
    <t xml:space="preserve">EAES230</t>
  </si>
  <si>
    <t xml:space="preserve">D5/D1 (mediana / decil 1 ganancia por hora)</t>
  </si>
  <si>
    <t xml:space="preserve">EAES229</t>
  </si>
  <si>
    <t xml:space="preserve">D9/D1 (decil 9 / decil 1 ganancia por hora)</t>
  </si>
  <si>
    <t xml:space="preserve">28182</t>
  </si>
  <si>
    <t xml:space="preserve">EAES59</t>
  </si>
  <si>
    <t xml:space="preserve">% trabajadores con salario 0-1 SMI</t>
  </si>
  <si>
    <t xml:space="preserve">EAES39</t>
  </si>
  <si>
    <t xml:space="preserve">EAES19</t>
  </si>
  <si>
    <t xml:space="preserve">EAES58</t>
  </si>
  <si>
    <t xml:space="preserve">% trabajadores con salario 1-2 SMI</t>
  </si>
  <si>
    <t xml:space="preserve">EAES38</t>
  </si>
  <si>
    <t xml:space="preserve">EAES18</t>
  </si>
  <si>
    <t xml:space="preserve">EAES57</t>
  </si>
  <si>
    <t xml:space="preserve">% trabajadores con salario 2-3 SMI</t>
  </si>
  <si>
    <t xml:space="preserve">EAES37</t>
  </si>
  <si>
    <t xml:space="preserve">EAES17</t>
  </si>
  <si>
    <t xml:space="preserve">EAES56</t>
  </si>
  <si>
    <t xml:space="preserve">% trabajadores con salario 3-4 SMI</t>
  </si>
  <si>
    <t xml:space="preserve">EAES36</t>
  </si>
  <si>
    <t xml:space="preserve">EAES16</t>
  </si>
  <si>
    <t xml:space="preserve">EAES55</t>
  </si>
  <si>
    <t xml:space="preserve">% trabajadores con salario 4-5 SMI</t>
  </si>
  <si>
    <t xml:space="preserve">EAES35</t>
  </si>
  <si>
    <t xml:space="preserve">EAES15</t>
  </si>
  <si>
    <t xml:space="preserve">EAES54</t>
  </si>
  <si>
    <t xml:space="preserve">% trabajadores con salario 5-6 SMI</t>
  </si>
  <si>
    <t xml:space="preserve">EAES34</t>
  </si>
  <si>
    <t xml:space="preserve">EAES14</t>
  </si>
  <si>
    <t xml:space="preserve">EAES53</t>
  </si>
  <si>
    <t xml:space="preserve">% trabajadores con salario 6-7 SMI</t>
  </si>
  <si>
    <t xml:space="preserve">EAES33</t>
  </si>
  <si>
    <t xml:space="preserve">EAES13</t>
  </si>
  <si>
    <t xml:space="preserve">EAES52</t>
  </si>
  <si>
    <t xml:space="preserve">% trabajadores con salario 7-8 SMI</t>
  </si>
  <si>
    <t xml:space="preserve">EAES32</t>
  </si>
  <si>
    <t xml:space="preserve">EAES12</t>
  </si>
  <si>
    <t xml:space="preserve">EAES51</t>
  </si>
  <si>
    <t xml:space="preserve">% trabajadores con salario &gt;8 SMI</t>
  </si>
  <si>
    <t xml:space="preserve">EAES31</t>
  </si>
  <si>
    <t xml:space="preserve">EAES11</t>
  </si>
  <si>
    <t xml:space="preserve">EAES49</t>
  </si>
  <si>
    <t xml:space="preserve">% trabajadores a tiempo completo con salario 0-1 SMI</t>
  </si>
  <si>
    <t xml:space="preserve">EAES29</t>
  </si>
  <si>
    <t xml:space="preserve">EAES9</t>
  </si>
  <si>
    <t xml:space="preserve">EAES48</t>
  </si>
  <si>
    <t xml:space="preserve">% trabajadores a tiempo completo con salario 1-2 SMI</t>
  </si>
  <si>
    <t xml:space="preserve">EAES28</t>
  </si>
  <si>
    <t xml:space="preserve">EAES8</t>
  </si>
  <si>
    <t xml:space="preserve">EAES47</t>
  </si>
  <si>
    <t xml:space="preserve">% trabajadores a tiempo completo con salario 2-3 SMI</t>
  </si>
  <si>
    <t xml:space="preserve">EAES27</t>
  </si>
  <si>
    <t xml:space="preserve">EAES7</t>
  </si>
  <si>
    <t xml:space="preserve">EAES46</t>
  </si>
  <si>
    <t xml:space="preserve">% trabajadores a tiempo completo con salario 3-4 SMI</t>
  </si>
  <si>
    <t xml:space="preserve">EAES26</t>
  </si>
  <si>
    <t xml:space="preserve">EAES6</t>
  </si>
  <si>
    <t xml:space="preserve">EAES45</t>
  </si>
  <si>
    <t xml:space="preserve">% trabajadores a tiempo completo con salario 4-5 SMI</t>
  </si>
  <si>
    <t xml:space="preserve">EAES25</t>
  </si>
  <si>
    <t xml:space="preserve">EAES5</t>
  </si>
  <si>
    <t xml:space="preserve">EAES44</t>
  </si>
  <si>
    <t xml:space="preserve">% trabajadores a tiempo completo con salario 5-6 SMI</t>
  </si>
  <si>
    <t xml:space="preserve">EAES24</t>
  </si>
  <si>
    <t xml:space="preserve">EAES4</t>
  </si>
  <si>
    <t xml:space="preserve">EAES43</t>
  </si>
  <si>
    <t xml:space="preserve">% trabajadores a tiempo completo con salario 6-7 SMI</t>
  </si>
  <si>
    <t xml:space="preserve">EAES23</t>
  </si>
  <si>
    <t xml:space="preserve">EAES3</t>
  </si>
  <si>
    <t xml:space="preserve">EAES42</t>
  </si>
  <si>
    <t xml:space="preserve">% trabajadores a tiempo completo con salario 7-8 SMI</t>
  </si>
  <si>
    <t xml:space="preserve">Tabla 28184: Gini del salario, tasa de ganancia baja y razones entre deciles (ganancia por hora). Tabla 28182: % de trabajadores por tramos de múltiplos del SMI (total y a tiempo completo). ATENCIÓN: ruptura metodológica entre 2018 y 2019 en los tramos de SMI (el INE cambia la referencia). Celdas vacías = no disponible en la API.</t>
  </si>
  <si>
    <t xml:space="preserve">tipo</t>
  </si>
  <si>
    <t xml:space="preserve">grupo</t>
  </si>
  <si>
    <t xml:space="preserve">trabajadores_total</t>
  </si>
  <si>
    <t xml:space="preserve">salario_medio_total</t>
  </si>
  <si>
    <t xml:space="preserve">trabajadores_varones</t>
  </si>
  <si>
    <t xml:space="preserve">salario_medio_varones</t>
  </si>
  <si>
    <t xml:space="preserve">trabajadoras_mujeres</t>
  </si>
  <si>
    <t xml:space="preserve">salario_medio_mujeres</t>
  </si>
  <si>
    <t xml:space="preserve">extremo_superior</t>
  </si>
  <si>
    <t xml:space="preserve">asalariados_acum_%</t>
  </si>
  <si>
    <t xml:space="preserve">masa_salarial_acum_%</t>
  </si>
  <si>
    <t xml:space="preserve">%_mujeres_en_grupo</t>
  </si>
  <si>
    <t xml:space="preserve">brecha_salarial_media_mujer_vs_varon_%</t>
  </si>
  <si>
    <t xml:space="preserve">Decil</t>
  </si>
  <si>
    <t xml:space="preserve">Decil 1</t>
  </si>
  <si>
    <t xml:space="preserve">Centil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</si>
  <si>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</si>
  <si>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</si>
  <si>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</si>
  <si>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</si>
  <si>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</si>
  <si>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</si>
  <si>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</si>
  <si>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</si>
  <si>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</si>
  <si>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</si>
  <si>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Decil 2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</si>
  <si>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</si>
  <si>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</si>
  <si>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</si>
  <si>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</si>
  <si>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</si>
  <si>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</si>
  <si>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</si>
  <si>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</si>
  <si>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</si>
  <si>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</si>
  <si>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Decil 3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</si>
  <si>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</si>
  <si>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</si>
  <si>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</si>
  <si>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</si>
  <si>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</si>
  <si>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</si>
  <si>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</si>
  <si>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</si>
  <si>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</si>
  <si>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</si>
  <si>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Decil 4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</si>
  <si>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</si>
  <si>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</si>
  <si>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</si>
  <si>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</si>
  <si>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</si>
  <si>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</si>
  <si>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</si>
  <si>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</si>
  <si>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</si>
  <si>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</si>
  <si>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Decil 5 (Mediana)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</si>
  <si>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</si>
  <si>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</si>
  <si>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</si>
  <si>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</si>
  <si>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</si>
  <si>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</si>
  <si>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</si>
  <si>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</si>
  <si>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</si>
  <si>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</si>
  <si>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Decil 6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</si>
  <si>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</si>
  <si>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</si>
  <si>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</si>
  <si>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</si>
  <si>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</si>
  <si>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</si>
  <si>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</si>
  <si>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</si>
  <si>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</si>
  <si>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</si>
  <si>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Decil 7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</si>
  <si>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</si>
  <si>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</si>
  <si>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</si>
  <si>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</si>
  <si>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</si>
  <si>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</si>
  <si>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</si>
  <si>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</si>
  <si>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</si>
  <si>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</si>
  <si>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Decil 8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</si>
  <si>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</si>
  <si>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</si>
  <si>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</si>
  <si>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</si>
  <si>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</si>
  <si>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</si>
  <si>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</si>
  <si>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</si>
  <si>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</si>
  <si>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80</t>
  </si>
  <si>
    <t xml:space="preserve">Decil 9</t>
  </si>
  <si>
    <t xml:space="preserve">81</t>
  </si>
  <si>
    <t xml:space="preserve">82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</si>
  <si>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</si>
  <si>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</si>
  <si>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</si>
  <si>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</si>
  <si>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</si>
  <si>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</si>
  <si>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</si>
  <si>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90</t>
  </si>
  <si>
    <t xml:space="preserve">Decil 10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</si>
  <si>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</si>
  <si>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</si>
  <si>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</si>
  <si>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</si>
  <si>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</si>
  <si>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96</t>
  </si>
  <si>
    <t xml:space="preserve">97</t>
  </si>
  <si>
    <t xml:space="preserve">98</t>
  </si>
  <si>
    <t xml:space="preserve">99</t>
  </si>
  <si>
    <t xml:space="preserve">100</t>
  </si>
  <si>
    <t xml:space="preserve">Agencia Tributaria (AEAT), Mercado de trabajo y pensiones en las fuentes tributarias, 2024: asalariados con salario durante todo el año y ≥ SMI (14,2 millones). Distribución por centiles/deciles de salario, con número de personas y salario medio por sexo. No es comparable con la EES: otra población (asalariados con salario durante todo el año y ≥ SMI, módulo de año completo) y otra fuente (declaraciones tributarias).</t>
  </si>
  <si>
    <t xml:space="preserve">smi_mensual_14_pagas_€</t>
  </si>
  <si>
    <t xml:space="preserve">smi_anual_€ (=×14)</t>
  </si>
  <si>
    <t xml:space="preserve">var_anual_%</t>
  </si>
  <si>
    <t xml:space="preserve">smi_anual / salario_mediano_EES_%</t>
  </si>
  <si>
    <t xml:space="preserve">verificacion</t>
  </si>
  <si>
    <t xml:space="preserve">No verificado en esta sesión (cifra de memoria; contrastar con BOE)</t>
  </si>
  <si>
    <t xml:space="preserve">Contrastado con tabla de Skello (redondeado 736 / 10.303)</t>
  </si>
  <si>
    <t xml:space="preserve">Contrastado con tabla de Skello</t>
  </si>
  <si>
    <t xml:space="preserve">Contrastado (Skello y Notarios y Registradores; RD 87/2025)</t>
  </si>
  <si>
    <t xml:space="preserve">Contrastado (RD 126/2026, BOE-A-2026-3815; 40,70 €/día)</t>
  </si>
  <si>
    <t xml:space="preserve">Salario Mínimo Interprofesional (BOE; RD 126/2026 para 2026). Las cifras 2004–2017 deben contrastarse con el BOE antes de usarse como dato citable.</t>
  </si>
  <si>
    <t xml:space="preserve">Tema</t>
  </si>
  <si>
    <t xml:space="preserve">Organismo</t>
  </si>
  <si>
    <t xml:space="preserve">Tabla / identificador</t>
  </si>
  <si>
    <t xml:space="preserve">URL (API o página)</t>
  </si>
  <si>
    <t xml:space="preserve">Fecha de consulta</t>
  </si>
  <si>
    <t xml:space="preserve">Observaciones</t>
  </si>
  <si>
    <t xml:space="preserve">EES distribución</t>
  </si>
  <si>
    <t xml:space="preserve">INE</t>
  </si>
  <si>
    <t xml:space="preserve">Tabla 28191</t>
  </si>
  <si>
    <t xml:space="preserve">https://servicios.ine.es/wstempus/js/ES/DATOS_TABLA/28191?nult=17&amp;tip=A</t>
  </si>
  <si>
    <t xml:space="preserve">España y Madrid; 2008–2024</t>
  </si>
  <si>
    <t xml:space="preserve">2026-10-21</t>
  </si>
  <si>
    <t xml:space="preserve">Salario bruto anual (€).</t>
  </si>
  <si>
    <t xml:space="preserve">EES por edad</t>
  </si>
  <si>
    <t xml:space="preserve">Tablas 28189 y 28201</t>
  </si>
  <si>
    <t xml:space="preserve">https://servicios.ine.es/wstempus/js/ES/DATOS_TABLA/28189?nult=17&amp;tip=A</t>
  </si>
  <si>
    <t xml:space="preserve">España (28189); España y Madrid (28201)</t>
  </si>
  <si>
    <t xml:space="preserve">EES desigualdad</t>
  </si>
  <si>
    <t xml:space="preserve">Tabla 28184</t>
  </si>
  <si>
    <t xml:space="preserve">https://servicios.ine.es/wstempus/js/ES/DATOS_TABLA/28184?nult=17&amp;tip=A</t>
  </si>
  <si>
    <t xml:space="preserve">España; 2008–2024</t>
  </si>
  <si>
    <t xml:space="preserve">EES tramos SMI</t>
  </si>
  <si>
    <t xml:space="preserve">Tabla 28182</t>
  </si>
  <si>
    <t xml:space="preserve">https://servicios.ine.es/wstempus/js/ES/DATOS_TABLA/28182?nult=17&amp;tip=A</t>
  </si>
  <si>
    <t xml:space="preserve">Ruptura 2018/2019.</t>
  </si>
  <si>
    <t xml:space="preserve">EES por sector</t>
  </si>
  <si>
    <t xml:space="preserve">Tabla 28185</t>
  </si>
  <si>
    <t xml:space="preserve">https://servicios.ine.es/wstempus/js/ES/DATOS_TABLA/28185?nult=17&amp;tip=A</t>
  </si>
  <si>
    <t xml:space="preserve">CNAE-09.</t>
  </si>
  <si>
    <t xml:space="preserve">EES por ocupación</t>
  </si>
  <si>
    <t xml:space="preserve">Tabla 28186</t>
  </si>
  <si>
    <t xml:space="preserve">https://servicios.ine.es/wstempus/js/ES/DATOS_TABLA/28186?nult=17&amp;tip=A</t>
  </si>
  <si>
    <t xml:space="preserve">CNO-11.</t>
  </si>
  <si>
    <t xml:space="preserve">EES por contrato</t>
  </si>
  <si>
    <t xml:space="preserve">Tabla 28188</t>
  </si>
  <si>
    <t xml:space="preserve">https://servicios.ine.es/wstempus/js/ES/DATOS_TABLA/28188?nult=17&amp;tip=A</t>
  </si>
  <si>
    <t xml:space="preserve">EES por CCAA</t>
  </si>
  <si>
    <t xml:space="preserve">Tabla 28191 (valores por CCAA)</t>
  </si>
  <si>
    <t xml:space="preserve">https://servicios.ine.es/wstempus/js/ES/DATOS_TABLA/28191?nult=1&amp;tip=A</t>
  </si>
  <si>
    <t xml:space="preserve">Moda salarial</t>
  </si>
  <si>
    <t xml:space="preserve">Notas de prensa EES 2022, EAES 2023 y EAES 2024</t>
  </si>
  <si>
    <t xml:space="preserve">https://ine.es/dyngs/Prensa/EAES2024.htm</t>
  </si>
  <si>
    <t xml:space="preserve">2022–2024</t>
  </si>
  <si>
    <t xml:space="preserve">También https://ine.es/dyngs/Prensa/EES2022.htm y EAES2023.htm.</t>
  </si>
  <si>
    <t xml:space="preserve">Centiles de salario</t>
  </si>
  <si>
    <t xml:space="preserve">Agencia Tributaria</t>
  </si>
  <si>
    <t xml:space="preserve">Mercado de trabajo y pensiones en las fuentes tributarias 2024 (distribución por centiles)</t>
  </si>
  <si>
    <t xml:space="preserve">https://sede.agenciatributaria.gob.es/ (estadísticas &gt; Mercado de trabajo y pensiones)</t>
  </si>
  <si>
    <t xml:space="preserve">Tablas en HTML; transcritas manualmente desde la consulta web.</t>
  </si>
  <si>
    <t xml:space="preserve">SMI</t>
  </si>
  <si>
    <t xml:space="preserve">BOE / Ministerio de Trabajo</t>
  </si>
  <si>
    <t xml:space="preserve">RD 126/2026 (BOE-A-2026-3815), RD 87/2025, etc.</t>
  </si>
  <si>
    <t xml:space="preserve">https://www.notariosyregistradores.com/web/normas/concretas/salario-minimo-interprofesional-2026/</t>
  </si>
  <si>
    <t xml:space="preserve">Contraste 2018–2025 con https://www.skello.es/blog/salario-minimo-interprofesional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</si>
</sst>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0.000"/>
    <numFmt numFmtId="167" formatCode="0.00"/>
    <numFmt numFmtId="168" formatCode="0.0"/>
    <numFmt numFmtId="169" formatCode="#,##0.00"/>
    <numFmt numFmtId="170" formatCode="0"/>
    <numFmt numFmtId="171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i val="true"/>
      <sz val="10"/>
      <color rgb="FF59595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80"/>
    <col collapsed="false" customWidth="true" hidden="false" outlineLevel="0" max="3" min="3" style="0" width="4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75" hidden="false" customHeight="true" outlineLevel="0" collapsed="false">
      <c r="A4" s="3" t="s">
        <v>2</v>
      </c>
      <c r="B4" s="3"/>
      <c r="C4" s="3"/>
    </row>
    <row r="5" customFormat="false" ht="30" hidden="false" customHeight="true" outlineLevel="0" collapsed="false">
      <c r="A5" s="3" t="s">
        <v>3</v>
      </c>
      <c r="B5" s="3"/>
      <c r="C5" s="3"/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4" t="s">
        <v>5</v>
      </c>
      <c r="B8" s="4" t="s">
        <v>6</v>
      </c>
      <c r="C8" s="4" t="s">
        <v>7</v>
      </c>
    </row>
    <row r="9" customFormat="false" ht="30" hidden="false" customHeight="true" outlineLevel="0" collapsed="false">
      <c r="A9" s="2" t="s">
        <v>8</v>
      </c>
      <c r="B9" s="5" t="s">
        <v>9</v>
      </c>
      <c r="C9" s="5" t="s">
        <v>10</v>
      </c>
    </row>
    <row r="10" customFormat="false" ht="15" hidden="false" customHeight="true" outlineLevel="0" collapsed="false">
      <c r="A10" s="2" t="s">
        <v>11</v>
      </c>
      <c r="B10" s="5" t="s">
        <v>12</v>
      </c>
      <c r="C10" s="5" t="s">
        <v>13</v>
      </c>
    </row>
    <row r="11" customFormat="false" ht="15" hidden="false" customHeight="true" outlineLevel="0" collapsed="false">
      <c r="A11" s="2" t="s">
        <v>14</v>
      </c>
      <c r="B11" s="5" t="s">
        <v>15</v>
      </c>
      <c r="C11" s="5" t="s">
        <v>16</v>
      </c>
    </row>
    <row r="12" customFormat="false" ht="15" hidden="false" customHeight="true" outlineLevel="0" collapsed="false">
      <c r="A12" s="2" t="s">
        <v>17</v>
      </c>
      <c r="B12" s="5" t="s">
        <v>18</v>
      </c>
      <c r="C12" s="5" t="s">
        <v>19</v>
      </c>
    </row>
    <row r="13" customFormat="false" ht="15" hidden="false" customHeight="true" outlineLevel="0" collapsed="false">
      <c r="A13" s="2" t="s">
        <v>20</v>
      </c>
      <c r="B13" s="5" t="s">
        <v>21</v>
      </c>
      <c r="C13" s="5" t="s">
        <v>13</v>
      </c>
    </row>
    <row r="14" customFormat="false" ht="15" hidden="false" customHeight="true" outlineLevel="0" collapsed="false">
      <c r="A14" s="2" t="s">
        <v>22</v>
      </c>
      <c r="B14" s="5" t="s">
        <v>23</v>
      </c>
      <c r="C14" s="5" t="s">
        <v>10</v>
      </c>
    </row>
    <row r="15" customFormat="false" ht="15" hidden="false" customHeight="true" outlineLevel="0" collapsed="false">
      <c r="A15" s="2" t="s">
        <v>24</v>
      </c>
      <c r="B15" s="5" t="s">
        <v>25</v>
      </c>
      <c r="C15" s="5" t="s">
        <v>13</v>
      </c>
    </row>
    <row r="16" customFormat="false" ht="30" hidden="false" customHeight="true" outlineLevel="0" collapsed="false">
      <c r="A16" s="2" t="s">
        <v>26</v>
      </c>
      <c r="B16" s="5" t="s">
        <v>27</v>
      </c>
      <c r="C16" s="5" t="s">
        <v>28</v>
      </c>
    </row>
    <row r="17" customFormat="false" ht="30" hidden="false" customHeight="true" outlineLevel="0" collapsed="false">
      <c r="A17" s="2" t="s">
        <v>29</v>
      </c>
      <c r="B17" s="5" t="s">
        <v>30</v>
      </c>
      <c r="C17" s="5" t="s">
        <v>31</v>
      </c>
    </row>
    <row r="18" customFormat="false" ht="15" hidden="false" customHeight="true" outlineLevel="0" collapsed="false">
      <c r="A18" s="2" t="s">
        <v>32</v>
      </c>
      <c r="B18" s="5" t="s">
        <v>33</v>
      </c>
      <c r="C18" s="5" t="s">
        <v>34</v>
      </c>
    </row>
    <row r="19" customFormat="false" ht="15" hidden="false" customHeight="true" outlineLevel="0" collapsed="false">
      <c r="A19" s="2" t="s">
        <v>35</v>
      </c>
      <c r="B19" s="5" t="s">
        <v>36</v>
      </c>
      <c r="C19" s="5"/>
    </row>
    <row r="21" customFormat="false" ht="15" hidden="false" customHeight="false" outlineLevel="0" collapsed="false">
      <c r="A21" s="2" t="s">
        <v>37</v>
      </c>
    </row>
    <row r="22" customFormat="false" ht="30" hidden="false" customHeight="true" outlineLevel="0" collapsed="false">
      <c r="A22" s="3" t="s">
        <v>38</v>
      </c>
      <c r="B22" s="3"/>
      <c r="C22" s="3"/>
    </row>
    <row r="23" customFormat="false" ht="45" hidden="false" customHeight="true" outlineLevel="0" collapsed="false">
      <c r="A23" s="3" t="s">
        <v>39</v>
      </c>
      <c r="B23" s="3"/>
      <c r="C23" s="3"/>
    </row>
    <row r="24" customFormat="false" ht="45" hidden="false" customHeight="true" outlineLevel="0" collapsed="false">
      <c r="A24" s="3" t="s">
        <v>40</v>
      </c>
      <c r="B24" s="3"/>
      <c r="C24" s="3"/>
    </row>
    <row r="25" customFormat="false" ht="30" hidden="false" customHeight="true" outlineLevel="0" collapsed="false">
      <c r="A25" s="3" t="s">
        <v>41</v>
      </c>
      <c r="B25" s="3"/>
      <c r="C25" s="3"/>
    </row>
    <row r="26" customFormat="false" ht="30" hidden="false" customHeight="true" outlineLevel="0" collapsed="false">
      <c r="A26" s="3" t="s">
        <v>42</v>
      </c>
      <c r="B26" s="3"/>
      <c r="C26" s="3"/>
    </row>
    <row r="27" customFormat="false" ht="30" hidden="false" customHeight="true" outlineLevel="0" collapsed="false">
      <c r="A27" s="3" t="s">
        <v>43</v>
      </c>
      <c r="B27" s="3"/>
      <c r="C27" s="3"/>
    </row>
    <row r="28" customFormat="false" ht="45" hidden="false" customHeight="true" outlineLevel="0" collapsed="false">
      <c r="A28" s="3" t="s">
        <v>44</v>
      </c>
      <c r="B28" s="3"/>
      <c r="C28" s="3"/>
    </row>
    <row r="29" customFormat="false" ht="30" hidden="false" customHeight="true" outlineLevel="0" collapsed="false">
      <c r="A29" s="3" t="s">
        <v>45</v>
      </c>
      <c r="B29" s="3"/>
      <c r="C29" s="3"/>
    </row>
    <row r="31" customFormat="false" ht="15" hidden="false" customHeight="false" outlineLevel="0" collapsed="false">
      <c r="A31" s="2" t="s">
        <v>46</v>
      </c>
    </row>
    <row r="32" customFormat="false" ht="15" hidden="false" customHeight="false" outlineLevel="0" collapsed="false">
      <c r="A32" s="6" t="s">
        <v>47</v>
      </c>
    </row>
    <row r="33" customFormat="false" ht="15" hidden="false" customHeight="false" outlineLevel="0" collapsed="false">
      <c r="A33" s="7" t="s">
        <v>48</v>
      </c>
    </row>
    <row r="34" customFormat="false" ht="15" hidden="false" customHeight="false" outlineLevel="0" collapsed="false">
      <c r="A34" s="8" t="s">
        <v>49</v>
      </c>
    </row>
    <row r="35" customFormat="false" ht="15" hidden="false" customHeight="false" outlineLevel="0" collapsed="false">
      <c r="A35" s="9" t="s">
        <v>50</v>
      </c>
    </row>
    <row r="36" customFormat="false" ht="15" hidden="false" customHeight="false" outlineLevel="0" collapsed="false">
      <c r="A36" s="10" t="s">
        <v>51</v>
      </c>
    </row>
  </sheetData>
  <mergeCells count="10">
    <mergeCell ref="A4:C4"/>
    <mergeCell ref="A5:C5"/>
    <mergeCell ref="A22:C22"/>
    <mergeCell ref="A23:C23"/>
    <mergeCell ref="A24:C24"/>
    <mergeCell ref="A25:C25"/>
    <mergeCell ref="A26:C26"/>
    <mergeCell ref="A27:C27"/>
    <mergeCell ref="A28:C28"/>
    <mergeCell ref="A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3" min="2" style="0" width="16"/>
    <col collapsed="false" customWidth="true" hidden="false" outlineLevel="0" max="4" min="4" style="0" width="18"/>
    <col collapsed="false" customWidth="true" hidden="false" outlineLevel="0" max="5" min="5" style="0" width="22"/>
    <col collapsed="false" customWidth="true" hidden="false" outlineLevel="0" max="7" min="6" style="0" width="16"/>
  </cols>
  <sheetData>
    <row r="1" customFormat="false" ht="17.35" hidden="false" customHeight="false" outlineLevel="0" collapsed="false">
      <c r="A1" s="1" t="s">
        <v>52</v>
      </c>
    </row>
    <row r="2" customFormat="false" ht="15" hidden="false" customHeight="false" outlineLevel="0" collapsed="false">
      <c r="A2" s="11" t="s">
        <v>53</v>
      </c>
    </row>
    <row r="4" customFormat="false" ht="19.5" hidden="false" customHeight="true" outlineLevel="0" collapsed="false">
      <c r="A4" s="4" t="s">
        <v>54</v>
      </c>
      <c r="B4" s="4" t="s">
        <v>55</v>
      </c>
      <c r="C4" s="4" t="s">
        <v>56</v>
      </c>
      <c r="D4" s="4" t="s">
        <v>57</v>
      </c>
      <c r="E4" s="4" t="s">
        <v>58</v>
      </c>
      <c r="F4" s="4" t="s">
        <v>59</v>
      </c>
      <c r="G4" s="4" t="s">
        <v>60</v>
      </c>
    </row>
    <row r="5" customFormat="false" ht="15" hidden="false" customHeight="false" outlineLevel="0" collapsed="false">
      <c r="A5" s="12" t="s">
        <v>61</v>
      </c>
      <c r="B5" s="13" t="n">
        <f aca="false">EES_Distribucion!U2</f>
        <v>29540.26</v>
      </c>
      <c r="C5" s="13" t="n">
        <f aca="false">EES_Distribucion!U8</f>
        <v>26904.9</v>
      </c>
      <c r="D5" s="13" t="n">
        <f aca="false">EES_Distribucion!U14</f>
        <v>32057.55</v>
      </c>
      <c r="E5" s="13" t="n">
        <f aca="false">EES_Distribucion!U20</f>
        <v>34410.01</v>
      </c>
      <c r="F5" s="13" t="n">
        <f aca="false">EES_Distribucion!U26</f>
        <v>31048.41</v>
      </c>
      <c r="G5" s="13" t="n">
        <f aca="false">EES_Distribucion!U32</f>
        <v>37634.49</v>
      </c>
    </row>
    <row r="6" customFormat="false" ht="15" hidden="false" customHeight="false" outlineLevel="0" collapsed="false">
      <c r="A6" s="12" t="s">
        <v>62</v>
      </c>
      <c r="B6" s="13" t="n">
        <f aca="false">EES_Distribucion!U5</f>
        <v>24497.17</v>
      </c>
      <c r="C6" s="13" t="n">
        <f aca="false">EES_Distribucion!U11</f>
        <v>22087.71</v>
      </c>
      <c r="D6" s="13" t="n">
        <f aca="false">EES_Distribucion!U17</f>
        <v>26376.88</v>
      </c>
      <c r="E6" s="13" t="n">
        <f aca="false">EES_Distribucion!U23</f>
        <v>28037.75</v>
      </c>
      <c r="F6" s="13" t="n">
        <f aca="false">EES_Distribucion!U29</f>
        <v>25362.11</v>
      </c>
      <c r="G6" s="13" t="n">
        <f aca="false">EES_Distribucion!U35</f>
        <v>30680.09</v>
      </c>
    </row>
    <row r="7" customFormat="false" ht="15" hidden="false" customHeight="false" outlineLevel="0" collapsed="false">
      <c r="A7" s="12" t="s">
        <v>63</v>
      </c>
      <c r="B7" s="13" t="n">
        <f aca="false">EES_Distribucion!U3</f>
        <v>12018.46</v>
      </c>
      <c r="C7" s="13" t="n">
        <f aca="false">EES_Distribucion!U9</f>
        <v>9717.33</v>
      </c>
      <c r="D7" s="13" t="n">
        <f aca="false">EES_Distribucion!U15</f>
        <v>15327.38</v>
      </c>
      <c r="E7" s="13" t="n">
        <f aca="false">EES_Distribucion!U21</f>
        <v>13728.43</v>
      </c>
      <c r="F7" s="13" t="n">
        <f aca="false">EES_Distribucion!U27</f>
        <v>11444.52</v>
      </c>
      <c r="G7" s="13" t="n">
        <f aca="false">EES_Distribucion!U33</f>
        <v>15876</v>
      </c>
    </row>
    <row r="8" customFormat="false" ht="15" hidden="false" customHeight="false" outlineLevel="0" collapsed="false">
      <c r="A8" s="12" t="s">
        <v>64</v>
      </c>
      <c r="B8" s="13" t="n">
        <f aca="false">EES_Distribucion!U4</f>
        <v>17457.47</v>
      </c>
      <c r="C8" s="13" t="n">
        <f aca="false">EES_Distribucion!U10</f>
        <v>15744.72</v>
      </c>
      <c r="D8" s="13" t="n">
        <f aca="false">EES_Distribucion!U16</f>
        <v>19776</v>
      </c>
      <c r="E8" s="13" t="n">
        <f aca="false">EES_Distribucion!U22</f>
        <v>18872.44</v>
      </c>
      <c r="F8" s="13" t="n">
        <f aca="false">EES_Distribucion!U28</f>
        <v>17071.26</v>
      </c>
      <c r="G8" s="13" t="n">
        <f aca="false">EES_Distribucion!U34</f>
        <v>21409.25</v>
      </c>
    </row>
    <row r="9" customFormat="false" ht="15" hidden="false" customHeight="false" outlineLevel="0" collapsed="false">
      <c r="A9" s="12" t="s">
        <v>65</v>
      </c>
      <c r="B9" s="13" t="n">
        <f aca="false">EES_Distribucion!U6</f>
        <v>36969.61</v>
      </c>
      <c r="C9" s="13" t="n">
        <f aca="false">EES_Distribucion!U12</f>
        <v>34439.17</v>
      </c>
      <c r="D9" s="13" t="n">
        <f aca="false">EES_Distribucion!U18</f>
        <v>39239.7</v>
      </c>
      <c r="E9" s="13" t="n">
        <f aca="false">EES_Distribucion!U24</f>
        <v>43598</v>
      </c>
      <c r="F9" s="13" t="n">
        <f aca="false">EES_Distribucion!U30</f>
        <v>39230.44</v>
      </c>
      <c r="G9" s="13" t="n">
        <f aca="false">EES_Distribucion!U36</f>
        <v>47685.13</v>
      </c>
    </row>
    <row r="10" customFormat="false" ht="15" hidden="false" customHeight="false" outlineLevel="0" collapsed="false">
      <c r="A10" s="12" t="s">
        <v>66</v>
      </c>
      <c r="B10" s="13" t="n">
        <f aca="false">EES_Distribucion!U7</f>
        <v>52515.27</v>
      </c>
      <c r="C10" s="13" t="n">
        <f aca="false">EES_Distribucion!U13</f>
        <v>48730.36</v>
      </c>
      <c r="D10" s="13" t="n">
        <f aca="false">EES_Distribucion!U19</f>
        <v>56153.65</v>
      </c>
      <c r="E10" s="13" t="n">
        <f aca="false">EES_Distribucion!U25</f>
        <v>63685.49</v>
      </c>
      <c r="F10" s="13" t="n">
        <f aca="false">EES_Distribucion!U31</f>
        <v>57968.53</v>
      </c>
      <c r="G10" s="13" t="n">
        <f aca="false">EES_Distribucion!U37</f>
        <v>68784.2</v>
      </c>
    </row>
    <row r="11" customFormat="false" ht="15" hidden="false" customHeight="false" outlineLevel="0" collapsed="false">
      <c r="A11" s="12" t="s">
        <v>67</v>
      </c>
      <c r="B11" s="13" t="n">
        <f aca="false">EES_Moda!D4</f>
        <v>16520.18</v>
      </c>
      <c r="C11" s="11" t="s">
        <v>68</v>
      </c>
      <c r="E11" s="11" t="s">
        <v>68</v>
      </c>
    </row>
    <row r="13" customFormat="false" ht="15" hidden="false" customHeight="false" outlineLevel="0" collapsed="false">
      <c r="A13" s="2" t="s">
        <v>69</v>
      </c>
    </row>
    <row r="14" customFormat="false" ht="15" hidden="false" customHeight="false" outlineLevel="0" collapsed="false">
      <c r="A14" s="12" t="s">
        <v>70</v>
      </c>
      <c r="B14" s="14" t="n">
        <f aca="false">B5/B6</f>
        <v>1.20586418757759</v>
      </c>
      <c r="C14" s="14" t="n">
        <f aca="false">C5/C6</f>
        <v>1.2180936819616</v>
      </c>
      <c r="D14" s="14" t="n">
        <f aca="false">D5/D6</f>
        <v>1.21536550190925</v>
      </c>
      <c r="E14" s="14" t="n">
        <f aca="false">E5/E6</f>
        <v>1.22727429982791</v>
      </c>
      <c r="F14" s="14" t="n">
        <f aca="false">F5/F6</f>
        <v>1.22420453187846</v>
      </c>
      <c r="G14" s="14" t="n">
        <f aca="false">G5/G6</f>
        <v>1.22667469358793</v>
      </c>
    </row>
    <row r="15" customFormat="false" ht="15" hidden="false" customHeight="false" outlineLevel="0" collapsed="false">
      <c r="A15" s="12" t="s">
        <v>71</v>
      </c>
      <c r="B15" s="15" t="n">
        <f aca="false">B10/B7</f>
        <v>4.36955067454566</v>
      </c>
      <c r="C15" s="15" t="n">
        <f aca="false">C10/C7</f>
        <v>5.01478904184586</v>
      </c>
      <c r="D15" s="15" t="n">
        <f aca="false">D10/D7</f>
        <v>3.66361700434125</v>
      </c>
      <c r="E15" s="15" t="n">
        <f aca="false">E10/E7</f>
        <v>4.63894924619931</v>
      </c>
      <c r="F15" s="15" t="n">
        <f aca="false">F10/F7</f>
        <v>5.06517791921374</v>
      </c>
      <c r="G15" s="15" t="n">
        <f aca="false">G10/G7</f>
        <v>4.33259007306626</v>
      </c>
    </row>
    <row r="16" customFormat="false" ht="15" hidden="false" customHeight="false" outlineLevel="0" collapsed="false">
      <c r="A16" s="12" t="s">
        <v>72</v>
      </c>
      <c r="B16" s="16" t="n">
        <f aca="false">B9-B8</f>
        <v>19512.14</v>
      </c>
      <c r="C16" s="16" t="n">
        <f aca="false">C9-C8</f>
        <v>18694.45</v>
      </c>
      <c r="D16" s="16" t="n">
        <f aca="false">D9-D8</f>
        <v>19463.7</v>
      </c>
      <c r="E16" s="16" t="n">
        <f aca="false">E9-E8</f>
        <v>24725.56</v>
      </c>
      <c r="F16" s="16" t="n">
        <f aca="false">F9-F8</f>
        <v>22159.18</v>
      </c>
      <c r="G16" s="16" t="n">
        <f aca="false">G9-G8</f>
        <v>26275.88</v>
      </c>
    </row>
    <row r="17" customFormat="false" ht="15" hidden="false" customHeight="false" outlineLevel="0" collapsed="false">
      <c r="A17" s="12" t="s">
        <v>73</v>
      </c>
      <c r="B17" s="17" t="n">
        <f aca="false">(1-C5/D5)*100</f>
        <v>16.0731247397259</v>
      </c>
      <c r="E17" s="17" t="n">
        <f aca="false">(1-F5/G5)*100</f>
        <v>17.5001175783171</v>
      </c>
    </row>
    <row r="18" customFormat="false" ht="15" hidden="false" customHeight="false" outlineLevel="0" collapsed="false">
      <c r="A18" s="12" t="s">
        <v>74</v>
      </c>
      <c r="B18" s="17" t="n">
        <f aca="false">(1-C6/D6)*100</f>
        <v>16.2610968393533</v>
      </c>
      <c r="E18" s="17" t="n">
        <f aca="false">(1-F6/G6)*100</f>
        <v>17.3336518895479</v>
      </c>
    </row>
    <row r="19" customFormat="false" ht="15" hidden="false" customHeight="false" outlineLevel="0" collapsed="false">
      <c r="A19" s="12" t="s">
        <v>75</v>
      </c>
      <c r="B19" s="17" t="n">
        <f aca="false">(E5/B5-1)*100</f>
        <v>16.4851291085454</v>
      </c>
      <c r="C19" s="17" t="n">
        <f aca="false">(E6/B6-1)*100</f>
        <v>14.4530164096506</v>
      </c>
      <c r="D19" s="11" t="s">
        <v>76</v>
      </c>
    </row>
    <row r="21" customFormat="false" ht="15" hidden="false" customHeight="false" outlineLevel="0" collapsed="false">
      <c r="A21" s="2" t="s">
        <v>77</v>
      </c>
    </row>
    <row r="22" customFormat="false" ht="23.85" hidden="false" customHeight="false" outlineLevel="0" collapsed="false">
      <c r="A22" s="4" t="s">
        <v>78</v>
      </c>
      <c r="B22" s="4" t="s">
        <v>79</v>
      </c>
      <c r="C22" s="4" t="s">
        <v>80</v>
      </c>
      <c r="D22" s="4" t="s">
        <v>81</v>
      </c>
      <c r="E22" s="4" t="s">
        <v>82</v>
      </c>
    </row>
    <row r="23" customFormat="false" ht="15" hidden="false" customHeight="false" outlineLevel="0" collapsed="false">
      <c r="A23" s="12" t="s">
        <v>83</v>
      </c>
      <c r="B23" s="18" t="n">
        <f aca="false">Estimacion_DesvTipica!K22</f>
        <v>18504.2084196284</v>
      </c>
      <c r="C23" s="18" t="n">
        <f aca="false">Estimacion_DesvTipica!L22</f>
        <v>17787.5566640043</v>
      </c>
      <c r="D23" s="18" t="n">
        <f aca="false">Estimacion_DesvTipica!M22</f>
        <v>19906.4629436287</v>
      </c>
      <c r="E23" s="19" t="n">
        <f aca="false">Estimacion_DesvTipica!N22</f>
        <v>62.6406416857143</v>
      </c>
    </row>
    <row r="24" customFormat="false" ht="15" hidden="false" customHeight="false" outlineLevel="0" collapsed="false">
      <c r="A24" s="12" t="s">
        <v>84</v>
      </c>
      <c r="B24" s="18" t="n">
        <f aca="false">Estimacion_DesvTipica!K43</f>
        <v>22592.1967757426</v>
      </c>
      <c r="C24" s="18" t="n">
        <f aca="false">Estimacion_DesvTipica!L43</f>
        <v>23590.4386560297</v>
      </c>
      <c r="D24" s="18" t="n">
        <f aca="false">Estimacion_DesvTipica!M43</f>
        <v>24481.9956254384</v>
      </c>
      <c r="E24" s="19" t="n">
        <f aca="false">Estimacion_DesvTipica!N43</f>
        <v>65.6558855279107</v>
      </c>
    </row>
    <row r="26" customFormat="false" ht="15" hidden="false" customHeight="false" outlineLevel="0" collapsed="false">
      <c r="A26" s="2" t="s">
        <v>85</v>
      </c>
    </row>
    <row r="27" customFormat="false" ht="15" hidden="false" customHeight="false" outlineLevel="0" collapsed="false">
      <c r="A27" s="12" t="s">
        <v>86</v>
      </c>
      <c r="B27" s="20" t="n">
        <f aca="false">SMI_Historico!B24</f>
        <v>1221</v>
      </c>
    </row>
    <row r="28" customFormat="false" ht="15" hidden="false" customHeight="false" outlineLevel="0" collapsed="false">
      <c r="A28" s="12" t="s">
        <v>87</v>
      </c>
      <c r="B28" s="20" t="n">
        <f aca="false">SMI_Historico!C24</f>
        <v>17094</v>
      </c>
    </row>
    <row r="29" customFormat="false" ht="15" hidden="false" customHeight="false" outlineLevel="0" collapsed="false">
      <c r="A29" s="12" t="s">
        <v>88</v>
      </c>
      <c r="B29" s="21" t="n">
        <f aca="false">SMI_Historico!E22</f>
        <v>64.8074859259253</v>
      </c>
    </row>
    <row r="30" customFormat="false" ht="15" hidden="false" customHeight="false" outlineLevel="0" collapsed="false">
      <c r="A30" s="12" t="s">
        <v>89</v>
      </c>
      <c r="B30" s="21" t="n">
        <f aca="false">(EES_Distribucion!U2/EES_Distribucion!E2-1)*100</f>
        <v>34.9892292886578</v>
      </c>
    </row>
    <row r="31" customFormat="false" ht="15" hidden="false" customHeight="false" outlineLevel="0" collapsed="false">
      <c r="A31" s="12" t="s">
        <v>90</v>
      </c>
      <c r="B31" s="21" t="n">
        <f aca="false">(EES_Distribucion!U20/EES_Distribucion!E20-1)*100</f>
        <v>36.1715119465635</v>
      </c>
    </row>
    <row r="32" customFormat="false" ht="15" hidden="false" customHeight="false" outlineLevel="0" collapsed="false">
      <c r="A32" s="12" t="s">
        <v>91</v>
      </c>
      <c r="B32" s="21" t="n">
        <f aca="false">(EES_Distribucion!U5/EES_Distribucion!E5-1)*100</f>
        <v>34.272269847186</v>
      </c>
    </row>
    <row r="33" customFormat="false" ht="15" hidden="false" customHeight="false" outlineLevel="0" collapsed="false">
      <c r="A33" s="12" t="s">
        <v>92</v>
      </c>
      <c r="B33" s="21" t="n">
        <f aca="false">(EES_Distribucion!U23/EES_Distribucion!E23-1)*100</f>
        <v>38.3242088271149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3"/>
    <col collapsed="false" customWidth="true" hidden="false" outlineLevel="0" max="3" min="3" style="0" width="22"/>
    <col collapsed="false" customWidth="true" hidden="false" outlineLevel="0" max="4" min="4" style="0" width="17"/>
  </cols>
  <sheetData>
    <row r="1" customFormat="false" ht="15" hidden="false" customHeight="false" outlineLevel="0" collapsed="false">
      <c r="A1" s="4" t="s">
        <v>93</v>
      </c>
      <c r="B1" s="4" t="s">
        <v>94</v>
      </c>
      <c r="C1" s="4" t="s">
        <v>95</v>
      </c>
      <c r="D1" s="4" t="s">
        <v>96</v>
      </c>
      <c r="E1" s="4" t="s">
        <v>97</v>
      </c>
      <c r="F1" s="4" t="s">
        <v>98</v>
      </c>
      <c r="G1" s="4" t="s">
        <v>99</v>
      </c>
      <c r="H1" s="4" t="s">
        <v>100</v>
      </c>
      <c r="I1" s="4" t="s">
        <v>101</v>
      </c>
      <c r="J1" s="4" t="s">
        <v>102</v>
      </c>
      <c r="K1" s="4" t="s">
        <v>103</v>
      </c>
      <c r="L1" s="4" t="s">
        <v>104</v>
      </c>
      <c r="M1" s="4" t="s">
        <v>105</v>
      </c>
      <c r="N1" s="4" t="s">
        <v>106</v>
      </c>
      <c r="O1" s="4" t="s">
        <v>107</v>
      </c>
      <c r="P1" s="4" t="s">
        <v>108</v>
      </c>
      <c r="Q1" s="4" t="s">
        <v>109</v>
      </c>
      <c r="R1" s="4" t="s">
        <v>110</v>
      </c>
      <c r="S1" s="4" t="s">
        <v>111</v>
      </c>
      <c r="T1" s="4" t="s">
        <v>112</v>
      </c>
      <c r="U1" s="4" t="s">
        <v>10</v>
      </c>
    </row>
    <row r="2" customFormat="false" ht="15" hidden="false" customHeight="false" outlineLevel="0" collapsed="false">
      <c r="A2" s="12" t="s">
        <v>113</v>
      </c>
      <c r="B2" s="12" t="s">
        <v>114</v>
      </c>
      <c r="C2" s="12" t="s">
        <v>83</v>
      </c>
      <c r="D2" s="12" t="s">
        <v>61</v>
      </c>
      <c r="E2" s="22" t="n">
        <v>21883.42</v>
      </c>
      <c r="F2" s="22" t="n">
        <v>22511.47</v>
      </c>
      <c r="G2" s="22" t="n">
        <v>22790.2</v>
      </c>
      <c r="H2" s="22" t="n">
        <v>22899.35</v>
      </c>
      <c r="I2" s="22" t="n">
        <v>22726.44</v>
      </c>
      <c r="J2" s="22" t="n">
        <v>22697.86</v>
      </c>
      <c r="K2" s="22" t="n">
        <v>22858.17</v>
      </c>
      <c r="L2" s="22" t="n">
        <v>23106.3</v>
      </c>
      <c r="M2" s="22" t="n">
        <v>23156.34</v>
      </c>
      <c r="N2" s="22" t="n">
        <v>23646.5</v>
      </c>
      <c r="O2" s="22" t="n">
        <v>24009.12</v>
      </c>
      <c r="P2" s="22" t="n">
        <v>24395.98</v>
      </c>
      <c r="Q2" s="22" t="n">
        <v>25165.51</v>
      </c>
      <c r="R2" s="22" t="n">
        <v>25896.82</v>
      </c>
      <c r="S2" s="22" t="n">
        <v>26948.87</v>
      </c>
      <c r="T2" s="22" t="n">
        <v>28049.94</v>
      </c>
      <c r="U2" s="22" t="n">
        <v>29540.26</v>
      </c>
    </row>
    <row r="3" customFormat="false" ht="15" hidden="false" customHeight="false" outlineLevel="0" collapsed="false">
      <c r="A3" s="12" t="s">
        <v>115</v>
      </c>
      <c r="B3" s="12" t="s">
        <v>114</v>
      </c>
      <c r="C3" s="12" t="s">
        <v>83</v>
      </c>
      <c r="D3" s="12" t="s">
        <v>63</v>
      </c>
      <c r="E3" s="22" t="n">
        <v>8903.52</v>
      </c>
      <c r="F3" s="22" t="n">
        <v>8723.15</v>
      </c>
      <c r="G3" s="22" t="n">
        <v>8643.66</v>
      </c>
      <c r="H3" s="22" t="n">
        <v>8402.15</v>
      </c>
      <c r="I3" s="22" t="n">
        <v>7979.4</v>
      </c>
      <c r="J3" s="22" t="n">
        <v>7692.3</v>
      </c>
      <c r="K3" s="22" t="n">
        <v>7626.2</v>
      </c>
      <c r="L3" s="22" t="n">
        <v>7962.45</v>
      </c>
      <c r="M3" s="22" t="n">
        <v>8095.44</v>
      </c>
      <c r="N3" s="22" t="n">
        <v>8583.81</v>
      </c>
      <c r="O3" s="22" t="n">
        <v>8457.36</v>
      </c>
      <c r="P3" s="22" t="n">
        <v>8943.26</v>
      </c>
      <c r="Q3" s="22" t="n">
        <v>9586.51</v>
      </c>
      <c r="R3" s="22" t="n">
        <v>10192.38</v>
      </c>
      <c r="S3" s="22" t="n">
        <v>10657.37</v>
      </c>
      <c r="T3" s="22" t="n">
        <v>11466.88</v>
      </c>
      <c r="U3" s="22" t="n">
        <v>12018.46</v>
      </c>
    </row>
    <row r="4" customFormat="false" ht="15" hidden="false" customHeight="false" outlineLevel="0" collapsed="false">
      <c r="A4" s="12" t="s">
        <v>116</v>
      </c>
      <c r="B4" s="12" t="s">
        <v>114</v>
      </c>
      <c r="C4" s="12" t="s">
        <v>83</v>
      </c>
      <c r="D4" s="12" t="s">
        <v>64</v>
      </c>
      <c r="E4" s="22" t="n">
        <v>13342.53</v>
      </c>
      <c r="F4" s="22" t="n">
        <v>13587.26</v>
      </c>
      <c r="G4" s="22" t="n">
        <v>13602.53</v>
      </c>
      <c r="H4" s="22" t="n">
        <v>13553.97</v>
      </c>
      <c r="I4" s="22" t="n">
        <v>13369.45</v>
      </c>
      <c r="J4" s="22" t="n">
        <v>13039.36</v>
      </c>
      <c r="K4" s="22" t="n">
        <v>13217.84</v>
      </c>
      <c r="L4" s="22" t="n">
        <v>13414.92</v>
      </c>
      <c r="M4" s="22" t="n">
        <v>13369.74</v>
      </c>
      <c r="N4" s="22" t="n">
        <v>13897.22</v>
      </c>
      <c r="O4" s="22" t="n">
        <v>13998.29</v>
      </c>
      <c r="P4" s="22" t="n">
        <v>14271.06</v>
      </c>
      <c r="Q4" s="22" t="n">
        <v>14641.96</v>
      </c>
      <c r="R4" s="22" t="n">
        <v>15215.03</v>
      </c>
      <c r="S4" s="22" t="n">
        <v>15913.52</v>
      </c>
      <c r="T4" s="22" t="n">
        <v>16632.97</v>
      </c>
      <c r="U4" s="22" t="n">
        <v>17457.47</v>
      </c>
    </row>
    <row r="5" customFormat="false" ht="15" hidden="false" customHeight="false" outlineLevel="0" collapsed="false">
      <c r="A5" s="12" t="s">
        <v>117</v>
      </c>
      <c r="B5" s="12" t="s">
        <v>114</v>
      </c>
      <c r="C5" s="12" t="s">
        <v>83</v>
      </c>
      <c r="D5" s="12" t="s">
        <v>62</v>
      </c>
      <c r="E5" s="22" t="n">
        <v>18244.4</v>
      </c>
      <c r="F5" s="22" t="n">
        <v>18803.28</v>
      </c>
      <c r="G5" s="22" t="n">
        <v>19017.09</v>
      </c>
      <c r="H5" s="22" t="n">
        <v>19303.51</v>
      </c>
      <c r="I5" s="22" t="n">
        <v>19040.98</v>
      </c>
      <c r="J5" s="22" t="n">
        <v>19029.66</v>
      </c>
      <c r="K5" s="22" t="n">
        <v>19263.78</v>
      </c>
      <c r="L5" s="22" t="n">
        <v>19466.49</v>
      </c>
      <c r="M5" s="22" t="n">
        <v>19432.62</v>
      </c>
      <c r="N5" s="22" t="n">
        <v>19830.12</v>
      </c>
      <c r="O5" s="22" t="n">
        <v>20078.44</v>
      </c>
      <c r="P5" s="22" t="n">
        <v>20351.02</v>
      </c>
      <c r="Q5" s="22" t="n">
        <v>20920.12</v>
      </c>
      <c r="R5" s="22" t="n">
        <v>21638.69</v>
      </c>
      <c r="S5" s="22" t="n">
        <v>22383.11</v>
      </c>
      <c r="T5" s="22" t="n">
        <v>23349</v>
      </c>
      <c r="U5" s="22" t="n">
        <v>24497.17</v>
      </c>
    </row>
    <row r="6" customFormat="false" ht="15" hidden="false" customHeight="false" outlineLevel="0" collapsed="false">
      <c r="A6" s="12" t="s">
        <v>118</v>
      </c>
      <c r="B6" s="12" t="s">
        <v>114</v>
      </c>
      <c r="C6" s="12" t="s">
        <v>83</v>
      </c>
      <c r="D6" s="12" t="s">
        <v>65</v>
      </c>
      <c r="E6" s="22" t="n">
        <v>26874.02</v>
      </c>
      <c r="F6" s="22" t="n">
        <v>28024.86</v>
      </c>
      <c r="G6" s="22" t="n">
        <v>28255.45</v>
      </c>
      <c r="H6" s="22" t="n">
        <v>28658.66</v>
      </c>
      <c r="I6" s="22" t="n">
        <v>28395.5</v>
      </c>
      <c r="J6" s="22" t="n">
        <v>28563.69</v>
      </c>
      <c r="K6" s="22" t="n">
        <v>28782.7</v>
      </c>
      <c r="L6" s="22" t="n">
        <v>29163.66</v>
      </c>
      <c r="M6" s="22" t="n">
        <v>29191.56</v>
      </c>
      <c r="N6" s="22" t="n">
        <v>29628.64</v>
      </c>
      <c r="O6" s="22" t="n">
        <v>30057.33</v>
      </c>
      <c r="P6" s="22" t="n">
        <v>30558.45</v>
      </c>
      <c r="Q6" s="22" t="n">
        <v>31550.01</v>
      </c>
      <c r="R6" s="22" t="n">
        <v>32385.45</v>
      </c>
      <c r="S6" s="22" t="n">
        <v>33561.62</v>
      </c>
      <c r="T6" s="22" t="n">
        <v>34991.64</v>
      </c>
      <c r="U6" s="22" t="n">
        <v>36969.61</v>
      </c>
    </row>
    <row r="7" customFormat="false" ht="15" hidden="false" customHeight="false" outlineLevel="0" collapsed="false">
      <c r="A7" s="12" t="s">
        <v>119</v>
      </c>
      <c r="B7" s="12" t="s">
        <v>114</v>
      </c>
      <c r="C7" s="12" t="s">
        <v>83</v>
      </c>
      <c r="D7" s="12" t="s">
        <v>66</v>
      </c>
      <c r="E7" s="22" t="n">
        <v>38558.29</v>
      </c>
      <c r="F7" s="22" t="n">
        <v>40123.94</v>
      </c>
      <c r="G7" s="22" t="n">
        <v>40811.42</v>
      </c>
      <c r="H7" s="22" t="n">
        <v>40680.54</v>
      </c>
      <c r="I7" s="22" t="n">
        <v>40807.99</v>
      </c>
      <c r="J7" s="22" t="n">
        <v>41108.4</v>
      </c>
      <c r="K7" s="22" t="n">
        <v>41350.36</v>
      </c>
      <c r="L7" s="22" t="n">
        <v>41648.67</v>
      </c>
      <c r="M7" s="22" t="n">
        <v>41855.38</v>
      </c>
      <c r="N7" s="22" t="n">
        <v>42454.21</v>
      </c>
      <c r="O7" s="22" t="n">
        <v>43382.16</v>
      </c>
      <c r="P7" s="22" t="n">
        <v>44127.12</v>
      </c>
      <c r="Q7" s="22" t="n">
        <v>45359.96</v>
      </c>
      <c r="R7" s="22" t="n">
        <v>46430.36</v>
      </c>
      <c r="S7" s="22" t="n">
        <v>48217.21</v>
      </c>
      <c r="T7" s="22" t="n">
        <v>49836</v>
      </c>
      <c r="U7" s="22" t="n">
        <v>52515.27</v>
      </c>
    </row>
    <row r="8" customFormat="false" ht="15" hidden="false" customHeight="false" outlineLevel="0" collapsed="false">
      <c r="A8" s="12" t="s">
        <v>120</v>
      </c>
      <c r="B8" s="12" t="s">
        <v>121</v>
      </c>
      <c r="C8" s="12" t="s">
        <v>83</v>
      </c>
      <c r="D8" s="12" t="s">
        <v>61</v>
      </c>
      <c r="E8" s="22" t="n">
        <v>18910.62</v>
      </c>
      <c r="F8" s="22" t="n">
        <v>19502.02</v>
      </c>
      <c r="G8" s="22" t="n">
        <v>19735.22</v>
      </c>
      <c r="H8" s="22" t="n">
        <v>19767.59</v>
      </c>
      <c r="I8" s="22" t="n">
        <v>19537.33</v>
      </c>
      <c r="J8" s="22" t="n">
        <v>19514.58</v>
      </c>
      <c r="K8" s="22" t="n">
        <v>19744.82</v>
      </c>
      <c r="L8" s="22" t="n">
        <v>20051.58</v>
      </c>
      <c r="M8" s="22" t="n">
        <v>20131.41</v>
      </c>
      <c r="N8" s="22" t="n">
        <v>20607.85</v>
      </c>
      <c r="O8" s="22" t="n">
        <v>21011.89</v>
      </c>
      <c r="P8" s="22" t="n">
        <v>21682.02</v>
      </c>
      <c r="Q8" s="22" t="n">
        <v>22467.48</v>
      </c>
      <c r="R8" s="22" t="n">
        <v>23175.95</v>
      </c>
      <c r="S8" s="22" t="n">
        <v>24359.82</v>
      </c>
      <c r="T8" s="22" t="n">
        <v>25591.31</v>
      </c>
      <c r="U8" s="22" t="n">
        <v>26904.9</v>
      </c>
    </row>
    <row r="9" customFormat="false" ht="15" hidden="false" customHeight="false" outlineLevel="0" collapsed="false">
      <c r="A9" s="12" t="s">
        <v>122</v>
      </c>
      <c r="B9" s="12" t="s">
        <v>121</v>
      </c>
      <c r="C9" s="12" t="s">
        <v>83</v>
      </c>
      <c r="D9" s="12" t="s">
        <v>63</v>
      </c>
      <c r="E9" s="22" t="n">
        <v>7088.36</v>
      </c>
      <c r="F9" s="22" t="n">
        <v>7027.1</v>
      </c>
      <c r="G9" s="22" t="n">
        <v>7001.27</v>
      </c>
      <c r="H9" s="22" t="n">
        <v>6996.22</v>
      </c>
      <c r="I9" s="22" t="n">
        <v>6750.12</v>
      </c>
      <c r="J9" s="22" t="n">
        <v>6457.78</v>
      </c>
      <c r="K9" s="22" t="n">
        <v>6205.32</v>
      </c>
      <c r="L9" s="22" t="n">
        <v>6630.92</v>
      </c>
      <c r="M9" s="22" t="n">
        <v>6808.88</v>
      </c>
      <c r="N9" s="22" t="n">
        <v>7161.93</v>
      </c>
      <c r="O9" s="22" t="n">
        <v>6958.16</v>
      </c>
      <c r="P9" s="22" t="n">
        <v>7416.44</v>
      </c>
      <c r="Q9" s="22" t="n">
        <v>7837.68</v>
      </c>
      <c r="R9" s="22" t="n">
        <v>8329.95</v>
      </c>
      <c r="S9" s="22" t="n">
        <v>8732.51</v>
      </c>
      <c r="T9" s="22" t="n">
        <v>9421.49</v>
      </c>
      <c r="U9" s="22" t="n">
        <v>9717.33</v>
      </c>
    </row>
    <row r="10" customFormat="false" ht="15" hidden="false" customHeight="false" outlineLevel="0" collapsed="false">
      <c r="A10" s="12" t="s">
        <v>123</v>
      </c>
      <c r="B10" s="12" t="s">
        <v>121</v>
      </c>
      <c r="C10" s="12" t="s">
        <v>83</v>
      </c>
      <c r="D10" s="12" t="s">
        <v>64</v>
      </c>
      <c r="E10" s="22" t="n">
        <v>11038.28</v>
      </c>
      <c r="F10" s="22" t="n">
        <v>11324.09</v>
      </c>
      <c r="G10" s="22" t="n">
        <v>11462.43</v>
      </c>
      <c r="H10" s="22" t="n">
        <v>11376.86</v>
      </c>
      <c r="I10" s="22" t="n">
        <v>11153.94</v>
      </c>
      <c r="J10" s="22" t="n">
        <v>10801.94</v>
      </c>
      <c r="K10" s="22" t="n">
        <v>10900.7</v>
      </c>
      <c r="L10" s="22" t="n">
        <v>10993.54</v>
      </c>
      <c r="M10" s="22" t="n">
        <v>11129.97</v>
      </c>
      <c r="N10" s="22" t="n">
        <v>11567.75</v>
      </c>
      <c r="O10" s="22" t="n">
        <v>11617.31</v>
      </c>
      <c r="P10" s="22" t="n">
        <v>12403.36</v>
      </c>
      <c r="Q10" s="22" t="n">
        <v>12781.59</v>
      </c>
      <c r="R10" s="22" t="n">
        <v>13369.98</v>
      </c>
      <c r="S10" s="22" t="n">
        <v>14094.78</v>
      </c>
      <c r="T10" s="22" t="n">
        <v>14977.44</v>
      </c>
      <c r="U10" s="22" t="n">
        <v>15744.72</v>
      </c>
    </row>
    <row r="11" customFormat="false" ht="15" hidden="false" customHeight="false" outlineLevel="0" collapsed="false">
      <c r="A11" s="12" t="s">
        <v>124</v>
      </c>
      <c r="B11" s="12" t="s">
        <v>121</v>
      </c>
      <c r="C11" s="12" t="s">
        <v>83</v>
      </c>
      <c r="D11" s="12" t="s">
        <v>62</v>
      </c>
      <c r="E11" s="22" t="n">
        <v>15886.02</v>
      </c>
      <c r="F11" s="22" t="n">
        <v>16433.14</v>
      </c>
      <c r="G11" s="22" t="n">
        <v>16536.1</v>
      </c>
      <c r="H11" s="22" t="n">
        <v>16796.41</v>
      </c>
      <c r="I11" s="22" t="n">
        <v>16524.51</v>
      </c>
      <c r="J11" s="22" t="n">
        <v>16452.43</v>
      </c>
      <c r="K11" s="22" t="n">
        <v>16771.32</v>
      </c>
      <c r="L11" s="22" t="n">
        <v>16825.11</v>
      </c>
      <c r="M11" s="22" t="n">
        <v>16831.58</v>
      </c>
      <c r="N11" s="22" t="n">
        <v>17214.6</v>
      </c>
      <c r="O11" s="22" t="n">
        <v>17467.43</v>
      </c>
      <c r="P11" s="22" t="n">
        <v>17961.93</v>
      </c>
      <c r="Q11" s="22" t="n">
        <v>18556.68</v>
      </c>
      <c r="R11" s="22" t="n">
        <v>19162.47</v>
      </c>
      <c r="S11" s="22" t="n">
        <v>20045.68</v>
      </c>
      <c r="T11" s="22" t="n">
        <v>21177.99</v>
      </c>
      <c r="U11" s="22" t="n">
        <v>22087.71</v>
      </c>
    </row>
    <row r="12" customFormat="false" ht="15" hidden="false" customHeight="false" outlineLevel="0" collapsed="false">
      <c r="A12" s="12" t="s">
        <v>125</v>
      </c>
      <c r="B12" s="12" t="s">
        <v>121</v>
      </c>
      <c r="C12" s="12" t="s">
        <v>83</v>
      </c>
      <c r="D12" s="12" t="s">
        <v>65</v>
      </c>
      <c r="E12" s="22" t="n">
        <v>23446.18</v>
      </c>
      <c r="F12" s="22" t="n">
        <v>24556.88</v>
      </c>
      <c r="G12" s="22" t="n">
        <v>24751.72</v>
      </c>
      <c r="H12" s="22" t="n">
        <v>25038.56</v>
      </c>
      <c r="I12" s="22" t="n">
        <v>24505.75</v>
      </c>
      <c r="J12" s="22" t="n">
        <v>24568.84</v>
      </c>
      <c r="K12" s="22" t="n">
        <v>25134.57</v>
      </c>
      <c r="L12" s="22" t="n">
        <v>25562.92</v>
      </c>
      <c r="M12" s="22" t="n">
        <v>25711.14</v>
      </c>
      <c r="N12" s="22" t="n">
        <v>26174.19</v>
      </c>
      <c r="O12" s="22" t="n">
        <v>26743.16</v>
      </c>
      <c r="P12" s="22" t="n">
        <v>27661.43</v>
      </c>
      <c r="Q12" s="22" t="n">
        <v>28747.87</v>
      </c>
      <c r="R12" s="22" t="n">
        <v>29694.42</v>
      </c>
      <c r="S12" s="22" t="n">
        <v>30984.32</v>
      </c>
      <c r="T12" s="22" t="n">
        <v>32648.05</v>
      </c>
      <c r="U12" s="22" t="n">
        <v>34439.17</v>
      </c>
    </row>
    <row r="13" customFormat="false" ht="15" hidden="false" customHeight="false" outlineLevel="0" collapsed="false">
      <c r="A13" s="12" t="s">
        <v>126</v>
      </c>
      <c r="B13" s="12" t="s">
        <v>121</v>
      </c>
      <c r="C13" s="12" t="s">
        <v>83</v>
      </c>
      <c r="D13" s="12" t="s">
        <v>66</v>
      </c>
      <c r="E13" s="22" t="n">
        <v>34397.13</v>
      </c>
      <c r="F13" s="22" t="n">
        <v>36009.1</v>
      </c>
      <c r="G13" s="22" t="n">
        <v>36249.13</v>
      </c>
      <c r="H13" s="22" t="n">
        <v>35871.36</v>
      </c>
      <c r="I13" s="22" t="n">
        <v>35506.25</v>
      </c>
      <c r="J13" s="22" t="n">
        <v>36068.77</v>
      </c>
      <c r="K13" s="22" t="n">
        <v>36627.29</v>
      </c>
      <c r="L13" s="22" t="n">
        <v>37098.89</v>
      </c>
      <c r="M13" s="22" t="n">
        <v>37167.95</v>
      </c>
      <c r="N13" s="22" t="n">
        <v>37896.51</v>
      </c>
      <c r="O13" s="22" t="n">
        <v>39104.6</v>
      </c>
      <c r="P13" s="22" t="n">
        <v>40005.75</v>
      </c>
      <c r="Q13" s="22" t="n">
        <v>41380.88</v>
      </c>
      <c r="R13" s="22" t="n">
        <v>42182.44</v>
      </c>
      <c r="S13" s="22" t="n">
        <v>44481.68</v>
      </c>
      <c r="T13" s="22" t="n">
        <v>46370.71</v>
      </c>
      <c r="U13" s="22" t="n">
        <v>48730.36</v>
      </c>
    </row>
    <row r="14" customFormat="false" ht="15" hidden="false" customHeight="false" outlineLevel="0" collapsed="false">
      <c r="A14" s="12" t="s">
        <v>127</v>
      </c>
      <c r="B14" s="12" t="s">
        <v>128</v>
      </c>
      <c r="C14" s="12" t="s">
        <v>83</v>
      </c>
      <c r="D14" s="12" t="s">
        <v>61</v>
      </c>
      <c r="E14" s="22" t="n">
        <v>24203.33</v>
      </c>
      <c r="F14" s="22" t="n">
        <v>25001.05</v>
      </c>
      <c r="G14" s="22" t="n">
        <v>25479.74</v>
      </c>
      <c r="H14" s="22" t="n">
        <v>25667.89</v>
      </c>
      <c r="I14" s="22" t="n">
        <v>25682.05</v>
      </c>
      <c r="J14" s="22" t="n">
        <v>25675.17</v>
      </c>
      <c r="K14" s="22" t="n">
        <v>25727.24</v>
      </c>
      <c r="L14" s="22" t="n">
        <v>25992.76</v>
      </c>
      <c r="M14" s="22" t="n">
        <v>25924.43</v>
      </c>
      <c r="N14" s="22" t="n">
        <v>26391.84</v>
      </c>
      <c r="O14" s="22" t="n">
        <v>26738.19</v>
      </c>
      <c r="P14" s="22" t="n">
        <v>26934.38</v>
      </c>
      <c r="Q14" s="22" t="n">
        <v>27642.52</v>
      </c>
      <c r="R14" s="22" t="n">
        <v>28388.69</v>
      </c>
      <c r="S14" s="22" t="n">
        <v>29381.84</v>
      </c>
      <c r="T14" s="22" t="n">
        <v>30372.49</v>
      </c>
      <c r="U14" s="22" t="n">
        <v>32057.55</v>
      </c>
    </row>
    <row r="15" customFormat="false" ht="15" hidden="false" customHeight="false" outlineLevel="0" collapsed="false">
      <c r="A15" s="12" t="s">
        <v>129</v>
      </c>
      <c r="B15" s="12" t="s">
        <v>128</v>
      </c>
      <c r="C15" s="12" t="s">
        <v>83</v>
      </c>
      <c r="D15" s="12" t="s">
        <v>63</v>
      </c>
      <c r="E15" s="22" t="n">
        <v>11594.27</v>
      </c>
      <c r="F15" s="22" t="n">
        <v>11552.95</v>
      </c>
      <c r="G15" s="22" t="n">
        <v>11391.44</v>
      </c>
      <c r="H15" s="22" t="n">
        <v>10973.96</v>
      </c>
      <c r="I15" s="22" t="n">
        <v>10552.8</v>
      </c>
      <c r="J15" s="22" t="n">
        <v>10020.04</v>
      </c>
      <c r="K15" s="22" t="n">
        <v>10242.05</v>
      </c>
      <c r="L15" s="22" t="n">
        <v>11101.74</v>
      </c>
      <c r="M15" s="22" t="n">
        <v>10760.06</v>
      </c>
      <c r="N15" s="22" t="n">
        <v>11393.3</v>
      </c>
      <c r="O15" s="22" t="n">
        <v>11364.18</v>
      </c>
      <c r="P15" s="22" t="n">
        <v>12051.19</v>
      </c>
      <c r="Q15" s="22" t="n">
        <v>12611.6</v>
      </c>
      <c r="R15" s="22" t="n">
        <v>13127.49</v>
      </c>
      <c r="S15" s="22" t="n">
        <v>13943.78</v>
      </c>
      <c r="T15" s="22" t="n">
        <v>14481.46</v>
      </c>
      <c r="U15" s="22" t="n">
        <v>15327.38</v>
      </c>
    </row>
    <row r="16" customFormat="false" ht="15" hidden="false" customHeight="false" outlineLevel="0" collapsed="false">
      <c r="A16" s="12" t="s">
        <v>130</v>
      </c>
      <c r="B16" s="12" t="s">
        <v>128</v>
      </c>
      <c r="C16" s="12" t="s">
        <v>83</v>
      </c>
      <c r="D16" s="12" t="s">
        <v>64</v>
      </c>
      <c r="E16" s="22" t="n">
        <v>15160</v>
      </c>
      <c r="F16" s="22" t="n">
        <v>15545.16</v>
      </c>
      <c r="G16" s="22" t="n">
        <v>15770.16</v>
      </c>
      <c r="H16" s="22" t="n">
        <v>15718.4</v>
      </c>
      <c r="I16" s="22" t="n">
        <v>15705.88</v>
      </c>
      <c r="J16" s="22" t="n">
        <v>15555.04</v>
      </c>
      <c r="K16" s="22" t="n">
        <v>15688.2</v>
      </c>
      <c r="L16" s="22" t="n">
        <v>15962.29</v>
      </c>
      <c r="M16" s="22" t="n">
        <v>15832.23</v>
      </c>
      <c r="N16" s="22" t="n">
        <v>16326.55</v>
      </c>
      <c r="O16" s="22" t="n">
        <v>16475.96</v>
      </c>
      <c r="P16" s="22" t="n">
        <v>16598.58</v>
      </c>
      <c r="Q16" s="22" t="n">
        <v>16903.83</v>
      </c>
      <c r="R16" s="22" t="n">
        <v>17456.02</v>
      </c>
      <c r="S16" s="22" t="n">
        <v>18000</v>
      </c>
      <c r="T16" s="22" t="n">
        <v>18766.38</v>
      </c>
      <c r="U16" s="22" t="n">
        <v>19776</v>
      </c>
    </row>
    <row r="17" customFormat="false" ht="15" hidden="false" customHeight="false" outlineLevel="0" collapsed="false">
      <c r="A17" s="12" t="s">
        <v>131</v>
      </c>
      <c r="B17" s="12" t="s">
        <v>128</v>
      </c>
      <c r="C17" s="12" t="s">
        <v>83</v>
      </c>
      <c r="D17" s="12" t="s">
        <v>62</v>
      </c>
      <c r="E17" s="22" t="n">
        <v>20057.56</v>
      </c>
      <c r="F17" s="22" t="n">
        <v>20730.71</v>
      </c>
      <c r="G17" s="22" t="n">
        <v>21206.99</v>
      </c>
      <c r="H17" s="22" t="n">
        <v>21487.99</v>
      </c>
      <c r="I17" s="22" t="n">
        <v>21425.14</v>
      </c>
      <c r="J17" s="22" t="n">
        <v>21371.13</v>
      </c>
      <c r="K17" s="22" t="n">
        <v>21528.5</v>
      </c>
      <c r="L17" s="22" t="n">
        <v>21740.88</v>
      </c>
      <c r="M17" s="22" t="n">
        <v>21626</v>
      </c>
      <c r="N17" s="22" t="n">
        <v>21970.34</v>
      </c>
      <c r="O17" s="22" t="n">
        <v>22241.88</v>
      </c>
      <c r="P17" s="22" t="n">
        <v>22368.07</v>
      </c>
      <c r="Q17" s="22" t="n">
        <v>22774.1</v>
      </c>
      <c r="R17" s="22" t="n">
        <v>23490.62</v>
      </c>
      <c r="S17" s="22" t="n">
        <v>24238.23</v>
      </c>
      <c r="T17" s="22" t="n">
        <v>25088.03</v>
      </c>
      <c r="U17" s="22" t="n">
        <v>26376.88</v>
      </c>
    </row>
    <row r="18" customFormat="false" ht="15" hidden="false" customHeight="false" outlineLevel="0" collapsed="false">
      <c r="A18" s="12" t="s">
        <v>132</v>
      </c>
      <c r="B18" s="12" t="s">
        <v>128</v>
      </c>
      <c r="C18" s="12" t="s">
        <v>83</v>
      </c>
      <c r="D18" s="12" t="s">
        <v>65</v>
      </c>
      <c r="E18" s="22" t="n">
        <v>29385.82</v>
      </c>
      <c r="F18" s="22" t="n">
        <v>30678.89</v>
      </c>
      <c r="G18" s="22" t="n">
        <v>31164.24</v>
      </c>
      <c r="H18" s="22" t="n">
        <v>31874.98</v>
      </c>
      <c r="I18" s="22" t="n">
        <v>31866.94</v>
      </c>
      <c r="J18" s="22" t="n">
        <v>32114.8</v>
      </c>
      <c r="K18" s="22" t="n">
        <v>31837</v>
      </c>
      <c r="L18" s="22" t="n">
        <v>32194.83</v>
      </c>
      <c r="M18" s="22" t="n">
        <v>32178.45</v>
      </c>
      <c r="N18" s="22" t="n">
        <v>32512.91</v>
      </c>
      <c r="O18" s="22" t="n">
        <v>32757.99</v>
      </c>
      <c r="P18" s="22" t="n">
        <v>33106.84</v>
      </c>
      <c r="Q18" s="22" t="n">
        <v>34059.03</v>
      </c>
      <c r="R18" s="22" t="n">
        <v>34943.35</v>
      </c>
      <c r="S18" s="22" t="n">
        <v>35899.29</v>
      </c>
      <c r="T18" s="22" t="n">
        <v>37151.9</v>
      </c>
      <c r="U18" s="22" t="n">
        <v>39239.7</v>
      </c>
    </row>
    <row r="19" customFormat="false" ht="15" hidden="false" customHeight="false" outlineLevel="0" collapsed="false">
      <c r="A19" s="12" t="s">
        <v>133</v>
      </c>
      <c r="B19" s="12" t="s">
        <v>128</v>
      </c>
      <c r="C19" s="12" t="s">
        <v>83</v>
      </c>
      <c r="D19" s="12" t="s">
        <v>66</v>
      </c>
      <c r="E19" s="22" t="n">
        <v>41792.77</v>
      </c>
      <c r="F19" s="22" t="n">
        <v>43406.27</v>
      </c>
      <c r="G19" s="22" t="n">
        <v>44725.21</v>
      </c>
      <c r="H19" s="22" t="n">
        <v>44848.03</v>
      </c>
      <c r="I19" s="22" t="n">
        <v>45494.89</v>
      </c>
      <c r="J19" s="22" t="n">
        <v>45516.2</v>
      </c>
      <c r="K19" s="22" t="n">
        <v>45259.58</v>
      </c>
      <c r="L19" s="22" t="n">
        <v>45148.06</v>
      </c>
      <c r="M19" s="22" t="n">
        <v>45543.69</v>
      </c>
      <c r="N19" s="22" t="n">
        <v>45813.46</v>
      </c>
      <c r="O19" s="22" t="n">
        <v>47221.3</v>
      </c>
      <c r="P19" s="22" t="n">
        <v>47365.85</v>
      </c>
      <c r="Q19" s="22" t="n">
        <v>48569.62</v>
      </c>
      <c r="R19" s="22" t="n">
        <v>49476.19</v>
      </c>
      <c r="S19" s="22" t="n">
        <v>51637.49</v>
      </c>
      <c r="T19" s="22" t="n">
        <v>53191.64</v>
      </c>
      <c r="U19" s="22" t="n">
        <v>56153.65</v>
      </c>
    </row>
    <row r="20" customFormat="false" ht="15" hidden="false" customHeight="false" outlineLevel="0" collapsed="false">
      <c r="A20" s="12" t="s">
        <v>134</v>
      </c>
      <c r="B20" s="12" t="s">
        <v>114</v>
      </c>
      <c r="C20" s="12" t="s">
        <v>84</v>
      </c>
      <c r="D20" s="12" t="s">
        <v>61</v>
      </c>
      <c r="E20" s="22" t="n">
        <v>25269.61</v>
      </c>
      <c r="F20" s="22" t="n">
        <v>25860.65</v>
      </c>
      <c r="G20" s="22" t="n">
        <v>25988.95</v>
      </c>
      <c r="H20" s="22" t="n">
        <v>25845.2</v>
      </c>
      <c r="I20" s="22" t="n">
        <v>26044.39</v>
      </c>
      <c r="J20" s="22" t="n">
        <v>26215.36</v>
      </c>
      <c r="K20" s="22" t="n">
        <v>26570.35</v>
      </c>
      <c r="L20" s="22" t="n">
        <v>26448.04</v>
      </c>
      <c r="M20" s="22" t="n">
        <v>26330.14</v>
      </c>
      <c r="N20" s="22" t="n">
        <v>27089.12</v>
      </c>
      <c r="O20" s="22" t="n">
        <v>27010.93</v>
      </c>
      <c r="P20" s="22" t="n">
        <v>27817.76</v>
      </c>
      <c r="Q20" s="22" t="n">
        <v>28829.06</v>
      </c>
      <c r="R20" s="22" t="n">
        <v>29512.58</v>
      </c>
      <c r="S20" s="22" t="n">
        <v>31230.73</v>
      </c>
      <c r="T20" s="22" t="n">
        <v>32219.6</v>
      </c>
      <c r="U20" s="22" t="n">
        <v>34410.01</v>
      </c>
    </row>
    <row r="21" customFormat="false" ht="15" hidden="false" customHeight="false" outlineLevel="0" collapsed="false">
      <c r="A21" s="12" t="s">
        <v>135</v>
      </c>
      <c r="B21" s="12" t="s">
        <v>114</v>
      </c>
      <c r="C21" s="12" t="s">
        <v>84</v>
      </c>
      <c r="D21" s="12" t="s">
        <v>63</v>
      </c>
      <c r="E21" s="22" t="n">
        <v>9715.01</v>
      </c>
      <c r="F21" s="22" t="n">
        <v>9773.58</v>
      </c>
      <c r="G21" s="22" t="n">
        <v>10101.07</v>
      </c>
      <c r="H21" s="22" t="n">
        <v>9307.05</v>
      </c>
      <c r="I21" s="22" t="n">
        <v>9154.8</v>
      </c>
      <c r="J21" s="22" t="n">
        <v>8884.58</v>
      </c>
      <c r="K21" s="22" t="n">
        <v>8862.52</v>
      </c>
      <c r="L21" s="22" t="n">
        <v>9165.01</v>
      </c>
      <c r="M21" s="22" t="n">
        <v>9619.78</v>
      </c>
      <c r="N21" s="22" t="n">
        <v>9920.36</v>
      </c>
      <c r="O21" s="22" t="n">
        <v>9396.89</v>
      </c>
      <c r="P21" s="22" t="n">
        <v>10063.68</v>
      </c>
      <c r="Q21" s="22" t="n">
        <v>11402.18</v>
      </c>
      <c r="R21" s="22" t="n">
        <v>11769.4</v>
      </c>
      <c r="S21" s="22" t="n">
        <v>12432.75</v>
      </c>
      <c r="T21" s="22" t="n">
        <v>13160</v>
      </c>
      <c r="U21" s="22" t="n">
        <v>13728.43</v>
      </c>
    </row>
    <row r="22" customFormat="false" ht="15" hidden="false" customHeight="false" outlineLevel="0" collapsed="false">
      <c r="A22" s="12" t="s">
        <v>136</v>
      </c>
      <c r="B22" s="12" t="s">
        <v>114</v>
      </c>
      <c r="C22" s="12" t="s">
        <v>84</v>
      </c>
      <c r="D22" s="12" t="s">
        <v>64</v>
      </c>
      <c r="E22" s="22" t="n">
        <v>13915.75</v>
      </c>
      <c r="F22" s="22" t="n">
        <v>14205.96</v>
      </c>
      <c r="G22" s="22" t="n">
        <v>14604.68</v>
      </c>
      <c r="H22" s="22" t="n">
        <v>14192.74</v>
      </c>
      <c r="I22" s="22" t="n">
        <v>14323.48</v>
      </c>
      <c r="J22" s="22" t="n">
        <v>14117.55</v>
      </c>
      <c r="K22" s="22" t="n">
        <v>14275.72</v>
      </c>
      <c r="L22" s="22" t="n">
        <v>14359.3</v>
      </c>
      <c r="M22" s="22" t="n">
        <v>14263.26</v>
      </c>
      <c r="N22" s="22" t="n">
        <v>14697.3</v>
      </c>
      <c r="O22" s="22" t="n">
        <v>14732.73</v>
      </c>
      <c r="P22" s="22" t="n">
        <v>15070.7</v>
      </c>
      <c r="Q22" s="22" t="n">
        <v>15709.73</v>
      </c>
      <c r="R22" s="22" t="n">
        <v>16463.53</v>
      </c>
      <c r="S22" s="22" t="n">
        <v>17085.48</v>
      </c>
      <c r="T22" s="22" t="n">
        <v>17938.54</v>
      </c>
      <c r="U22" s="22" t="n">
        <v>18872.44</v>
      </c>
    </row>
    <row r="23" customFormat="false" ht="15" hidden="false" customHeight="false" outlineLevel="0" collapsed="false">
      <c r="A23" s="12" t="s">
        <v>137</v>
      </c>
      <c r="B23" s="12" t="s">
        <v>114</v>
      </c>
      <c r="C23" s="12" t="s">
        <v>84</v>
      </c>
      <c r="D23" s="12" t="s">
        <v>62</v>
      </c>
      <c r="E23" s="22" t="n">
        <v>20269.59</v>
      </c>
      <c r="F23" s="22" t="n">
        <v>20712.42</v>
      </c>
      <c r="G23" s="22" t="n">
        <v>21319.25</v>
      </c>
      <c r="H23" s="22" t="n">
        <v>21045.69</v>
      </c>
      <c r="I23" s="22" t="n">
        <v>21418.48</v>
      </c>
      <c r="J23" s="22" t="n">
        <v>21273.89</v>
      </c>
      <c r="K23" s="22" t="n">
        <v>21579.38</v>
      </c>
      <c r="L23" s="22" t="n">
        <v>21307.78</v>
      </c>
      <c r="M23" s="22" t="n">
        <v>21165</v>
      </c>
      <c r="N23" s="22" t="n">
        <v>21608.08</v>
      </c>
      <c r="O23" s="22" t="n">
        <v>21477.88</v>
      </c>
      <c r="P23" s="22" t="n">
        <v>22262.74</v>
      </c>
      <c r="Q23" s="22" t="n">
        <v>23231.04</v>
      </c>
      <c r="R23" s="22" t="n">
        <v>24090.61</v>
      </c>
      <c r="S23" s="22" t="n">
        <v>25203.47</v>
      </c>
      <c r="T23" s="22" t="n">
        <v>26100.08</v>
      </c>
      <c r="U23" s="22" t="n">
        <v>28037.75</v>
      </c>
    </row>
    <row r="24" customFormat="false" ht="15" hidden="false" customHeight="false" outlineLevel="0" collapsed="false">
      <c r="A24" s="12" t="s">
        <v>138</v>
      </c>
      <c r="B24" s="12" t="s">
        <v>114</v>
      </c>
      <c r="C24" s="12" t="s">
        <v>84</v>
      </c>
      <c r="D24" s="12" t="s">
        <v>65</v>
      </c>
      <c r="E24" s="22" t="n">
        <v>32008.66</v>
      </c>
      <c r="F24" s="22" t="n">
        <v>33000</v>
      </c>
      <c r="G24" s="22" t="n">
        <v>32678.77</v>
      </c>
      <c r="H24" s="22" t="n">
        <v>33026.05</v>
      </c>
      <c r="I24" s="22" t="n">
        <v>33429.03</v>
      </c>
      <c r="J24" s="22" t="n">
        <v>33557.52</v>
      </c>
      <c r="K24" s="22" t="n">
        <v>33791.93</v>
      </c>
      <c r="L24" s="22" t="n">
        <v>33382.74</v>
      </c>
      <c r="M24" s="22" t="n">
        <v>33321.02</v>
      </c>
      <c r="N24" s="22" t="n">
        <v>34094.32</v>
      </c>
      <c r="O24" s="22" t="n">
        <v>34273.57</v>
      </c>
      <c r="P24" s="22" t="n">
        <v>35519.71</v>
      </c>
      <c r="Q24" s="22" t="n">
        <v>36697.27</v>
      </c>
      <c r="R24" s="22" t="n">
        <v>37441.93</v>
      </c>
      <c r="S24" s="22" t="n">
        <v>39260.5</v>
      </c>
      <c r="T24" s="22" t="n">
        <v>40977.46</v>
      </c>
      <c r="U24" s="22" t="n">
        <v>43598</v>
      </c>
    </row>
    <row r="25" customFormat="false" ht="15" hidden="false" customHeight="false" outlineLevel="0" collapsed="false">
      <c r="A25" s="12" t="s">
        <v>139</v>
      </c>
      <c r="B25" s="12" t="s">
        <v>114</v>
      </c>
      <c r="C25" s="12" t="s">
        <v>84</v>
      </c>
      <c r="D25" s="12" t="s">
        <v>66</v>
      </c>
      <c r="E25" s="22" t="n">
        <v>46748.62</v>
      </c>
      <c r="F25" s="22" t="n">
        <v>48338.55</v>
      </c>
      <c r="G25" s="22" t="n">
        <v>47391.3</v>
      </c>
      <c r="H25" s="22" t="n">
        <v>48212.49</v>
      </c>
      <c r="I25" s="22" t="n">
        <v>48734.74</v>
      </c>
      <c r="J25" s="22" t="n">
        <v>49370.05</v>
      </c>
      <c r="K25" s="22" t="n">
        <v>49985.99</v>
      </c>
      <c r="L25" s="22" t="n">
        <v>49079.02</v>
      </c>
      <c r="M25" s="22" t="n">
        <v>49427.2</v>
      </c>
      <c r="N25" s="22" t="n">
        <v>50280.72</v>
      </c>
      <c r="O25" s="22" t="n">
        <v>51234.14</v>
      </c>
      <c r="P25" s="22" t="n">
        <v>51938.58</v>
      </c>
      <c r="Q25" s="22" t="n">
        <v>53499.96</v>
      </c>
      <c r="R25" s="22" t="n">
        <v>54074.15</v>
      </c>
      <c r="S25" s="22" t="n">
        <v>57854.73</v>
      </c>
      <c r="T25" s="22" t="n">
        <v>59648.4</v>
      </c>
      <c r="U25" s="22" t="n">
        <v>63685.49</v>
      </c>
    </row>
    <row r="26" customFormat="false" ht="15" hidden="false" customHeight="false" outlineLevel="0" collapsed="false">
      <c r="A26" s="12" t="s">
        <v>140</v>
      </c>
      <c r="B26" s="12" t="s">
        <v>121</v>
      </c>
      <c r="C26" s="12" t="s">
        <v>84</v>
      </c>
      <c r="D26" s="12" t="s">
        <v>61</v>
      </c>
      <c r="E26" s="22" t="n">
        <v>21787.75</v>
      </c>
      <c r="F26" s="22" t="n">
        <v>22048.25</v>
      </c>
      <c r="G26" s="22" t="n">
        <v>22721.17</v>
      </c>
      <c r="H26" s="22" t="n">
        <v>22585.38</v>
      </c>
      <c r="I26" s="22" t="n">
        <v>22841.15</v>
      </c>
      <c r="J26" s="22" t="n">
        <v>22959.28</v>
      </c>
      <c r="K26" s="22" t="n">
        <v>23326.94</v>
      </c>
      <c r="L26" s="22" t="n">
        <v>23470.06</v>
      </c>
      <c r="M26" s="22" t="n">
        <v>23371.33</v>
      </c>
      <c r="N26" s="22" t="n">
        <v>24029.31</v>
      </c>
      <c r="O26" s="22" t="n">
        <v>23925.99</v>
      </c>
      <c r="P26" s="22" t="n">
        <v>24873.79</v>
      </c>
      <c r="Q26" s="22" t="n">
        <v>25900.29</v>
      </c>
      <c r="R26" s="22" t="n">
        <v>26578.07</v>
      </c>
      <c r="S26" s="22" t="n">
        <v>28123.47</v>
      </c>
      <c r="T26" s="22" t="n">
        <v>29250.2</v>
      </c>
      <c r="U26" s="22" t="n">
        <v>31048.41</v>
      </c>
    </row>
    <row r="27" customFormat="false" ht="15" hidden="false" customHeight="false" outlineLevel="0" collapsed="false">
      <c r="A27" s="12" t="s">
        <v>141</v>
      </c>
      <c r="B27" s="12" t="s">
        <v>121</v>
      </c>
      <c r="C27" s="12" t="s">
        <v>84</v>
      </c>
      <c r="D27" s="12" t="s">
        <v>63</v>
      </c>
      <c r="E27" s="22" t="n">
        <v>8478.81</v>
      </c>
      <c r="F27" s="22" t="n">
        <v>7899.97</v>
      </c>
      <c r="G27" s="22" t="n">
        <v>8570.31</v>
      </c>
      <c r="H27" s="22" t="n">
        <v>8100.7</v>
      </c>
      <c r="I27" s="22" t="n">
        <v>7799.28</v>
      </c>
      <c r="J27" s="22" t="n">
        <v>7665</v>
      </c>
      <c r="K27" s="22" t="n">
        <v>7413</v>
      </c>
      <c r="L27" s="22" t="n">
        <v>7992.33</v>
      </c>
      <c r="M27" s="22" t="n">
        <v>8236.82</v>
      </c>
      <c r="N27" s="22" t="n">
        <v>8311.22</v>
      </c>
      <c r="O27" s="22" t="n">
        <v>7876.76</v>
      </c>
      <c r="P27" s="22" t="n">
        <v>8609.76</v>
      </c>
      <c r="Q27" s="22" t="n">
        <v>9607.22</v>
      </c>
      <c r="R27" s="22" t="n">
        <v>10139.6</v>
      </c>
      <c r="S27" s="22" t="n">
        <v>10067.22</v>
      </c>
      <c r="T27" s="22" t="n">
        <v>10837.85</v>
      </c>
      <c r="U27" s="22" t="n">
        <v>11444.52</v>
      </c>
    </row>
    <row r="28" customFormat="false" ht="15" hidden="false" customHeight="false" outlineLevel="0" collapsed="false">
      <c r="A28" s="12" t="s">
        <v>142</v>
      </c>
      <c r="B28" s="12" t="s">
        <v>121</v>
      </c>
      <c r="C28" s="12" t="s">
        <v>84</v>
      </c>
      <c r="D28" s="12" t="s">
        <v>64</v>
      </c>
      <c r="E28" s="22" t="n">
        <v>12039.09</v>
      </c>
      <c r="F28" s="22" t="n">
        <v>12448.45</v>
      </c>
      <c r="G28" s="22" t="n">
        <v>13081.11</v>
      </c>
      <c r="H28" s="22" t="n">
        <v>12542.34</v>
      </c>
      <c r="I28" s="22" t="n">
        <v>12569.16</v>
      </c>
      <c r="J28" s="22" t="n">
        <v>12380.43</v>
      </c>
      <c r="K28" s="22" t="n">
        <v>12661.16</v>
      </c>
      <c r="L28" s="22" t="n">
        <v>12694.31</v>
      </c>
      <c r="M28" s="22" t="n">
        <v>12641.22</v>
      </c>
      <c r="N28" s="22" t="n">
        <v>13048.7</v>
      </c>
      <c r="O28" s="22" t="n">
        <v>12989.48</v>
      </c>
      <c r="P28" s="22" t="n">
        <v>13551.2</v>
      </c>
      <c r="Q28" s="22" t="n">
        <v>14085.32</v>
      </c>
      <c r="R28" s="22" t="n">
        <v>14765.04</v>
      </c>
      <c r="S28" s="22" t="n">
        <v>15586.16</v>
      </c>
      <c r="T28" s="22" t="n">
        <v>16096.04</v>
      </c>
      <c r="U28" s="22" t="n">
        <v>17071.26</v>
      </c>
    </row>
    <row r="29" customFormat="false" ht="15" hidden="false" customHeight="false" outlineLevel="0" collapsed="false">
      <c r="A29" s="12" t="s">
        <v>143</v>
      </c>
      <c r="B29" s="12" t="s">
        <v>121</v>
      </c>
      <c r="C29" s="12" t="s">
        <v>84</v>
      </c>
      <c r="D29" s="12" t="s">
        <v>62</v>
      </c>
      <c r="E29" s="22" t="n">
        <v>17532.26</v>
      </c>
      <c r="F29" s="22" t="n">
        <v>17845.57</v>
      </c>
      <c r="G29" s="22" t="n">
        <v>18788.2</v>
      </c>
      <c r="H29" s="22" t="n">
        <v>18448.38</v>
      </c>
      <c r="I29" s="22" t="n">
        <v>18595.78</v>
      </c>
      <c r="J29" s="22" t="n">
        <v>18587.64</v>
      </c>
      <c r="K29" s="22" t="n">
        <v>19133.47</v>
      </c>
      <c r="L29" s="22" t="n">
        <v>19145</v>
      </c>
      <c r="M29" s="22" t="n">
        <v>18823.19</v>
      </c>
      <c r="N29" s="22" t="n">
        <v>19368.41</v>
      </c>
      <c r="O29" s="22" t="n">
        <v>19044.86</v>
      </c>
      <c r="P29" s="22" t="n">
        <v>20182.37</v>
      </c>
      <c r="Q29" s="22" t="n">
        <v>21072.14</v>
      </c>
      <c r="R29" s="22" t="n">
        <v>21818.13</v>
      </c>
      <c r="S29" s="22" t="n">
        <v>22898.14</v>
      </c>
      <c r="T29" s="22" t="n">
        <v>24037.76</v>
      </c>
      <c r="U29" s="22" t="n">
        <v>25362.11</v>
      </c>
    </row>
    <row r="30" customFormat="false" ht="15" hidden="false" customHeight="false" outlineLevel="0" collapsed="false">
      <c r="A30" s="12" t="s">
        <v>144</v>
      </c>
      <c r="B30" s="12" t="s">
        <v>121</v>
      </c>
      <c r="C30" s="12" t="s">
        <v>84</v>
      </c>
      <c r="D30" s="12" t="s">
        <v>65</v>
      </c>
      <c r="E30" s="22" t="n">
        <v>27719.89</v>
      </c>
      <c r="F30" s="22" t="n">
        <v>27994.3</v>
      </c>
      <c r="G30" s="22" t="n">
        <v>28789.2</v>
      </c>
      <c r="H30" s="22" t="n">
        <v>28736.66</v>
      </c>
      <c r="I30" s="22" t="n">
        <v>29026.47</v>
      </c>
      <c r="J30" s="22" t="n">
        <v>29358.58</v>
      </c>
      <c r="K30" s="22" t="n">
        <v>30072.78</v>
      </c>
      <c r="L30" s="22" t="n">
        <v>29977.47</v>
      </c>
      <c r="M30" s="22" t="n">
        <v>30000</v>
      </c>
      <c r="N30" s="22" t="n">
        <v>30691.77</v>
      </c>
      <c r="O30" s="22" t="n">
        <v>30705.13</v>
      </c>
      <c r="P30" s="22" t="n">
        <v>32189.62</v>
      </c>
      <c r="Q30" s="22" t="n">
        <v>33262.84</v>
      </c>
      <c r="R30" s="22" t="n">
        <v>33656.91</v>
      </c>
      <c r="S30" s="22" t="n">
        <v>35700.3</v>
      </c>
      <c r="T30" s="22" t="n">
        <v>37308.1</v>
      </c>
      <c r="U30" s="22" t="n">
        <v>39230.44</v>
      </c>
    </row>
    <row r="31" customFormat="false" ht="15" hidden="false" customHeight="false" outlineLevel="0" collapsed="false">
      <c r="A31" s="12" t="s">
        <v>145</v>
      </c>
      <c r="B31" s="12" t="s">
        <v>121</v>
      </c>
      <c r="C31" s="12" t="s">
        <v>84</v>
      </c>
      <c r="D31" s="12" t="s">
        <v>66</v>
      </c>
      <c r="E31" s="22" t="n">
        <v>40719.2</v>
      </c>
      <c r="F31" s="22" t="n">
        <v>41205.74</v>
      </c>
      <c r="G31" s="22" t="n">
        <v>41447.27</v>
      </c>
      <c r="H31" s="22" t="n">
        <v>41987.23</v>
      </c>
      <c r="I31" s="22" t="n">
        <v>43196.05</v>
      </c>
      <c r="J31" s="22" t="n">
        <v>43720.54</v>
      </c>
      <c r="K31" s="22" t="n">
        <v>44066.81</v>
      </c>
      <c r="L31" s="22" t="n">
        <v>44333.1</v>
      </c>
      <c r="M31" s="22" t="n">
        <v>44087.69</v>
      </c>
      <c r="N31" s="22" t="n">
        <v>45093.89</v>
      </c>
      <c r="O31" s="22" t="n">
        <v>46068.16</v>
      </c>
      <c r="P31" s="22" t="n">
        <v>47387.2</v>
      </c>
      <c r="Q31" s="22" t="n">
        <v>48428.96</v>
      </c>
      <c r="R31" s="22" t="n">
        <v>48699.83</v>
      </c>
      <c r="S31" s="22" t="n">
        <v>52796.29</v>
      </c>
      <c r="T31" s="22" t="n">
        <v>54173.87</v>
      </c>
      <c r="U31" s="22" t="n">
        <v>57968.53</v>
      </c>
    </row>
    <row r="32" customFormat="false" ht="15" hidden="false" customHeight="false" outlineLevel="0" collapsed="false">
      <c r="A32" s="12" t="s">
        <v>146</v>
      </c>
      <c r="B32" s="12" t="s">
        <v>128</v>
      </c>
      <c r="C32" s="12" t="s">
        <v>84</v>
      </c>
      <c r="D32" s="12" t="s">
        <v>61</v>
      </c>
      <c r="E32" s="22" t="n">
        <v>28228.42</v>
      </c>
      <c r="F32" s="22" t="n">
        <v>29333.06</v>
      </c>
      <c r="G32" s="22" t="n">
        <v>29016.28</v>
      </c>
      <c r="H32" s="22" t="n">
        <v>28896.67</v>
      </c>
      <c r="I32" s="22" t="n">
        <v>29116.2</v>
      </c>
      <c r="J32" s="22" t="n">
        <v>29224.3</v>
      </c>
      <c r="K32" s="22" t="n">
        <v>29734.23</v>
      </c>
      <c r="L32" s="22" t="n">
        <v>29314.09</v>
      </c>
      <c r="M32" s="22" t="n">
        <v>29111.2</v>
      </c>
      <c r="N32" s="22" t="n">
        <v>29910.43</v>
      </c>
      <c r="O32" s="22" t="n">
        <v>29816.34</v>
      </c>
      <c r="P32" s="22" t="n">
        <v>30530.89</v>
      </c>
      <c r="Q32" s="22" t="n">
        <v>31495.31</v>
      </c>
      <c r="R32" s="22" t="n">
        <v>32213.88</v>
      </c>
      <c r="S32" s="22" t="n">
        <v>34113.4</v>
      </c>
      <c r="T32" s="22" t="n">
        <v>35052.21</v>
      </c>
      <c r="U32" s="22" t="n">
        <v>37634.49</v>
      </c>
    </row>
    <row r="33" customFormat="false" ht="15" hidden="false" customHeight="false" outlineLevel="0" collapsed="false">
      <c r="A33" s="12" t="s">
        <v>147</v>
      </c>
      <c r="B33" s="12" t="s">
        <v>128</v>
      </c>
      <c r="C33" s="12" t="s">
        <v>84</v>
      </c>
      <c r="D33" s="12" t="s">
        <v>63</v>
      </c>
      <c r="E33" s="22" t="n">
        <v>11453</v>
      </c>
      <c r="F33" s="22" t="n">
        <v>11839.56</v>
      </c>
      <c r="G33" s="22" t="n">
        <v>12030.09</v>
      </c>
      <c r="H33" s="22" t="n">
        <v>11037.96</v>
      </c>
      <c r="I33" s="22" t="n">
        <v>10974</v>
      </c>
      <c r="J33" s="22" t="n">
        <v>10415.22</v>
      </c>
      <c r="K33" s="22" t="n">
        <v>10345.91</v>
      </c>
      <c r="L33" s="22" t="n">
        <v>11122.08</v>
      </c>
      <c r="M33" s="22" t="n">
        <v>11168.75</v>
      </c>
      <c r="N33" s="22" t="n">
        <v>12026.24</v>
      </c>
      <c r="O33" s="22" t="n">
        <v>11538.92</v>
      </c>
      <c r="P33" s="22" t="n">
        <v>12193.26</v>
      </c>
      <c r="Q33" s="22" t="n">
        <v>13191.93</v>
      </c>
      <c r="R33" s="22" t="n">
        <v>13439.74</v>
      </c>
      <c r="S33" s="22" t="n">
        <v>14473.41</v>
      </c>
      <c r="T33" s="22" t="n">
        <v>14956.9</v>
      </c>
      <c r="U33" s="22" t="n">
        <v>15876</v>
      </c>
    </row>
    <row r="34" customFormat="false" ht="15" hidden="false" customHeight="false" outlineLevel="0" collapsed="false">
      <c r="A34" s="12" t="s">
        <v>148</v>
      </c>
      <c r="B34" s="12" t="s">
        <v>128</v>
      </c>
      <c r="C34" s="12" t="s">
        <v>84</v>
      </c>
      <c r="D34" s="12" t="s">
        <v>64</v>
      </c>
      <c r="E34" s="22" t="n">
        <v>15897.87</v>
      </c>
      <c r="F34" s="22" t="n">
        <v>16422</v>
      </c>
      <c r="G34" s="22" t="n">
        <v>16650.2</v>
      </c>
      <c r="H34" s="22" t="n">
        <v>16284.24</v>
      </c>
      <c r="I34" s="22" t="n">
        <v>16338.12</v>
      </c>
      <c r="J34" s="22" t="n">
        <v>16003.54</v>
      </c>
      <c r="K34" s="22" t="n">
        <v>16169.88</v>
      </c>
      <c r="L34" s="22" t="n">
        <v>15999.84</v>
      </c>
      <c r="M34" s="22" t="n">
        <v>15889.39</v>
      </c>
      <c r="N34" s="22" t="n">
        <v>16477.3</v>
      </c>
      <c r="O34" s="22" t="n">
        <v>16610.58</v>
      </c>
      <c r="P34" s="22" t="n">
        <v>16958.07</v>
      </c>
      <c r="Q34" s="22" t="n">
        <v>17649.47</v>
      </c>
      <c r="R34" s="22" t="n">
        <v>18648.54</v>
      </c>
      <c r="S34" s="22" t="n">
        <v>19020.12</v>
      </c>
      <c r="T34" s="22" t="n">
        <v>19910.77</v>
      </c>
      <c r="U34" s="22" t="n">
        <v>21409.25</v>
      </c>
    </row>
    <row r="35" customFormat="false" ht="15" hidden="false" customHeight="false" outlineLevel="0" collapsed="false">
      <c r="A35" s="12" t="s">
        <v>149</v>
      </c>
      <c r="B35" s="12" t="s">
        <v>128</v>
      </c>
      <c r="C35" s="12" t="s">
        <v>84</v>
      </c>
      <c r="D35" s="12" t="s">
        <v>62</v>
      </c>
      <c r="E35" s="22" t="n">
        <v>22633.84</v>
      </c>
      <c r="F35" s="22" t="n">
        <v>23526.93</v>
      </c>
      <c r="G35" s="22" t="n">
        <v>23662.92</v>
      </c>
      <c r="H35" s="22" t="n">
        <v>23755.2</v>
      </c>
      <c r="I35" s="22" t="n">
        <v>24178.37</v>
      </c>
      <c r="J35" s="22" t="n">
        <v>24000.06</v>
      </c>
      <c r="K35" s="22" t="n">
        <v>24238.32</v>
      </c>
      <c r="L35" s="22" t="n">
        <v>23478.83</v>
      </c>
      <c r="M35" s="22" t="n">
        <v>23368.24</v>
      </c>
      <c r="N35" s="22" t="n">
        <v>23704</v>
      </c>
      <c r="O35" s="22" t="n">
        <v>23682.67</v>
      </c>
      <c r="P35" s="22" t="n">
        <v>24408.73</v>
      </c>
      <c r="Q35" s="22" t="n">
        <v>25381.84</v>
      </c>
      <c r="R35" s="22" t="n">
        <v>26497.78</v>
      </c>
      <c r="S35" s="22" t="n">
        <v>27110</v>
      </c>
      <c r="T35" s="22" t="n">
        <v>28368.52</v>
      </c>
      <c r="U35" s="22" t="n">
        <v>30680.09</v>
      </c>
    </row>
    <row r="36" customFormat="false" ht="15" hidden="false" customHeight="false" outlineLevel="0" collapsed="false">
      <c r="A36" s="12" t="s">
        <v>150</v>
      </c>
      <c r="B36" s="12" t="s">
        <v>128</v>
      </c>
      <c r="C36" s="12" t="s">
        <v>84</v>
      </c>
      <c r="D36" s="12" t="s">
        <v>65</v>
      </c>
      <c r="E36" s="22" t="n">
        <v>35649.96</v>
      </c>
      <c r="F36" s="22" t="n">
        <v>37212.94</v>
      </c>
      <c r="G36" s="22" t="n">
        <v>36000.02</v>
      </c>
      <c r="H36" s="22" t="n">
        <v>37146.25</v>
      </c>
      <c r="I36" s="22" t="n">
        <v>37234.04</v>
      </c>
      <c r="J36" s="22" t="n">
        <v>37329.51</v>
      </c>
      <c r="K36" s="22" t="n">
        <v>37789.86</v>
      </c>
      <c r="L36" s="22" t="n">
        <v>37020.02</v>
      </c>
      <c r="M36" s="22" t="n">
        <v>37121.73</v>
      </c>
      <c r="N36" s="22" t="n">
        <v>37524.86</v>
      </c>
      <c r="O36" s="22" t="n">
        <v>37538.84</v>
      </c>
      <c r="P36" s="22" t="n">
        <v>38694.39</v>
      </c>
      <c r="Q36" s="22" t="n">
        <v>39945.14</v>
      </c>
      <c r="R36" s="22" t="n">
        <v>40850.95</v>
      </c>
      <c r="S36" s="22" t="n">
        <v>42575.16</v>
      </c>
      <c r="T36" s="22" t="n">
        <v>44502.09</v>
      </c>
      <c r="U36" s="22" t="n">
        <v>47685.13</v>
      </c>
    </row>
    <row r="37" customFormat="false" ht="15" hidden="false" customHeight="false" outlineLevel="0" collapsed="false">
      <c r="A37" s="12" t="s">
        <v>151</v>
      </c>
      <c r="B37" s="12" t="s">
        <v>128</v>
      </c>
      <c r="C37" s="12" t="s">
        <v>84</v>
      </c>
      <c r="D37" s="12" t="s">
        <v>66</v>
      </c>
      <c r="E37" s="22" t="n">
        <v>52686.37</v>
      </c>
      <c r="F37" s="22" t="n">
        <v>54461.91</v>
      </c>
      <c r="G37" s="22" t="n">
        <v>52372.28</v>
      </c>
      <c r="H37" s="22" t="n">
        <v>53382.21</v>
      </c>
      <c r="I37" s="22" t="n">
        <v>53378.31</v>
      </c>
      <c r="J37" s="22" t="n">
        <v>54635.59</v>
      </c>
      <c r="K37" s="22" t="n">
        <v>54979.32</v>
      </c>
      <c r="L37" s="22" t="n">
        <v>53873.09</v>
      </c>
      <c r="M37" s="22" t="n">
        <v>54266.69</v>
      </c>
      <c r="N37" s="22" t="n">
        <v>54674.86</v>
      </c>
      <c r="O37" s="22" t="n">
        <v>55442.81</v>
      </c>
      <c r="P37" s="22" t="n">
        <v>55884.81</v>
      </c>
      <c r="Q37" s="22" t="n">
        <v>57983.28</v>
      </c>
      <c r="R37" s="22" t="n">
        <v>58491.16</v>
      </c>
      <c r="S37" s="22" t="n">
        <v>62205.71</v>
      </c>
      <c r="T37" s="22" t="n">
        <v>64430.8</v>
      </c>
      <c r="U37" s="22" t="n">
        <v>68784.2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5"/>
    <col collapsed="false" customWidth="true" hidden="false" outlineLevel="0" max="3" min="3" style="0" width="16"/>
    <col collapsed="false" customWidth="true" hidden="false" outlineLevel="0" max="4" min="4" style="0" width="15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90"/>
    <col collapsed="false" customWidth="true" hidden="false" outlineLevel="0" max="8" min="8" style="0" width="40"/>
  </cols>
  <sheetData>
    <row r="1" customFormat="false" ht="15" hidden="false" customHeight="false" outlineLevel="0" collapsed="false">
      <c r="A1" s="4" t="s">
        <v>152</v>
      </c>
      <c r="B1" s="4" t="s">
        <v>153</v>
      </c>
      <c r="C1" s="4" t="s">
        <v>154</v>
      </c>
      <c r="D1" s="4" t="s">
        <v>155</v>
      </c>
      <c r="E1" s="4" t="s">
        <v>156</v>
      </c>
      <c r="F1" s="4" t="s">
        <v>157</v>
      </c>
      <c r="G1" s="4" t="s">
        <v>158</v>
      </c>
      <c r="H1" s="4" t="s">
        <v>159</v>
      </c>
    </row>
    <row r="2" customFormat="false" ht="15" hidden="false" customHeight="false" outlineLevel="0" collapsed="false">
      <c r="A2" s="23" t="n">
        <v>2022</v>
      </c>
      <c r="B2" s="22" t="n">
        <v>26948.87</v>
      </c>
      <c r="C2" s="22" t="n">
        <v>22383.11</v>
      </c>
      <c r="D2" s="22" t="n">
        <v>14586.44</v>
      </c>
      <c r="E2" s="14" t="n">
        <f aca="false">B2/C2</f>
        <v>1.20398237778396</v>
      </c>
      <c r="F2" s="14" t="n">
        <f aca="false">B2/D2</f>
        <v>1.84752893783541</v>
      </c>
      <c r="G2" s="12" t="s">
        <v>160</v>
      </c>
      <c r="H2" s="12" t="s">
        <v>161</v>
      </c>
    </row>
    <row r="3" customFormat="false" ht="15" hidden="false" customHeight="false" outlineLevel="0" collapsed="false">
      <c r="A3" s="23" t="n">
        <v>2023</v>
      </c>
      <c r="B3" s="22" t="n">
        <v>28049.94</v>
      </c>
      <c r="C3" s="22" t="n">
        <v>23349</v>
      </c>
      <c r="D3" s="22" t="n">
        <v>15574.85</v>
      </c>
      <c r="E3" s="14" t="n">
        <f aca="false">B3/C3</f>
        <v>1.20133367596043</v>
      </c>
      <c r="F3" s="14" t="n">
        <f aca="false">B3/D3</f>
        <v>1.80097657441324</v>
      </c>
      <c r="G3" s="12" t="s">
        <v>162</v>
      </c>
      <c r="H3" s="12" t="s">
        <v>163</v>
      </c>
    </row>
    <row r="4" customFormat="false" ht="15" hidden="false" customHeight="false" outlineLevel="0" collapsed="false">
      <c r="A4" s="23" t="n">
        <v>2024</v>
      </c>
      <c r="B4" s="22" t="n">
        <v>29540.26</v>
      </c>
      <c r="C4" s="22" t="n">
        <v>24497.17</v>
      </c>
      <c r="D4" s="22" t="n">
        <v>16520.18</v>
      </c>
      <c r="E4" s="14" t="n">
        <f aca="false">B4/C4</f>
        <v>1.20586418757759</v>
      </c>
      <c r="F4" s="14" t="n">
        <f aca="false">B4/D4</f>
        <v>1.78813184844233</v>
      </c>
      <c r="G4" s="12" t="s">
        <v>164</v>
      </c>
      <c r="H4" s="12" t="s">
        <v>165</v>
      </c>
    </row>
    <row r="6" customFormat="false" ht="15" hidden="false" customHeight="false" outlineLevel="0" collapsed="false">
      <c r="A6" s="11" t="s">
        <v>166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11"/>
    <col collapsed="false" customWidth="true" hidden="false" outlineLevel="0" max="4" min="4" style="0" width="12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7" min="7" style="0" width="11"/>
    <col collapsed="false" customWidth="true" hidden="false" outlineLevel="0" max="9" min="8" style="0" width="13"/>
    <col collapsed="false" customWidth="true" hidden="false" outlineLevel="0" max="12" min="10" style="0" width="16"/>
    <col collapsed="false" customWidth="true" hidden="false" outlineLevel="0" max="14" min="13" style="0" width="18"/>
  </cols>
  <sheetData>
    <row r="1" customFormat="false" ht="17.35" hidden="false" customHeight="false" outlineLevel="0" collapsed="false">
      <c r="A1" s="1" t="s">
        <v>167</v>
      </c>
    </row>
    <row r="2" customFormat="false" ht="15" hidden="false" customHeight="false" outlineLevel="0" collapsed="false">
      <c r="A2" s="11" t="s">
        <v>168</v>
      </c>
    </row>
    <row r="4" customFormat="false" ht="15" hidden="false" customHeight="false" outlineLevel="0" collapsed="false">
      <c r="A4" s="2" t="s">
        <v>83</v>
      </c>
    </row>
    <row r="5" customFormat="false" ht="42" hidden="false" customHeight="true" outlineLevel="0" collapsed="false">
      <c r="A5" s="4" t="s">
        <v>169</v>
      </c>
      <c r="B5" s="4" t="s">
        <v>61</v>
      </c>
      <c r="C5" s="4" t="s">
        <v>170</v>
      </c>
      <c r="D5" s="4" t="s">
        <v>171</v>
      </c>
      <c r="E5" s="4" t="s">
        <v>62</v>
      </c>
      <c r="F5" s="4" t="s">
        <v>172</v>
      </c>
      <c r="G5" s="4" t="s">
        <v>173</v>
      </c>
      <c r="H5" s="4" t="s">
        <v>174</v>
      </c>
      <c r="I5" s="4" t="s">
        <v>175</v>
      </c>
      <c r="J5" s="4" t="s">
        <v>176</v>
      </c>
      <c r="K5" s="4" t="s">
        <v>177</v>
      </c>
      <c r="L5" s="4" t="s">
        <v>178</v>
      </c>
      <c r="M5" s="4" t="s">
        <v>179</v>
      </c>
      <c r="N5" s="4" t="s">
        <v>180</v>
      </c>
    </row>
    <row r="6" customFormat="false" ht="15" hidden="false" customHeight="false" outlineLevel="0" collapsed="false">
      <c r="A6" s="12" t="n">
        <v>2008</v>
      </c>
      <c r="B6" s="13" t="n">
        <f aca="false">EES_Distribucion!E2</f>
        <v>21883.42</v>
      </c>
      <c r="C6" s="13" t="n">
        <f aca="false">EES_Distribucion!E3</f>
        <v>8903.52</v>
      </c>
      <c r="D6" s="13" t="n">
        <f aca="false">EES_Distribucion!E4</f>
        <v>13342.53</v>
      </c>
      <c r="E6" s="13" t="n">
        <f aca="false">EES_Distribucion!E5</f>
        <v>18244.4</v>
      </c>
      <c r="F6" s="13" t="n">
        <f aca="false">EES_Distribucion!E6</f>
        <v>26874.02</v>
      </c>
      <c r="G6" s="13" t="n">
        <f aca="false">EES_Distribucion!E7</f>
        <v>38558.29</v>
      </c>
      <c r="H6" s="24" t="n">
        <f aca="false">LN(G6/C6)/(2*NORMSINV(0.9))</f>
        <v>0.571855420229921</v>
      </c>
      <c r="I6" s="24" t="n">
        <f aca="false">LN(F6/D6)/(2*NORMSINV(0.75))</f>
        <v>0.519061514860307</v>
      </c>
      <c r="J6" s="24" t="n">
        <f aca="false">SQRT(2*LN(B6/E6))</f>
        <v>0.603110419149503</v>
      </c>
      <c r="K6" s="25" t="n">
        <f aca="false">B6*SQRT(EXP(H6^2)-1)</f>
        <v>13610.4898181676</v>
      </c>
      <c r="L6" s="25" t="n">
        <f aca="false">B6*SQRT(EXP(I6^2)-1)</f>
        <v>12168.6622886664</v>
      </c>
      <c r="M6" s="25" t="n">
        <f aca="false">B6*SQRT(EXP(J6^2)-1)</f>
        <v>14494.4124347923</v>
      </c>
      <c r="N6" s="26" t="n">
        <f aca="false">K6/B6*100</f>
        <v>62.1954421117337</v>
      </c>
    </row>
    <row r="7" customFormat="false" ht="15" hidden="false" customHeight="false" outlineLevel="0" collapsed="false">
      <c r="A7" s="12" t="n">
        <v>2009</v>
      </c>
      <c r="B7" s="13" t="n">
        <f aca="false">EES_Distribucion!F2</f>
        <v>22511.47</v>
      </c>
      <c r="C7" s="13" t="n">
        <f aca="false">EES_Distribucion!F3</f>
        <v>8723.15</v>
      </c>
      <c r="D7" s="13" t="n">
        <f aca="false">EES_Distribucion!F4</f>
        <v>13587.26</v>
      </c>
      <c r="E7" s="13" t="n">
        <f aca="false">EES_Distribucion!F5</f>
        <v>18803.28</v>
      </c>
      <c r="F7" s="13" t="n">
        <f aca="false">EES_Distribucion!F6</f>
        <v>28024.86</v>
      </c>
      <c r="G7" s="13" t="n">
        <f aca="false">EES_Distribucion!F7</f>
        <v>40123.94</v>
      </c>
      <c r="H7" s="24" t="n">
        <f aca="false">LN(G7/C7)/(2*NORMSINV(0.9))</f>
        <v>0.595369235800202</v>
      </c>
      <c r="I7" s="24" t="n">
        <f aca="false">LN(F7/D7)/(2*NORMSINV(0.75))</f>
        <v>0.536671894715764</v>
      </c>
      <c r="J7" s="24" t="n">
        <f aca="false">SQRT(2*LN(B7/E7))</f>
        <v>0.599989390560166</v>
      </c>
      <c r="K7" s="25" t="n">
        <f aca="false">B7*SQRT(EXP(H7^2)-1)</f>
        <v>14682.8839502596</v>
      </c>
      <c r="L7" s="25" t="n">
        <f aca="false">B7*SQRT(EXP(I7^2)-1)</f>
        <v>13005.7007075071</v>
      </c>
      <c r="M7" s="25" t="n">
        <f aca="false">B7*SQRT(EXP(J7^2)-1)</f>
        <v>14818.4846959009</v>
      </c>
      <c r="N7" s="26" t="n">
        <f aca="false">K7/B7*100</f>
        <v>65.2240122491318</v>
      </c>
    </row>
    <row r="8" customFormat="false" ht="15" hidden="false" customHeight="false" outlineLevel="0" collapsed="false">
      <c r="A8" s="12" t="n">
        <v>2010</v>
      </c>
      <c r="B8" s="13" t="n">
        <f aca="false">EES_Distribucion!G2</f>
        <v>22790.2</v>
      </c>
      <c r="C8" s="13" t="n">
        <f aca="false">EES_Distribucion!G3</f>
        <v>8643.66</v>
      </c>
      <c r="D8" s="13" t="n">
        <f aca="false">EES_Distribucion!G4</f>
        <v>13602.53</v>
      </c>
      <c r="E8" s="13" t="n">
        <f aca="false">EES_Distribucion!G5</f>
        <v>19017.09</v>
      </c>
      <c r="F8" s="13" t="n">
        <f aca="false">EES_Distribucion!G6</f>
        <v>28255.45</v>
      </c>
      <c r="G8" s="13" t="n">
        <f aca="false">EES_Distribucion!G7</f>
        <v>40811.42</v>
      </c>
      <c r="H8" s="24" t="n">
        <f aca="false">LN(G8/C8)/(2*NORMSINV(0.9))</f>
        <v>0.605569015600574</v>
      </c>
      <c r="I8" s="24" t="n">
        <f aca="false">LN(F8/D8)/(2*NORMSINV(0.75))</f>
        <v>0.541913760939087</v>
      </c>
      <c r="J8" s="24" t="n">
        <f aca="false">SQRT(2*LN(B8/E8))</f>
        <v>0.601652009771977</v>
      </c>
      <c r="K8" s="25" t="n">
        <f aca="false">B8*SQRT(EXP(H8^2)-1)</f>
        <v>15168.4990945326</v>
      </c>
      <c r="L8" s="25" t="n">
        <f aca="false">B8*SQRT(EXP(I8^2)-1)</f>
        <v>13315.0539873537</v>
      </c>
      <c r="M8" s="25" t="n">
        <f aca="false">B8*SQRT(EXP(J8^2)-1)</f>
        <v>15051.5011602615</v>
      </c>
      <c r="N8" s="26" t="n">
        <f aca="false">K8/B8*100</f>
        <v>66.5571126823486</v>
      </c>
    </row>
    <row r="9" customFormat="false" ht="15" hidden="false" customHeight="false" outlineLevel="0" collapsed="false">
      <c r="A9" s="12" t="n">
        <v>2011</v>
      </c>
      <c r="B9" s="13" t="n">
        <f aca="false">EES_Distribucion!H2</f>
        <v>22899.35</v>
      </c>
      <c r="C9" s="13" t="n">
        <f aca="false">EES_Distribucion!H3</f>
        <v>8402.15</v>
      </c>
      <c r="D9" s="13" t="n">
        <f aca="false">EES_Distribucion!H4</f>
        <v>13553.97</v>
      </c>
      <c r="E9" s="13" t="n">
        <f aca="false">EES_Distribucion!H5</f>
        <v>19303.51</v>
      </c>
      <c r="F9" s="13" t="n">
        <f aca="false">EES_Distribucion!H6</f>
        <v>28658.66</v>
      </c>
      <c r="G9" s="13" t="n">
        <f aca="false">EES_Distribucion!H7</f>
        <v>40680.54</v>
      </c>
      <c r="H9" s="24" t="n">
        <f aca="false">LN(G9/C9)/(2*NORMSINV(0.9))</f>
        <v>0.615372124834586</v>
      </c>
      <c r="I9" s="24" t="n">
        <f aca="false">LN(F9/D9)/(2*NORMSINV(0.75))</f>
        <v>0.555068607556494</v>
      </c>
      <c r="J9" s="24" t="n">
        <f aca="false">SQRT(2*LN(B9/E9))</f>
        <v>0.584502491384851</v>
      </c>
      <c r="K9" s="25" t="n">
        <f aca="false">B9*SQRT(EXP(H9^2)-1)</f>
        <v>15537.1678359784</v>
      </c>
      <c r="L9" s="25" t="n">
        <f aca="false">B9*SQRT(EXP(I9^2)-1)</f>
        <v>13755.6043435368</v>
      </c>
      <c r="M9" s="25" t="n">
        <f aca="false">B9*SQRT(EXP(J9^2)-1)</f>
        <v>14613.6260960343</v>
      </c>
      <c r="N9" s="26" t="n">
        <f aca="false">K9/B9*100</f>
        <v>67.8498203485183</v>
      </c>
    </row>
    <row r="10" customFormat="false" ht="15" hidden="false" customHeight="false" outlineLevel="0" collapsed="false">
      <c r="A10" s="12" t="n">
        <v>2012</v>
      </c>
      <c r="B10" s="13" t="n">
        <f aca="false">EES_Distribucion!I2</f>
        <v>22726.44</v>
      </c>
      <c r="C10" s="13" t="n">
        <f aca="false">EES_Distribucion!I3</f>
        <v>7979.4</v>
      </c>
      <c r="D10" s="13" t="n">
        <f aca="false">EES_Distribucion!I4</f>
        <v>13369.45</v>
      </c>
      <c r="E10" s="13" t="n">
        <f aca="false">EES_Distribucion!I5</f>
        <v>19040.98</v>
      </c>
      <c r="F10" s="13" t="n">
        <f aca="false">EES_Distribucion!I6</f>
        <v>28395.5</v>
      </c>
      <c r="G10" s="13" t="n">
        <f aca="false">EES_Distribucion!I7</f>
        <v>40807.99</v>
      </c>
      <c r="H10" s="24" t="n">
        <f aca="false">LN(G10/C10)/(2*NORMSINV(0.9))</f>
        <v>0.636733908639891</v>
      </c>
      <c r="I10" s="24" t="n">
        <f aca="false">LN(F10/D10)/(2*NORMSINV(0.75))</f>
        <v>0.558391308611588</v>
      </c>
      <c r="J10" s="24" t="n">
        <f aca="false">SQRT(2*LN(B10/E10))</f>
        <v>0.594870583851186</v>
      </c>
      <c r="K10" s="25" t="n">
        <f aca="false">B10*SQRT(EXP(H10^2)-1)</f>
        <v>16069.175244118</v>
      </c>
      <c r="L10" s="25" t="n">
        <f aca="false">B10*SQRT(EXP(I10^2)-1)</f>
        <v>13746.8223948085</v>
      </c>
      <c r="M10" s="25" t="n">
        <f aca="false">B10*SQRT(EXP(J10^2)-1)</f>
        <v>14808.3540562295</v>
      </c>
      <c r="N10" s="26" t="n">
        <f aca="false">K10/B10*100</f>
        <v>70.7069617771986</v>
      </c>
    </row>
    <row r="11" customFormat="false" ht="15" hidden="false" customHeight="false" outlineLevel="0" collapsed="false">
      <c r="A11" s="12" t="n">
        <v>2013</v>
      </c>
      <c r="B11" s="13" t="n">
        <f aca="false">EES_Distribucion!J2</f>
        <v>22697.86</v>
      </c>
      <c r="C11" s="13" t="n">
        <f aca="false">EES_Distribucion!J3</f>
        <v>7692.3</v>
      </c>
      <c r="D11" s="13" t="n">
        <f aca="false">EES_Distribucion!J4</f>
        <v>13039.36</v>
      </c>
      <c r="E11" s="13" t="n">
        <f aca="false">EES_Distribucion!J5</f>
        <v>19029.66</v>
      </c>
      <c r="F11" s="13" t="n">
        <f aca="false">EES_Distribucion!J6</f>
        <v>28563.69</v>
      </c>
      <c r="G11" s="13" t="n">
        <f aca="false">EES_Distribucion!J7</f>
        <v>41108.4</v>
      </c>
      <c r="H11" s="24" t="n">
        <f aca="false">LN(G11/C11)/(2*NORMSINV(0.9))</f>
        <v>0.653892007436821</v>
      </c>
      <c r="I11" s="24" t="n">
        <f aca="false">LN(F11/D11)/(2*NORMSINV(0.75))</f>
        <v>0.581301535745219</v>
      </c>
      <c r="J11" s="24" t="n">
        <f aca="false">SQRT(2*LN(B11/E11))</f>
        <v>0.593753875429374</v>
      </c>
      <c r="K11" s="25" t="n">
        <f aca="false">B11*SQRT(EXP(H11^2)-1)</f>
        <v>16579.2885160643</v>
      </c>
      <c r="L11" s="25" t="n">
        <f aca="false">B11*SQRT(EXP(I11^2)-1)</f>
        <v>14391.5241233351</v>
      </c>
      <c r="M11" s="25" t="n">
        <f aca="false">B11*SQRT(EXP(J11^2)-1)</f>
        <v>14756.7824342101</v>
      </c>
      <c r="N11" s="26" t="n">
        <f aca="false">K11/B11*100</f>
        <v>73.0433993163423</v>
      </c>
    </row>
    <row r="12" customFormat="false" ht="15" hidden="false" customHeight="false" outlineLevel="0" collapsed="false">
      <c r="A12" s="12" t="n">
        <v>2014</v>
      </c>
      <c r="B12" s="13" t="n">
        <f aca="false">EES_Distribucion!K2</f>
        <v>22858.17</v>
      </c>
      <c r="C12" s="13" t="n">
        <f aca="false">EES_Distribucion!K3</f>
        <v>7626.2</v>
      </c>
      <c r="D12" s="13" t="n">
        <f aca="false">EES_Distribucion!K4</f>
        <v>13217.84</v>
      </c>
      <c r="E12" s="13" t="n">
        <f aca="false">EES_Distribucion!K5</f>
        <v>19263.78</v>
      </c>
      <c r="F12" s="13" t="n">
        <f aca="false">EES_Distribucion!K6</f>
        <v>28782.7</v>
      </c>
      <c r="G12" s="13" t="n">
        <f aca="false">EES_Distribucion!K7</f>
        <v>41350.36</v>
      </c>
      <c r="H12" s="24" t="n">
        <f aca="false">LN(G12/C12)/(2*NORMSINV(0.9))</f>
        <v>0.659548739937008</v>
      </c>
      <c r="I12" s="24" t="n">
        <f aca="false">LN(F12/D12)/(2*NORMSINV(0.75))</f>
        <v>0.576885771587142</v>
      </c>
      <c r="J12" s="24" t="n">
        <f aca="false">SQRT(2*LN(B12/E12))</f>
        <v>0.584947782068513</v>
      </c>
      <c r="K12" s="25" t="n">
        <f aca="false">B12*SQRT(EXP(H12^2)-1)</f>
        <v>16874.3784651122</v>
      </c>
      <c r="L12" s="25" t="n">
        <f aca="false">B12*SQRT(EXP(I12^2)-1)</f>
        <v>14363.6706608009</v>
      </c>
      <c r="M12" s="25" t="n">
        <f aca="false">B12*SQRT(EXP(J12^2)-1)</f>
        <v>14600.4681526597</v>
      </c>
      <c r="N12" s="26" t="n">
        <f aca="false">K12/B12*100</f>
        <v>73.8220884047683</v>
      </c>
    </row>
    <row r="13" customFormat="false" ht="15" hidden="false" customHeight="false" outlineLevel="0" collapsed="false">
      <c r="A13" s="12" t="n">
        <v>2015</v>
      </c>
      <c r="B13" s="13" t="n">
        <f aca="false">EES_Distribucion!L2</f>
        <v>23106.3</v>
      </c>
      <c r="C13" s="13" t="n">
        <f aca="false">EES_Distribucion!L3</f>
        <v>7962.45</v>
      </c>
      <c r="D13" s="13" t="n">
        <f aca="false">EES_Distribucion!L4</f>
        <v>13414.92</v>
      </c>
      <c r="E13" s="13" t="n">
        <f aca="false">EES_Distribucion!L5</f>
        <v>19466.49</v>
      </c>
      <c r="F13" s="13" t="n">
        <f aca="false">EES_Distribucion!L6</f>
        <v>29163.66</v>
      </c>
      <c r="G13" s="13" t="n">
        <f aca="false">EES_Distribucion!L7</f>
        <v>41648.67</v>
      </c>
      <c r="H13" s="24" t="n">
        <f aca="false">LN(G13/C13)/(2*NORMSINV(0.9))</f>
        <v>0.645519360425839</v>
      </c>
      <c r="I13" s="24" t="n">
        <f aca="false">LN(F13/D13)/(2*NORMSINV(0.75))</f>
        <v>0.575661745086297</v>
      </c>
      <c r="J13" s="24" t="n">
        <f aca="false">SQRT(2*LN(B13/E13))</f>
        <v>0.58550966146551</v>
      </c>
      <c r="K13" s="25" t="n">
        <f aca="false">B13*SQRT(EXP(H13^2)-1)</f>
        <v>16613.0946217117</v>
      </c>
      <c r="L13" s="25" t="n">
        <f aca="false">B13*SQRT(EXP(I13^2)-1)</f>
        <v>14483.3924321013</v>
      </c>
      <c r="M13" s="25" t="n">
        <f aca="false">B13*SQRT(EXP(J13^2)-1)</f>
        <v>14775.7035754624</v>
      </c>
      <c r="N13" s="26" t="n">
        <f aca="false">K13/B13*100</f>
        <v>71.8985498401374</v>
      </c>
    </row>
    <row r="14" customFormat="false" ht="15" hidden="false" customHeight="false" outlineLevel="0" collapsed="false">
      <c r="A14" s="12" t="n">
        <v>2016</v>
      </c>
      <c r="B14" s="13" t="n">
        <f aca="false">EES_Distribucion!M2</f>
        <v>23156.34</v>
      </c>
      <c r="C14" s="13" t="n">
        <f aca="false">EES_Distribucion!M3</f>
        <v>8095.44</v>
      </c>
      <c r="D14" s="13" t="n">
        <f aca="false">EES_Distribucion!M4</f>
        <v>13369.74</v>
      </c>
      <c r="E14" s="13" t="n">
        <f aca="false">EES_Distribucion!M5</f>
        <v>19432.62</v>
      </c>
      <c r="F14" s="13" t="n">
        <f aca="false">EES_Distribucion!M6</f>
        <v>29191.56</v>
      </c>
      <c r="G14" s="13" t="n">
        <f aca="false">EES_Distribucion!M7</f>
        <v>41855.38</v>
      </c>
      <c r="H14" s="24" t="n">
        <f aca="false">LN(G14/C14)/(2*NORMSINV(0.9))</f>
        <v>0.640988410850032</v>
      </c>
      <c r="I14" s="24" t="n">
        <f aca="false">LN(F14/D14)/(2*NORMSINV(0.75))</f>
        <v>0.578871422262683</v>
      </c>
      <c r="J14" s="24" t="n">
        <f aca="false">SQRT(2*LN(B14/E14))</f>
        <v>0.592141050432058</v>
      </c>
      <c r="K14" s="25" t="n">
        <f aca="false">B14*SQRT(EXP(H14^2)-1)</f>
        <v>16506.4828572399</v>
      </c>
      <c r="L14" s="25" t="n">
        <f aca="false">B14*SQRT(EXP(I14^2)-1)</f>
        <v>14609.9655408121</v>
      </c>
      <c r="M14" s="25" t="n">
        <f aca="false">B14*SQRT(EXP(J14^2)-1)</f>
        <v>15006.3677620793</v>
      </c>
      <c r="N14" s="26" t="n">
        <f aca="false">K14/B14*100</f>
        <v>71.2827798228905</v>
      </c>
    </row>
    <row r="15" customFormat="false" ht="15" hidden="false" customHeight="false" outlineLevel="0" collapsed="false">
      <c r="A15" s="12" t="n">
        <v>2017</v>
      </c>
      <c r="B15" s="13" t="n">
        <f aca="false">EES_Distribucion!N2</f>
        <v>23646.5</v>
      </c>
      <c r="C15" s="13" t="n">
        <f aca="false">EES_Distribucion!N3</f>
        <v>8583.81</v>
      </c>
      <c r="D15" s="13" t="n">
        <f aca="false">EES_Distribucion!N4</f>
        <v>13897.22</v>
      </c>
      <c r="E15" s="13" t="n">
        <f aca="false">EES_Distribucion!N5</f>
        <v>19830.12</v>
      </c>
      <c r="F15" s="13" t="n">
        <f aca="false">EES_Distribucion!N6</f>
        <v>29628.64</v>
      </c>
      <c r="G15" s="13" t="n">
        <f aca="false">EES_Distribucion!N7</f>
        <v>42454.21</v>
      </c>
      <c r="H15" s="24" t="n">
        <f aca="false">LN(G15/C15)/(2*NORMSINV(0.9))</f>
        <v>0.62367689893961</v>
      </c>
      <c r="I15" s="24" t="n">
        <f aca="false">LN(F15/D15)/(2*NORMSINV(0.75))</f>
        <v>0.561203962515178</v>
      </c>
      <c r="J15" s="24" t="n">
        <f aca="false">SQRT(2*LN(B15/E15))</f>
        <v>0.593317989769671</v>
      </c>
      <c r="K15" s="25" t="n">
        <f aca="false">B15*SQRT(EXP(H15^2)-1)</f>
        <v>16305.1924548064</v>
      </c>
      <c r="L15" s="25" t="n">
        <f aca="false">B15*SQRT(EXP(I15^2)-1)</f>
        <v>14387.3095767139</v>
      </c>
      <c r="M15" s="25" t="n">
        <f aca="false">B15*SQRT(EXP(J15^2)-1)</f>
        <v>15360.1415678364</v>
      </c>
      <c r="N15" s="26" t="n">
        <f aca="false">K15/B15*100</f>
        <v>68.9539359093582</v>
      </c>
    </row>
    <row r="16" customFormat="false" ht="15" hidden="false" customHeight="false" outlineLevel="0" collapsed="false">
      <c r="A16" s="12" t="n">
        <v>2018</v>
      </c>
      <c r="B16" s="13" t="n">
        <f aca="false">EES_Distribucion!O2</f>
        <v>24009.12</v>
      </c>
      <c r="C16" s="13" t="n">
        <f aca="false">EES_Distribucion!O3</f>
        <v>8457.36</v>
      </c>
      <c r="D16" s="13" t="n">
        <f aca="false">EES_Distribucion!O4</f>
        <v>13998.29</v>
      </c>
      <c r="E16" s="13" t="n">
        <f aca="false">EES_Distribucion!O5</f>
        <v>20078.44</v>
      </c>
      <c r="F16" s="13" t="n">
        <f aca="false">EES_Distribucion!O6</f>
        <v>30057.33</v>
      </c>
      <c r="G16" s="13" t="n">
        <f aca="false">EES_Distribucion!O7</f>
        <v>43382.16</v>
      </c>
      <c r="H16" s="24" t="n">
        <f aca="false">LN(G16/C16)/(2*NORMSINV(0.9))</f>
        <v>0.637903020240442</v>
      </c>
      <c r="I16" s="24" t="n">
        <f aca="false">LN(F16/D16)/(2*NORMSINV(0.75))</f>
        <v>0.566481090709219</v>
      </c>
      <c r="J16" s="24" t="n">
        <f aca="false">SQRT(2*LN(B16/E16))</f>
        <v>0.59797517607957</v>
      </c>
      <c r="K16" s="25" t="n">
        <f aca="false">B16*SQRT(EXP(H16^2)-1)</f>
        <v>17014.0544021129</v>
      </c>
      <c r="L16" s="25" t="n">
        <f aca="false">B16*SQRT(EXP(I16^2)-1)</f>
        <v>14768.4169351929</v>
      </c>
      <c r="M16" s="25" t="n">
        <f aca="false">B16*SQRT(EXP(J16^2)-1)</f>
        <v>15741.211401921</v>
      </c>
      <c r="N16" s="26" t="n">
        <f aca="false">K16/B16*100</f>
        <v>70.864964655568</v>
      </c>
    </row>
    <row r="17" customFormat="false" ht="15" hidden="false" customHeight="false" outlineLevel="0" collapsed="false">
      <c r="A17" s="12" t="n">
        <v>2019</v>
      </c>
      <c r="B17" s="13" t="n">
        <f aca="false">EES_Distribucion!P2</f>
        <v>24395.98</v>
      </c>
      <c r="C17" s="13" t="n">
        <f aca="false">EES_Distribucion!P3</f>
        <v>8943.26</v>
      </c>
      <c r="D17" s="13" t="n">
        <f aca="false">EES_Distribucion!P4</f>
        <v>14271.06</v>
      </c>
      <c r="E17" s="13" t="n">
        <f aca="false">EES_Distribucion!P5</f>
        <v>20351.02</v>
      </c>
      <c r="F17" s="13" t="n">
        <f aca="false">EES_Distribucion!P6</f>
        <v>30558.45</v>
      </c>
      <c r="G17" s="13" t="n">
        <f aca="false">EES_Distribucion!P7</f>
        <v>44127.12</v>
      </c>
      <c r="H17" s="24" t="n">
        <f aca="false">LN(G17/C17)/(2*NORMSINV(0.9))</f>
        <v>0.622750744636391</v>
      </c>
      <c r="I17" s="24" t="n">
        <f aca="false">LN(F17/D17)/(2*NORMSINV(0.75))</f>
        <v>0.564432248566793</v>
      </c>
      <c r="J17" s="24" t="n">
        <f aca="false">SQRT(2*LN(B17/E17))</f>
        <v>0.60214172940385</v>
      </c>
      <c r="K17" s="25" t="n">
        <f aca="false">B17*SQRT(EXP(H17^2)-1)</f>
        <v>16791.8481532656</v>
      </c>
      <c r="L17" s="25" t="n">
        <f aca="false">B17*SQRT(EXP(I17^2)-1)</f>
        <v>14942.9869432912</v>
      </c>
      <c r="M17" s="25" t="n">
        <f aca="false">B17*SQRT(EXP(J17^2)-1)</f>
        <v>16127.6527968395</v>
      </c>
      <c r="N17" s="26" t="n">
        <f aca="false">K17/B17*100</f>
        <v>68.8303898972931</v>
      </c>
    </row>
    <row r="18" customFormat="false" ht="15" hidden="false" customHeight="false" outlineLevel="0" collapsed="false">
      <c r="A18" s="12" t="n">
        <v>2020</v>
      </c>
      <c r="B18" s="13" t="n">
        <f aca="false">EES_Distribucion!Q2</f>
        <v>25165.51</v>
      </c>
      <c r="C18" s="13" t="n">
        <f aca="false">EES_Distribucion!Q3</f>
        <v>9586.51</v>
      </c>
      <c r="D18" s="13" t="n">
        <f aca="false">EES_Distribucion!Q4</f>
        <v>14641.96</v>
      </c>
      <c r="E18" s="13" t="n">
        <f aca="false">EES_Distribucion!Q5</f>
        <v>20920.12</v>
      </c>
      <c r="F18" s="13" t="n">
        <f aca="false">EES_Distribucion!Q6</f>
        <v>31550.01</v>
      </c>
      <c r="G18" s="13" t="n">
        <f aca="false">EES_Distribucion!Q7</f>
        <v>45359.96</v>
      </c>
      <c r="H18" s="24" t="n">
        <f aca="false">LN(G18/C18)/(2*NORMSINV(0.9))</f>
        <v>0.606402784508737</v>
      </c>
      <c r="I18" s="24" t="n">
        <f aca="false">LN(F18/D18)/(2*NORMSINV(0.75))</f>
        <v>0.569083908515823</v>
      </c>
      <c r="J18" s="24" t="n">
        <f aca="false">SQRT(2*LN(B18/E18))</f>
        <v>0.607886553474948</v>
      </c>
      <c r="K18" s="25" t="n">
        <f aca="false">B18*SQRT(EXP(H18^2)-1)</f>
        <v>16776.9945875352</v>
      </c>
      <c r="L18" s="25" t="n">
        <f aca="false">B18*SQRT(EXP(I18^2)-1)</f>
        <v>15562.9687988194</v>
      </c>
      <c r="M18" s="25" t="n">
        <f aca="false">B18*SQRT(EXP(J18^2)-1)</f>
        <v>16826.0868200035</v>
      </c>
      <c r="N18" s="26" t="n">
        <f aca="false">K18/B18*100</f>
        <v>66.6666186679119</v>
      </c>
    </row>
    <row r="19" customFormat="false" ht="15" hidden="false" customHeight="false" outlineLevel="0" collapsed="false">
      <c r="A19" s="12" t="n">
        <v>2021</v>
      </c>
      <c r="B19" s="13" t="n">
        <f aca="false">EES_Distribucion!R2</f>
        <v>25896.82</v>
      </c>
      <c r="C19" s="13" t="n">
        <f aca="false">EES_Distribucion!R3</f>
        <v>10192.38</v>
      </c>
      <c r="D19" s="13" t="n">
        <f aca="false">EES_Distribucion!R4</f>
        <v>15215.03</v>
      </c>
      <c r="E19" s="13" t="n">
        <f aca="false">EES_Distribucion!R5</f>
        <v>21638.69</v>
      </c>
      <c r="F19" s="13" t="n">
        <f aca="false">EES_Distribucion!R6</f>
        <v>32385.45</v>
      </c>
      <c r="G19" s="13" t="n">
        <f aca="false">EES_Distribucion!R7</f>
        <v>46430.36</v>
      </c>
      <c r="H19" s="24" t="n">
        <f aca="false">LN(G19/C19)/(2*NORMSINV(0.9))</f>
        <v>0.591592727946843</v>
      </c>
      <c r="I19" s="24" t="n">
        <f aca="false">LN(F19/D19)/(2*NORMSINV(0.75))</f>
        <v>0.559997755751835</v>
      </c>
      <c r="J19" s="24" t="n">
        <f aca="false">SQRT(2*LN(B19/E19))</f>
        <v>0.599395137022486</v>
      </c>
      <c r="K19" s="25" t="n">
        <f aca="false">B19*SQRT(EXP(H19^2)-1)</f>
        <v>16763.9047850183</v>
      </c>
      <c r="L19" s="25" t="n">
        <f aca="false">B19*SQRT(EXP(I19^2)-1)</f>
        <v>15717.0198813102</v>
      </c>
      <c r="M19" s="25" t="n">
        <f aca="false">B19*SQRT(EXP(J19^2)-1)</f>
        <v>17026.8382346486</v>
      </c>
      <c r="N19" s="26" t="n">
        <f aca="false">K19/B19*100</f>
        <v>64.7334490683346</v>
      </c>
    </row>
    <row r="20" customFormat="false" ht="15" hidden="false" customHeight="false" outlineLevel="0" collapsed="false">
      <c r="A20" s="12" t="n">
        <v>2022</v>
      </c>
      <c r="B20" s="13" t="n">
        <f aca="false">EES_Distribucion!S2</f>
        <v>26948.87</v>
      </c>
      <c r="C20" s="13" t="n">
        <f aca="false">EES_Distribucion!S3</f>
        <v>10657.37</v>
      </c>
      <c r="D20" s="13" t="n">
        <f aca="false">EES_Distribucion!S4</f>
        <v>15913.52</v>
      </c>
      <c r="E20" s="13" t="n">
        <f aca="false">EES_Distribucion!S5</f>
        <v>22383.11</v>
      </c>
      <c r="F20" s="13" t="n">
        <f aca="false">EES_Distribucion!S6</f>
        <v>33561.62</v>
      </c>
      <c r="G20" s="13" t="n">
        <f aca="false">EES_Distribucion!S7</f>
        <v>48217.21</v>
      </c>
      <c r="H20" s="24" t="n">
        <f aca="false">LN(G20/C20)/(2*NORMSINV(0.9))</f>
        <v>0.58892064129633</v>
      </c>
      <c r="I20" s="24" t="n">
        <f aca="false">LN(F20/D20)/(2*NORMSINV(0.75))</f>
        <v>0.553169332513993</v>
      </c>
      <c r="J20" s="24" t="n">
        <f aca="false">SQRT(2*LN(B20/E20))</f>
        <v>0.609318817020218</v>
      </c>
      <c r="K20" s="25" t="n">
        <f aca="false">B20*SQRT(EXP(H20^2)-1)</f>
        <v>17351.6556574869</v>
      </c>
      <c r="L20" s="25" t="n">
        <f aca="false">B20*SQRT(EXP(I20^2)-1)</f>
        <v>16123.8333624866</v>
      </c>
      <c r="M20" s="25" t="n">
        <f aca="false">B20*SQRT(EXP(J20^2)-1)</f>
        <v>18069.2839738324</v>
      </c>
      <c r="N20" s="26" t="n">
        <f aca="false">K20/B20*100</f>
        <v>64.3873218338537</v>
      </c>
    </row>
    <row r="21" customFormat="false" ht="15" hidden="false" customHeight="false" outlineLevel="0" collapsed="false">
      <c r="A21" s="12" t="n">
        <v>2023</v>
      </c>
      <c r="B21" s="13" t="n">
        <f aca="false">EES_Distribucion!T2</f>
        <v>28049.94</v>
      </c>
      <c r="C21" s="13" t="n">
        <f aca="false">EES_Distribucion!T3</f>
        <v>11466.88</v>
      </c>
      <c r="D21" s="13" t="n">
        <f aca="false">EES_Distribucion!T4</f>
        <v>16632.97</v>
      </c>
      <c r="E21" s="13" t="n">
        <f aca="false">EES_Distribucion!T5</f>
        <v>23349</v>
      </c>
      <c r="F21" s="13" t="n">
        <f aca="false">EES_Distribucion!T6</f>
        <v>34991.64</v>
      </c>
      <c r="G21" s="13" t="n">
        <f aca="false">EES_Distribucion!T7</f>
        <v>49836</v>
      </c>
      <c r="H21" s="24" t="n">
        <f aca="false">LN(G21/C21)/(2*NORMSINV(0.9))</f>
        <v>0.573240583426271</v>
      </c>
      <c r="I21" s="24" t="n">
        <f aca="false">LN(F21/D21)/(2*NORMSINV(0.75))</f>
        <v>0.551322170156052</v>
      </c>
      <c r="J21" s="24" t="n">
        <f aca="false">SQRT(2*LN(B21/E21))</f>
        <v>0.605693546743935</v>
      </c>
      <c r="K21" s="25" t="n">
        <f aca="false">B21*SQRT(EXP(H21^2)-1)</f>
        <v>17495.3562013789</v>
      </c>
      <c r="L21" s="25" t="n">
        <f aca="false">B21*SQRT(EXP(I21^2)-1)</f>
        <v>16717.6138457697</v>
      </c>
      <c r="M21" s="25" t="n">
        <f aca="false">B21*SQRT(EXP(J21^2)-1)</f>
        <v>18673.8164993732</v>
      </c>
      <c r="N21" s="26" t="n">
        <f aca="false">K21/B21*100</f>
        <v>62.3721697849581</v>
      </c>
    </row>
    <row r="22" customFormat="false" ht="15" hidden="false" customHeight="false" outlineLevel="0" collapsed="false">
      <c r="A22" s="12" t="n">
        <v>2024</v>
      </c>
      <c r="B22" s="13" t="n">
        <f aca="false">EES_Distribucion!U2</f>
        <v>29540.26</v>
      </c>
      <c r="C22" s="13" t="n">
        <f aca="false">EES_Distribucion!U3</f>
        <v>12018.46</v>
      </c>
      <c r="D22" s="13" t="n">
        <f aca="false">EES_Distribucion!U4</f>
        <v>17457.47</v>
      </c>
      <c r="E22" s="13" t="n">
        <f aca="false">EES_Distribucion!U5</f>
        <v>24497.17</v>
      </c>
      <c r="F22" s="13" t="n">
        <f aca="false">EES_Distribucion!U6</f>
        <v>36969.61</v>
      </c>
      <c r="G22" s="13" t="n">
        <f aca="false">EES_Distribucion!U7</f>
        <v>52515.27</v>
      </c>
      <c r="H22" s="24" t="n">
        <f aca="false">LN(G22/C22)/(2*NORMSINV(0.9))</f>
        <v>0.575341727558324</v>
      </c>
      <c r="I22" s="24" t="n">
        <f aca="false">LN(F22/D22)/(2*NORMSINV(0.75))</f>
        <v>0.556219413492531</v>
      </c>
      <c r="J22" s="24" t="n">
        <f aca="false">SQRT(2*LN(B22/E22))</f>
        <v>0.611876585619409</v>
      </c>
      <c r="K22" s="25" t="n">
        <f aca="false">B22*SQRT(EXP(H22^2)-1)</f>
        <v>18504.2084196284</v>
      </c>
      <c r="L22" s="25" t="n">
        <f aca="false">B22*SQRT(EXP(I22^2)-1)</f>
        <v>17787.5566640043</v>
      </c>
      <c r="M22" s="25" t="n">
        <f aca="false">B22*SQRT(EXP(J22^2)-1)</f>
        <v>19906.4629436287</v>
      </c>
      <c r="N22" s="26" t="n">
        <f aca="false">K22/B22*100</f>
        <v>62.6406416857143</v>
      </c>
    </row>
    <row r="25" customFormat="false" ht="15" hidden="false" customHeight="false" outlineLevel="0" collapsed="false">
      <c r="A25" s="2" t="s">
        <v>84</v>
      </c>
    </row>
    <row r="26" customFormat="false" ht="42" hidden="false" customHeight="true" outlineLevel="0" collapsed="false">
      <c r="A26" s="4" t="s">
        <v>169</v>
      </c>
      <c r="B26" s="4" t="s">
        <v>61</v>
      </c>
      <c r="C26" s="4" t="s">
        <v>170</v>
      </c>
      <c r="D26" s="4" t="s">
        <v>171</v>
      </c>
      <c r="E26" s="4" t="s">
        <v>62</v>
      </c>
      <c r="F26" s="4" t="s">
        <v>172</v>
      </c>
      <c r="G26" s="4" t="s">
        <v>173</v>
      </c>
      <c r="H26" s="4" t="s">
        <v>174</v>
      </c>
      <c r="I26" s="4" t="s">
        <v>175</v>
      </c>
      <c r="J26" s="4" t="s">
        <v>176</v>
      </c>
      <c r="K26" s="4" t="s">
        <v>177</v>
      </c>
      <c r="L26" s="4" t="s">
        <v>178</v>
      </c>
      <c r="M26" s="4" t="s">
        <v>179</v>
      </c>
      <c r="N26" s="4" t="s">
        <v>180</v>
      </c>
    </row>
    <row r="27" customFormat="false" ht="15" hidden="false" customHeight="false" outlineLevel="0" collapsed="false">
      <c r="A27" s="12" t="n">
        <v>2008</v>
      </c>
      <c r="B27" s="13" t="n">
        <f aca="false">EES_Distribucion!E20</f>
        <v>25269.61</v>
      </c>
      <c r="C27" s="13" t="n">
        <f aca="false">EES_Distribucion!E21</f>
        <v>9715.01</v>
      </c>
      <c r="D27" s="13" t="n">
        <f aca="false">EES_Distribucion!E22</f>
        <v>13915.75</v>
      </c>
      <c r="E27" s="13" t="n">
        <f aca="false">EES_Distribucion!E23</f>
        <v>20269.59</v>
      </c>
      <c r="F27" s="13" t="n">
        <f aca="false">EES_Distribucion!E24</f>
        <v>32008.66</v>
      </c>
      <c r="G27" s="13" t="n">
        <f aca="false">EES_Distribucion!E25</f>
        <v>46748.62</v>
      </c>
      <c r="H27" s="24" t="n">
        <f aca="false">LN(G27/C27)/(2*NORMSINV(0.9))</f>
        <v>0.612972847389808</v>
      </c>
      <c r="I27" s="24" t="n">
        <f aca="false">LN(F27/D27)/(2*NORMSINV(0.75))</f>
        <v>0.617492852003575</v>
      </c>
      <c r="J27" s="24" t="n">
        <f aca="false">SQRT(2*LN(B27/E27))</f>
        <v>0.664049327441694</v>
      </c>
      <c r="K27" s="25" t="n">
        <f aca="false">B27*SQRT(EXP(H27^2)-1)</f>
        <v>17065.1695690277</v>
      </c>
      <c r="L27" s="25" t="n">
        <f aca="false">B27*SQRT(EXP(I27^2)-1)</f>
        <v>17216.4325220954</v>
      </c>
      <c r="M27" s="25" t="n">
        <f aca="false">B27*SQRT(EXP(J27^2)-1)</f>
        <v>18811.877600529</v>
      </c>
      <c r="N27" s="26" t="n">
        <f aca="false">K27/B27*100</f>
        <v>67.5323820550762</v>
      </c>
    </row>
    <row r="28" customFormat="false" ht="15" hidden="false" customHeight="false" outlineLevel="0" collapsed="false">
      <c r="A28" s="12" t="n">
        <v>2009</v>
      </c>
      <c r="B28" s="13" t="n">
        <f aca="false">EES_Distribucion!F20</f>
        <v>25860.65</v>
      </c>
      <c r="C28" s="13" t="n">
        <f aca="false">EES_Distribucion!F21</f>
        <v>9773.58</v>
      </c>
      <c r="D28" s="13" t="n">
        <f aca="false">EES_Distribucion!F22</f>
        <v>14205.96</v>
      </c>
      <c r="E28" s="13" t="n">
        <f aca="false">EES_Distribucion!F23</f>
        <v>20712.42</v>
      </c>
      <c r="F28" s="13" t="n">
        <f aca="false">EES_Distribucion!F24</f>
        <v>33000</v>
      </c>
      <c r="G28" s="13" t="n">
        <f aca="false">EES_Distribucion!F25</f>
        <v>48338.55</v>
      </c>
      <c r="H28" s="24" t="n">
        <f aca="false">LN(G28/C28)/(2*NORMSINV(0.9))</f>
        <v>0.623676251180252</v>
      </c>
      <c r="I28" s="24" t="n">
        <f aca="false">LN(F28/D28)/(2*NORMSINV(0.75))</f>
        <v>0.624802649974646</v>
      </c>
      <c r="J28" s="24" t="n">
        <f aca="false">SQRT(2*LN(B28/E28))</f>
        <v>0.666316723531226</v>
      </c>
      <c r="K28" s="25" t="n">
        <f aca="false">B28*SQRT(EXP(H28^2)-1)</f>
        <v>17831.9136713471</v>
      </c>
      <c r="L28" s="25" t="n">
        <f aca="false">B28*SQRT(EXP(I28^2)-1)</f>
        <v>17870.8078642186</v>
      </c>
      <c r="M28" s="25" t="n">
        <f aca="false">B28*SQRT(EXP(J28^2)-1)</f>
        <v>19333.2557649693</v>
      </c>
      <c r="N28" s="26" t="n">
        <f aca="false">K28/B28*100</f>
        <v>68.9538494637495</v>
      </c>
    </row>
    <row r="29" customFormat="false" ht="15" hidden="false" customHeight="false" outlineLevel="0" collapsed="false">
      <c r="A29" s="12" t="n">
        <v>2010</v>
      </c>
      <c r="B29" s="13" t="n">
        <f aca="false">EES_Distribucion!G20</f>
        <v>25988.95</v>
      </c>
      <c r="C29" s="13" t="n">
        <f aca="false">EES_Distribucion!G21</f>
        <v>10101.07</v>
      </c>
      <c r="D29" s="13" t="n">
        <f aca="false">EES_Distribucion!G22</f>
        <v>14604.68</v>
      </c>
      <c r="E29" s="13" t="n">
        <f aca="false">EES_Distribucion!G23</f>
        <v>21319.25</v>
      </c>
      <c r="F29" s="13" t="n">
        <f aca="false">EES_Distribucion!G24</f>
        <v>32678.77</v>
      </c>
      <c r="G29" s="13" t="n">
        <f aca="false">EES_Distribucion!G25</f>
        <v>47391.3</v>
      </c>
      <c r="H29" s="24" t="n">
        <f aca="false">LN(G29/C29)/(2*NORMSINV(0.9))</f>
        <v>0.603096024491242</v>
      </c>
      <c r="I29" s="24" t="n">
        <f aca="false">LN(F29/D29)/(2*NORMSINV(0.75))</f>
        <v>0.597031760716507</v>
      </c>
      <c r="J29" s="24" t="n">
        <f aca="false">SQRT(2*LN(B29/E29))</f>
        <v>0.629382280082476</v>
      </c>
      <c r="K29" s="25" t="n">
        <f aca="false">B29*SQRT(EXP(H29^2)-1)</f>
        <v>17213.2068637926</v>
      </c>
      <c r="L29" s="25" t="n">
        <f aca="false">B29*SQRT(EXP(I29^2)-1)</f>
        <v>17007.2952091641</v>
      </c>
      <c r="M29" s="25" t="n">
        <f aca="false">B29*SQRT(EXP(J29^2)-1)</f>
        <v>18118.803440331</v>
      </c>
      <c r="N29" s="26" t="n">
        <f aca="false">K29/B29*100</f>
        <v>66.2327907198738</v>
      </c>
    </row>
    <row r="30" customFormat="false" ht="15" hidden="false" customHeight="false" outlineLevel="0" collapsed="false">
      <c r="A30" s="12" t="n">
        <v>2011</v>
      </c>
      <c r="B30" s="13" t="n">
        <f aca="false">EES_Distribucion!H20</f>
        <v>25845.2</v>
      </c>
      <c r="C30" s="13" t="n">
        <f aca="false">EES_Distribucion!H21</f>
        <v>9307.05</v>
      </c>
      <c r="D30" s="13" t="n">
        <f aca="false">EES_Distribucion!H22</f>
        <v>14192.74</v>
      </c>
      <c r="E30" s="13" t="n">
        <f aca="false">EES_Distribucion!H23</f>
        <v>21045.69</v>
      </c>
      <c r="F30" s="13" t="n">
        <f aca="false">EES_Distribucion!H24</f>
        <v>33026.05</v>
      </c>
      <c r="G30" s="13" t="n">
        <f aca="false">EES_Distribucion!H25</f>
        <v>48212.49</v>
      </c>
      <c r="H30" s="24" t="n">
        <f aca="false">LN(G30/C30)/(2*NORMSINV(0.9))</f>
        <v>0.641740052781524</v>
      </c>
      <c r="I30" s="24" t="n">
        <f aca="false">LN(F30/D30)/(2*NORMSINV(0.75))</f>
        <v>0.626077770264923</v>
      </c>
      <c r="J30" s="24" t="n">
        <f aca="false">SQRT(2*LN(B30/E30))</f>
        <v>0.640982228284784</v>
      </c>
      <c r="K30" s="25" t="n">
        <f aca="false">B30*SQRT(EXP(H30^2)-1)</f>
        <v>18449.5310246528</v>
      </c>
      <c r="L30" s="25" t="n">
        <f aca="false">B30*SQRT(EXP(I30^2)-1)</f>
        <v>17904.1829310296</v>
      </c>
      <c r="M30" s="25" t="n">
        <f aca="false">B30*SQRT(EXP(J30^2)-1)</f>
        <v>18422.9603153355</v>
      </c>
      <c r="N30" s="26" t="n">
        <f aca="false">K30/B30*100</f>
        <v>71.3847485206257</v>
      </c>
    </row>
    <row r="31" customFormat="false" ht="15" hidden="false" customHeight="false" outlineLevel="0" collapsed="false">
      <c r="A31" s="12" t="n">
        <v>2012</v>
      </c>
      <c r="B31" s="13" t="n">
        <f aca="false">EES_Distribucion!I20</f>
        <v>26044.39</v>
      </c>
      <c r="C31" s="13" t="n">
        <f aca="false">EES_Distribucion!I21</f>
        <v>9154.8</v>
      </c>
      <c r="D31" s="13" t="n">
        <f aca="false">EES_Distribucion!I22</f>
        <v>14323.48</v>
      </c>
      <c r="E31" s="13" t="n">
        <f aca="false">EES_Distribucion!I23</f>
        <v>21418.48</v>
      </c>
      <c r="F31" s="13" t="n">
        <f aca="false">EES_Distribucion!I24</f>
        <v>33429.03</v>
      </c>
      <c r="G31" s="13" t="n">
        <f aca="false">EES_Distribucion!I25</f>
        <v>48734.74</v>
      </c>
      <c r="H31" s="24" t="n">
        <f aca="false">LN(G31/C31)/(2*NORMSINV(0.9))</f>
        <v>0.652378661871268</v>
      </c>
      <c r="I31" s="24" t="n">
        <f aca="false">LN(F31/D31)/(2*NORMSINV(0.75))</f>
        <v>0.628270878202482</v>
      </c>
      <c r="J31" s="24" t="n">
        <f aca="false">SQRT(2*LN(B31/E31))</f>
        <v>0.625377148826349</v>
      </c>
      <c r="K31" s="25" t="n">
        <f aca="false">B31*SQRT(EXP(H31^2)-1)</f>
        <v>18969.6377971907</v>
      </c>
      <c r="L31" s="25" t="n">
        <f aca="false">B31*SQRT(EXP(I31^2)-1)</f>
        <v>18118.6423778186</v>
      </c>
      <c r="M31" s="25" t="n">
        <f aca="false">B31*SQRT(EXP(J31^2)-1)</f>
        <v>18017.7737974877</v>
      </c>
      <c r="N31" s="26" t="n">
        <f aca="false">K31/B31*100</f>
        <v>72.8357922654003</v>
      </c>
    </row>
    <row r="32" customFormat="false" ht="15" hidden="false" customHeight="false" outlineLevel="0" collapsed="false">
      <c r="A32" s="12" t="n">
        <v>2013</v>
      </c>
      <c r="B32" s="13" t="n">
        <f aca="false">EES_Distribucion!J20</f>
        <v>26215.36</v>
      </c>
      <c r="C32" s="13" t="n">
        <f aca="false">EES_Distribucion!J21</f>
        <v>8884.58</v>
      </c>
      <c r="D32" s="13" t="n">
        <f aca="false">EES_Distribucion!J22</f>
        <v>14117.55</v>
      </c>
      <c r="E32" s="13" t="n">
        <f aca="false">EES_Distribucion!J23</f>
        <v>21273.89</v>
      </c>
      <c r="F32" s="13" t="n">
        <f aca="false">EES_Distribucion!J24</f>
        <v>33557.52</v>
      </c>
      <c r="G32" s="13" t="n">
        <f aca="false">EES_Distribucion!J25</f>
        <v>49370.05</v>
      </c>
      <c r="H32" s="24" t="n">
        <f aca="false">LN(G32/C32)/(2*NORMSINV(0.9))</f>
        <v>0.669121251665687</v>
      </c>
      <c r="I32" s="24" t="n">
        <f aca="false">LN(F32/D32)/(2*NORMSINV(0.75))</f>
        <v>0.641849840459086</v>
      </c>
      <c r="J32" s="24" t="n">
        <f aca="false">SQRT(2*LN(B32/E32))</f>
        <v>0.64632035298412</v>
      </c>
      <c r="K32" s="25" t="n">
        <f aca="false">B32*SQRT(EXP(H32^2)-1)</f>
        <v>19700.7269018114</v>
      </c>
      <c r="L32" s="25" t="n">
        <f aca="false">B32*SQRT(EXP(I32^2)-1)</f>
        <v>18717.6748902574</v>
      </c>
      <c r="M32" s="25" t="n">
        <f aca="false">B32*SQRT(EXP(J32^2)-1)</f>
        <v>18877.0729270016</v>
      </c>
      <c r="N32" s="26" t="n">
        <f aca="false">K32/B32*100</f>
        <v>75.1495569841931</v>
      </c>
    </row>
    <row r="33" customFormat="false" ht="15" hidden="false" customHeight="false" outlineLevel="0" collapsed="false">
      <c r="A33" s="12" t="n">
        <v>2014</v>
      </c>
      <c r="B33" s="13" t="n">
        <f aca="false">EES_Distribucion!K20</f>
        <v>26570.35</v>
      </c>
      <c r="C33" s="13" t="n">
        <f aca="false">EES_Distribucion!K21</f>
        <v>8862.52</v>
      </c>
      <c r="D33" s="13" t="n">
        <f aca="false">EES_Distribucion!K22</f>
        <v>14275.72</v>
      </c>
      <c r="E33" s="13" t="n">
        <f aca="false">EES_Distribucion!K23</f>
        <v>21579.38</v>
      </c>
      <c r="F33" s="13" t="n">
        <f aca="false">EES_Distribucion!K24</f>
        <v>33791.93</v>
      </c>
      <c r="G33" s="13" t="n">
        <f aca="false">EES_Distribucion!K25</f>
        <v>49985.99</v>
      </c>
      <c r="H33" s="24" t="n">
        <f aca="false">LN(G33/C33)/(2*NORMSINV(0.9))</f>
        <v>0.67492860377974</v>
      </c>
      <c r="I33" s="24" t="n">
        <f aca="false">LN(F33/D33)/(2*NORMSINV(0.75))</f>
        <v>0.638750866292959</v>
      </c>
      <c r="J33" s="24" t="n">
        <f aca="false">SQRT(2*LN(B33/E33))</f>
        <v>0.645070078867031</v>
      </c>
      <c r="K33" s="25" t="n">
        <f aca="false">B33*SQRT(EXP(H33^2)-1)</f>
        <v>20183.0939142833</v>
      </c>
      <c r="L33" s="25" t="n">
        <f aca="false">B33*SQRT(EXP(I33^2)-1)</f>
        <v>18859.5433749073</v>
      </c>
      <c r="M33" s="25" t="n">
        <f aca="false">B33*SQRT(EXP(J33^2)-1)</f>
        <v>19087.4415537992</v>
      </c>
      <c r="N33" s="26" t="n">
        <f aca="false">K33/B33*100</f>
        <v>75.9609636842694</v>
      </c>
    </row>
    <row r="34" customFormat="false" ht="15" hidden="false" customHeight="false" outlineLevel="0" collapsed="false">
      <c r="A34" s="12" t="n">
        <v>2015</v>
      </c>
      <c r="B34" s="13" t="n">
        <f aca="false">EES_Distribucion!L20</f>
        <v>26448.04</v>
      </c>
      <c r="C34" s="13" t="n">
        <f aca="false">EES_Distribucion!L21</f>
        <v>9165.01</v>
      </c>
      <c r="D34" s="13" t="n">
        <f aca="false">EES_Distribucion!L22</f>
        <v>14359.3</v>
      </c>
      <c r="E34" s="13" t="n">
        <f aca="false">EES_Distribucion!L23</f>
        <v>21307.78</v>
      </c>
      <c r="F34" s="13" t="n">
        <f aca="false">EES_Distribucion!L24</f>
        <v>33382.74</v>
      </c>
      <c r="G34" s="13" t="n">
        <f aca="false">EES_Distribucion!L25</f>
        <v>49079.02</v>
      </c>
      <c r="H34" s="24" t="n">
        <f aca="false">LN(G34/C34)/(2*NORMSINV(0.9))</f>
        <v>0.654690269576301</v>
      </c>
      <c r="I34" s="24" t="n">
        <f aca="false">LN(F34/D34)/(2*NORMSINV(0.75))</f>
        <v>0.625392145534237</v>
      </c>
      <c r="J34" s="24" t="n">
        <f aca="false">SQRT(2*LN(B34/E34))</f>
        <v>0.657434086792615</v>
      </c>
      <c r="K34" s="25" t="n">
        <f aca="false">B34*SQRT(EXP(H34^2)-1)</f>
        <v>19347.5424945473</v>
      </c>
      <c r="L34" s="25" t="n">
        <f aca="false">B34*SQRT(EXP(I34^2)-1)</f>
        <v>18297.553121189</v>
      </c>
      <c r="M34" s="25" t="n">
        <f aca="false">B34*SQRT(EXP(J34^2)-1)</f>
        <v>19447.3748600259</v>
      </c>
      <c r="N34" s="26" t="n">
        <f aca="false">K34/B34*100</f>
        <v>73.1530294666346</v>
      </c>
    </row>
    <row r="35" customFormat="false" ht="15" hidden="false" customHeight="false" outlineLevel="0" collapsed="false">
      <c r="A35" s="12" t="n">
        <v>2016</v>
      </c>
      <c r="B35" s="13" t="n">
        <f aca="false">EES_Distribucion!M20</f>
        <v>26330.14</v>
      </c>
      <c r="C35" s="13" t="n">
        <f aca="false">EES_Distribucion!M21</f>
        <v>9619.78</v>
      </c>
      <c r="D35" s="13" t="n">
        <f aca="false">EES_Distribucion!M22</f>
        <v>14263.26</v>
      </c>
      <c r="E35" s="13" t="n">
        <f aca="false">EES_Distribucion!M23</f>
        <v>21165</v>
      </c>
      <c r="F35" s="13" t="n">
        <f aca="false">EES_Distribucion!M24</f>
        <v>33321.02</v>
      </c>
      <c r="G35" s="13" t="n">
        <f aca="false">EES_Distribucion!M25</f>
        <v>49427.2</v>
      </c>
      <c r="H35" s="24" t="n">
        <f aca="false">LN(G35/C35)/(2*NORMSINV(0.9))</f>
        <v>0.638553893796694</v>
      </c>
      <c r="I35" s="24" t="n">
        <f aca="false">LN(F35/D35)/(2*NORMSINV(0.75))</f>
        <v>0.628995050309587</v>
      </c>
      <c r="J35" s="24" t="n">
        <f aca="false">SQRT(2*LN(B35/E35))</f>
        <v>0.660856136613629</v>
      </c>
      <c r="K35" s="25" t="n">
        <f aca="false">B35*SQRT(EXP(H35^2)-1)</f>
        <v>18682.0252006125</v>
      </c>
      <c r="L35" s="25" t="n">
        <f aca="false">B35*SQRT(EXP(I35^2)-1)</f>
        <v>18342.9962516652</v>
      </c>
      <c r="M35" s="25" t="n">
        <f aca="false">B35*SQRT(EXP(J35^2)-1)</f>
        <v>19485.0053920576</v>
      </c>
      <c r="N35" s="26" t="n">
        <f aca="false">K35/B35*100</f>
        <v>70.9530036703659</v>
      </c>
    </row>
    <row r="36" customFormat="false" ht="15" hidden="false" customHeight="false" outlineLevel="0" collapsed="false">
      <c r="A36" s="12" t="n">
        <v>2017</v>
      </c>
      <c r="B36" s="13" t="n">
        <f aca="false">EES_Distribucion!N20</f>
        <v>27089.12</v>
      </c>
      <c r="C36" s="13" t="n">
        <f aca="false">EES_Distribucion!N21</f>
        <v>9920.36</v>
      </c>
      <c r="D36" s="13" t="n">
        <f aca="false">EES_Distribucion!N22</f>
        <v>14697.3</v>
      </c>
      <c r="E36" s="13" t="n">
        <f aca="false">EES_Distribucion!N23</f>
        <v>21608.08</v>
      </c>
      <c r="F36" s="13" t="n">
        <f aca="false">EES_Distribucion!N24</f>
        <v>34094.32</v>
      </c>
      <c r="G36" s="13" t="n">
        <f aca="false">EES_Distribucion!N25</f>
        <v>50280.72</v>
      </c>
      <c r="H36" s="24" t="n">
        <f aca="false">LN(G36/C36)/(2*NORMSINV(0.9))</f>
        <v>0.633229491541368</v>
      </c>
      <c r="I36" s="24" t="n">
        <f aca="false">LN(F36/D36)/(2*NORMSINV(0.75))</f>
        <v>0.623780419057876</v>
      </c>
      <c r="J36" s="24" t="n">
        <f aca="false">SQRT(2*LN(B36/E36))</f>
        <v>0.67240590782933</v>
      </c>
      <c r="K36" s="25" t="n">
        <f aca="false">B36*SQRT(EXP(H36^2)-1)</f>
        <v>19025.8750021708</v>
      </c>
      <c r="L36" s="25" t="n">
        <f aca="false">B36*SQRT(EXP(I36^2)-1)</f>
        <v>18682.7570103833</v>
      </c>
      <c r="M36" s="25" t="n">
        <f aca="false">B36*SQRT(EXP(J36^2)-1)</f>
        <v>20481.5207178171</v>
      </c>
      <c r="N36" s="26" t="n">
        <f aca="false">K36/B36*100</f>
        <v>70.2343782380928</v>
      </c>
    </row>
    <row r="37" customFormat="false" ht="15" hidden="false" customHeight="false" outlineLevel="0" collapsed="false">
      <c r="A37" s="12" t="n">
        <v>2018</v>
      </c>
      <c r="B37" s="13" t="n">
        <f aca="false">EES_Distribucion!O20</f>
        <v>27010.93</v>
      </c>
      <c r="C37" s="13" t="n">
        <f aca="false">EES_Distribucion!O21</f>
        <v>9396.89</v>
      </c>
      <c r="D37" s="13" t="n">
        <f aca="false">EES_Distribucion!O22</f>
        <v>14732.73</v>
      </c>
      <c r="E37" s="13" t="n">
        <f aca="false">EES_Distribucion!O23</f>
        <v>21477.88</v>
      </c>
      <c r="F37" s="13" t="n">
        <f aca="false">EES_Distribucion!O24</f>
        <v>34273.57</v>
      </c>
      <c r="G37" s="13" t="n">
        <f aca="false">EES_Distribucion!O25</f>
        <v>51234.14</v>
      </c>
      <c r="H37" s="24" t="n">
        <f aca="false">LN(G37/C37)/(2*NORMSINV(0.9))</f>
        <v>0.661708576088636</v>
      </c>
      <c r="I37" s="24" t="n">
        <f aca="false">LN(F37/D37)/(2*NORMSINV(0.75))</f>
        <v>0.625882716238825</v>
      </c>
      <c r="J37" s="24" t="n">
        <f aca="false">SQRT(2*LN(B37/E37))</f>
        <v>0.677079065686882</v>
      </c>
      <c r="K37" s="25" t="n">
        <f aca="false">B37*SQRT(EXP(H37^2)-1)</f>
        <v>20020.6436309713</v>
      </c>
      <c r="L37" s="25" t="n">
        <f aca="false">B37*SQRT(EXP(I37^2)-1)</f>
        <v>18704.6928336729</v>
      </c>
      <c r="M37" s="25" t="n">
        <f aca="false">B37*SQRT(EXP(J37^2)-1)</f>
        <v>20599.2394603718</v>
      </c>
      <c r="N37" s="26" t="n">
        <f aca="false">K37/B37*100</f>
        <v>74.1205268791978</v>
      </c>
    </row>
    <row r="38" customFormat="false" ht="15" hidden="false" customHeight="false" outlineLevel="0" collapsed="false">
      <c r="A38" s="12" t="n">
        <v>2019</v>
      </c>
      <c r="B38" s="13" t="n">
        <f aca="false">EES_Distribucion!P20</f>
        <v>27817.76</v>
      </c>
      <c r="C38" s="13" t="n">
        <f aca="false">EES_Distribucion!P21</f>
        <v>10063.68</v>
      </c>
      <c r="D38" s="13" t="n">
        <f aca="false">EES_Distribucion!P22</f>
        <v>15070.7</v>
      </c>
      <c r="E38" s="13" t="n">
        <f aca="false">EES_Distribucion!P23</f>
        <v>22262.74</v>
      </c>
      <c r="F38" s="13" t="n">
        <f aca="false">EES_Distribucion!P24</f>
        <v>35519.71</v>
      </c>
      <c r="G38" s="13" t="n">
        <f aca="false">EES_Distribucion!P25</f>
        <v>51938.58</v>
      </c>
      <c r="H38" s="24" t="n">
        <f aca="false">LN(G38/C38)/(2*NORMSINV(0.9))</f>
        <v>0.6402898672968</v>
      </c>
      <c r="I38" s="24" t="n">
        <f aca="false">LN(F38/D38)/(2*NORMSINV(0.75))</f>
        <v>0.635543603121384</v>
      </c>
      <c r="J38" s="24" t="n">
        <f aca="false">SQRT(2*LN(B38/E38))</f>
        <v>0.66747320039424</v>
      </c>
      <c r="K38" s="25" t="n">
        <f aca="false">B38*SQRT(EXP(H38^2)-1)</f>
        <v>19802.9289819744</v>
      </c>
      <c r="L38" s="25" t="n">
        <f aca="false">B38*SQRT(EXP(I38^2)-1)</f>
        <v>19624.3925425543</v>
      </c>
      <c r="M38" s="25" t="n">
        <f aca="false">B38*SQRT(EXP(J38^2)-1)</f>
        <v>20841.102190963</v>
      </c>
      <c r="N38" s="26" t="n">
        <f aca="false">K38/B38*100</f>
        <v>71.1880790616298</v>
      </c>
    </row>
    <row r="39" customFormat="false" ht="15" hidden="false" customHeight="false" outlineLevel="0" collapsed="false">
      <c r="A39" s="12" t="n">
        <v>2020</v>
      </c>
      <c r="B39" s="13" t="n">
        <f aca="false">EES_Distribucion!Q20</f>
        <v>28829.06</v>
      </c>
      <c r="C39" s="13" t="n">
        <f aca="false">EES_Distribucion!Q21</f>
        <v>11402.18</v>
      </c>
      <c r="D39" s="13" t="n">
        <f aca="false">EES_Distribucion!Q22</f>
        <v>15709.73</v>
      </c>
      <c r="E39" s="13" t="n">
        <f aca="false">EES_Distribucion!Q23</f>
        <v>23231.04</v>
      </c>
      <c r="F39" s="13" t="n">
        <f aca="false">EES_Distribucion!Q24</f>
        <v>36697.27</v>
      </c>
      <c r="G39" s="13" t="n">
        <f aca="false">EES_Distribucion!Q25</f>
        <v>53499.96</v>
      </c>
      <c r="H39" s="24" t="n">
        <f aca="false">LN(G39/C39)/(2*NORMSINV(0.9))</f>
        <v>0.603126859117969</v>
      </c>
      <c r="I39" s="24" t="n">
        <f aca="false">LN(F39/D39)/(2*NORMSINV(0.75))</f>
        <v>0.628936243665396</v>
      </c>
      <c r="J39" s="24" t="n">
        <f aca="false">SQRT(2*LN(B39/E39))</f>
        <v>0.657106674321283</v>
      </c>
      <c r="K39" s="25" t="n">
        <f aca="false">B39*SQRT(EXP(H39^2)-1)</f>
        <v>19095.4555103899</v>
      </c>
      <c r="L39" s="25" t="n">
        <f aca="false">B39*SQRT(EXP(I39^2)-1)</f>
        <v>20081.605249154</v>
      </c>
      <c r="M39" s="25" t="n">
        <f aca="false">B39*SQRT(EXP(J39^2)-1)</f>
        <v>21185.1503875215</v>
      </c>
      <c r="N39" s="26" t="n">
        <f aca="false">K39/B39*100</f>
        <v>66.2368301650831</v>
      </c>
    </row>
    <row r="40" customFormat="false" ht="15" hidden="false" customHeight="false" outlineLevel="0" collapsed="false">
      <c r="A40" s="12" t="n">
        <v>2021</v>
      </c>
      <c r="B40" s="13" t="n">
        <f aca="false">EES_Distribucion!R20</f>
        <v>29512.58</v>
      </c>
      <c r="C40" s="13" t="n">
        <f aca="false">EES_Distribucion!R21</f>
        <v>11769.4</v>
      </c>
      <c r="D40" s="13" t="n">
        <f aca="false">EES_Distribucion!R22</f>
        <v>16463.53</v>
      </c>
      <c r="E40" s="13" t="n">
        <f aca="false">EES_Distribucion!R23</f>
        <v>24090.61</v>
      </c>
      <c r="F40" s="13" t="n">
        <f aca="false">EES_Distribucion!R24</f>
        <v>37441.93</v>
      </c>
      <c r="G40" s="13" t="n">
        <f aca="false">EES_Distribucion!R25</f>
        <v>54074.15</v>
      </c>
      <c r="H40" s="24" t="n">
        <f aca="false">LN(G40/C40)/(2*NORMSINV(0.9))</f>
        <v>0.594924679931305</v>
      </c>
      <c r="I40" s="24" t="n">
        <f aca="false">LN(F40/D40)/(2*NORMSINV(0.75))</f>
        <v>0.609085288276168</v>
      </c>
      <c r="J40" s="24" t="n">
        <f aca="false">SQRT(2*LN(B40/E40))</f>
        <v>0.637172621990794</v>
      </c>
      <c r="K40" s="25" t="n">
        <f aca="false">B40*SQRT(EXP(H40^2)-1)</f>
        <v>19232.221294713</v>
      </c>
      <c r="L40" s="25" t="n">
        <f aca="false">B40*SQRT(EXP(I40^2)-1)</f>
        <v>19779.1799431354</v>
      </c>
      <c r="M40" s="25" t="n">
        <f aca="false">B40*SQRT(EXP(J40^2)-1)</f>
        <v>20884.9410374996</v>
      </c>
      <c r="N40" s="26" t="n">
        <f aca="false">K40/B40*100</f>
        <v>65.166180980155</v>
      </c>
    </row>
    <row r="41" customFormat="false" ht="15" hidden="false" customHeight="false" outlineLevel="0" collapsed="false">
      <c r="A41" s="12" t="n">
        <v>2022</v>
      </c>
      <c r="B41" s="13" t="n">
        <f aca="false">EES_Distribucion!S20</f>
        <v>31230.73</v>
      </c>
      <c r="C41" s="13" t="n">
        <f aca="false">EES_Distribucion!S21</f>
        <v>12432.75</v>
      </c>
      <c r="D41" s="13" t="n">
        <f aca="false">EES_Distribucion!S22</f>
        <v>17085.48</v>
      </c>
      <c r="E41" s="13" t="n">
        <f aca="false">EES_Distribucion!S23</f>
        <v>25203.47</v>
      </c>
      <c r="F41" s="13" t="n">
        <f aca="false">EES_Distribucion!S24</f>
        <v>39260.5</v>
      </c>
      <c r="G41" s="13" t="n">
        <f aca="false">EES_Distribucion!S25</f>
        <v>57854.73</v>
      </c>
      <c r="H41" s="24" t="n">
        <f aca="false">LN(G41/C41)/(2*NORMSINV(0.9))</f>
        <v>0.599898254126645</v>
      </c>
      <c r="I41" s="24" t="n">
        <f aca="false">LN(F41/D41)/(2*NORMSINV(0.75))</f>
        <v>0.61675506865856</v>
      </c>
      <c r="J41" s="24" t="n">
        <f aca="false">SQRT(2*LN(B41/E41))</f>
        <v>0.654860080522934</v>
      </c>
      <c r="K41" s="25" t="n">
        <f aca="false">B41*SQRT(EXP(H41^2)-1)</f>
        <v>20554.339225382</v>
      </c>
      <c r="L41" s="25" t="n">
        <f aca="false">B41*SQRT(EXP(I41^2)-1)</f>
        <v>21247.235205781</v>
      </c>
      <c r="M41" s="25" t="n">
        <f aca="false">B41*SQRT(EXP(J41^2)-1)</f>
        <v>22853.511867743</v>
      </c>
      <c r="N41" s="26" t="n">
        <f aca="false">K41/B41*100</f>
        <v>65.8144693556058</v>
      </c>
    </row>
    <row r="42" customFormat="false" ht="15" hidden="false" customHeight="false" outlineLevel="0" collapsed="false">
      <c r="A42" s="12" t="n">
        <v>2023</v>
      </c>
      <c r="B42" s="13" t="n">
        <f aca="false">EES_Distribucion!T20</f>
        <v>32219.6</v>
      </c>
      <c r="C42" s="13" t="n">
        <f aca="false">EES_Distribucion!T21</f>
        <v>13160</v>
      </c>
      <c r="D42" s="13" t="n">
        <f aca="false">EES_Distribucion!T22</f>
        <v>17938.54</v>
      </c>
      <c r="E42" s="13" t="n">
        <f aca="false">EES_Distribucion!T23</f>
        <v>26100.08</v>
      </c>
      <c r="F42" s="13" t="n">
        <f aca="false">EES_Distribucion!T24</f>
        <v>40977.46</v>
      </c>
      <c r="G42" s="13" t="n">
        <f aca="false">EES_Distribucion!T25</f>
        <v>59648.4</v>
      </c>
      <c r="H42" s="24" t="n">
        <f aca="false">LN(G42/C42)/(2*NORMSINV(0.9))</f>
        <v>0.589631131428499</v>
      </c>
      <c r="I42" s="24" t="n">
        <f aca="false">LN(F42/D42)/(2*NORMSINV(0.75))</f>
        <v>0.612367117707952</v>
      </c>
      <c r="J42" s="24" t="n">
        <f aca="false">SQRT(2*LN(B42/E42))</f>
        <v>0.649055596331208</v>
      </c>
      <c r="K42" s="25" t="n">
        <f aca="false">B42*SQRT(EXP(H42^2)-1)</f>
        <v>20774.9649506715</v>
      </c>
      <c r="L42" s="25" t="n">
        <f aca="false">B42*SQRT(EXP(I42^2)-1)</f>
        <v>21732.8770266981</v>
      </c>
      <c r="M42" s="25" t="n">
        <f aca="false">B42*SQRT(EXP(J42^2)-1)</f>
        <v>23320.8594389547</v>
      </c>
      <c r="N42" s="26" t="n">
        <f aca="false">K42/B42*100</f>
        <v>64.4792764363042</v>
      </c>
    </row>
    <row r="43" customFormat="false" ht="15" hidden="false" customHeight="false" outlineLevel="0" collapsed="false">
      <c r="A43" s="12" t="n">
        <v>2024</v>
      </c>
      <c r="B43" s="13" t="n">
        <f aca="false">EES_Distribucion!U20</f>
        <v>34410.01</v>
      </c>
      <c r="C43" s="13" t="n">
        <f aca="false">EES_Distribucion!U21</f>
        <v>13728.43</v>
      </c>
      <c r="D43" s="13" t="n">
        <f aca="false">EES_Distribucion!U22</f>
        <v>18872.44</v>
      </c>
      <c r="E43" s="13" t="n">
        <f aca="false">EES_Distribucion!U23</f>
        <v>28037.75</v>
      </c>
      <c r="F43" s="13" t="n">
        <f aca="false">EES_Distribucion!U24</f>
        <v>43598</v>
      </c>
      <c r="G43" s="13" t="n">
        <f aca="false">EES_Distribucion!U25</f>
        <v>63685.49</v>
      </c>
      <c r="H43" s="24" t="n">
        <f aca="false">LN(G43/C43)/(2*NORMSINV(0.9))</f>
        <v>0.598683629394441</v>
      </c>
      <c r="I43" s="24" t="n">
        <f aca="false">LN(F43/D43)/(2*NORMSINV(0.75))</f>
        <v>0.620697809493959</v>
      </c>
      <c r="J43" s="24" t="n">
        <f aca="false">SQRT(2*LN(B43/E43))</f>
        <v>0.639993271818467</v>
      </c>
      <c r="K43" s="25" t="n">
        <f aca="false">B43*SQRT(EXP(H43^2)-1)</f>
        <v>22592.1967757426</v>
      </c>
      <c r="L43" s="25" t="n">
        <f aca="false">B43*SQRT(EXP(I43^2)-1)</f>
        <v>23590.4386560297</v>
      </c>
      <c r="M43" s="25" t="n">
        <f aca="false">B43*SQRT(EXP(J43^2)-1)</f>
        <v>24481.9956254384</v>
      </c>
      <c r="N43" s="26" t="n">
        <f aca="false">K43/B43*100</f>
        <v>65.6558855279107</v>
      </c>
    </row>
    <row r="45" customFormat="false" ht="15" hidden="false" customHeight="false" outlineLevel="0" collapsed="false">
      <c r="A45" s="11" t="s">
        <v>181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1"/>
    <col collapsed="false" customWidth="true" hidden="false" outlineLevel="0" max="3" min="3" style="0" width="13"/>
    <col collapsed="false" customWidth="true" hidden="false" outlineLevel="0" max="4" min="4" style="0" width="18"/>
    <col collapsed="false" customWidth="true" hidden="false" outlineLevel="0" max="5" min="5" style="0" width="22"/>
  </cols>
  <sheetData>
    <row r="1" customFormat="false" ht="15" hidden="false" customHeight="false" outlineLevel="0" collapsed="false">
      <c r="A1" s="4" t="s">
        <v>182</v>
      </c>
      <c r="B1" s="4" t="s">
        <v>93</v>
      </c>
      <c r="C1" s="4" t="s">
        <v>94</v>
      </c>
      <c r="D1" s="4" t="s">
        <v>183</v>
      </c>
      <c r="E1" s="4" t="s">
        <v>95</v>
      </c>
      <c r="F1" s="4" t="s">
        <v>97</v>
      </c>
      <c r="G1" s="4" t="s">
        <v>98</v>
      </c>
      <c r="H1" s="4" t="s">
        <v>99</v>
      </c>
      <c r="I1" s="4" t="s">
        <v>100</v>
      </c>
      <c r="J1" s="4" t="s">
        <v>101</v>
      </c>
      <c r="K1" s="4" t="s">
        <v>102</v>
      </c>
      <c r="L1" s="4" t="s">
        <v>103</v>
      </c>
      <c r="M1" s="4" t="s">
        <v>104</v>
      </c>
      <c r="N1" s="4" t="s">
        <v>105</v>
      </c>
      <c r="O1" s="4" t="s">
        <v>106</v>
      </c>
      <c r="P1" s="4" t="s">
        <v>107</v>
      </c>
      <c r="Q1" s="4" t="s">
        <v>108</v>
      </c>
      <c r="R1" s="4" t="s">
        <v>109</v>
      </c>
      <c r="S1" s="4" t="s">
        <v>110</v>
      </c>
      <c r="T1" s="4" t="s">
        <v>111</v>
      </c>
      <c r="U1" s="4" t="s">
        <v>112</v>
      </c>
      <c r="V1" s="4" t="s">
        <v>10</v>
      </c>
    </row>
    <row r="2" customFormat="false" ht="15" hidden="false" customHeight="false" outlineLevel="0" collapsed="false">
      <c r="A2" s="12" t="s">
        <v>184</v>
      </c>
      <c r="B2" s="12" t="s">
        <v>185</v>
      </c>
      <c r="C2" s="12" t="s">
        <v>114</v>
      </c>
      <c r="D2" s="12" t="s">
        <v>186</v>
      </c>
      <c r="E2" s="12" t="s">
        <v>83</v>
      </c>
      <c r="F2" s="22" t="n">
        <v>21883.42</v>
      </c>
      <c r="G2" s="22" t="n">
        <v>22511.47</v>
      </c>
      <c r="H2" s="22" t="n">
        <v>22790.2</v>
      </c>
      <c r="I2" s="22" t="n">
        <v>22899.35</v>
      </c>
      <c r="J2" s="22" t="n">
        <v>22726.44</v>
      </c>
      <c r="K2" s="22" t="n">
        <v>22697.86</v>
      </c>
      <c r="L2" s="22" t="n">
        <v>22858.17</v>
      </c>
      <c r="M2" s="22" t="n">
        <v>23106.3</v>
      </c>
      <c r="N2" s="22" t="n">
        <v>23156.34</v>
      </c>
      <c r="O2" s="22" t="n">
        <v>23646.5</v>
      </c>
      <c r="P2" s="22" t="n">
        <v>24009.12</v>
      </c>
      <c r="Q2" s="22" t="n">
        <v>24395.98</v>
      </c>
      <c r="R2" s="22" t="n">
        <v>25165.51</v>
      </c>
      <c r="S2" s="22" t="n">
        <v>25896.82</v>
      </c>
      <c r="T2" s="22" t="n">
        <v>26948.87</v>
      </c>
      <c r="U2" s="22" t="n">
        <v>28049.94</v>
      </c>
      <c r="V2" s="22" t="n">
        <v>29540.26</v>
      </c>
    </row>
    <row r="3" customFormat="false" ht="15" hidden="false" customHeight="false" outlineLevel="0" collapsed="false">
      <c r="A3" s="12" t="s">
        <v>184</v>
      </c>
      <c r="B3" s="12" t="s">
        <v>187</v>
      </c>
      <c r="C3" s="12" t="s">
        <v>114</v>
      </c>
      <c r="D3" s="12" t="s">
        <v>188</v>
      </c>
      <c r="E3" s="12" t="s">
        <v>83</v>
      </c>
      <c r="F3" s="22" t="n">
        <v>9960.26</v>
      </c>
      <c r="G3" s="22" t="n">
        <v>9624.47</v>
      </c>
      <c r="H3" s="22" t="n">
        <v>10208.7</v>
      </c>
      <c r="I3" s="27" t="n">
        <v>8148.49</v>
      </c>
      <c r="J3" s="27" t="n">
        <v>7427.72</v>
      </c>
      <c r="K3" s="27" t="n">
        <v>7456.6</v>
      </c>
      <c r="L3" s="27" t="n">
        <v>7732.36</v>
      </c>
      <c r="M3" s="27" t="n">
        <v>7526.91</v>
      </c>
      <c r="N3" s="27" t="n">
        <v>7182.53</v>
      </c>
      <c r="O3" s="27" t="n">
        <v>7868.32</v>
      </c>
      <c r="P3" s="22" t="n">
        <v>8423.42</v>
      </c>
      <c r="Q3" s="22" t="n">
        <v>9101.3</v>
      </c>
      <c r="R3" s="27" t="n">
        <v>9394.06</v>
      </c>
      <c r="S3" s="27" t="n">
        <v>9180.17</v>
      </c>
      <c r="T3" s="22" t="n">
        <v>10597.24</v>
      </c>
      <c r="U3" s="22" t="n">
        <v>11313.36</v>
      </c>
      <c r="V3" s="22" t="n">
        <v>10693.93</v>
      </c>
    </row>
    <row r="4" customFormat="false" ht="15" hidden="false" customHeight="false" outlineLevel="0" collapsed="false">
      <c r="A4" s="12" t="s">
        <v>184</v>
      </c>
      <c r="B4" s="12" t="s">
        <v>189</v>
      </c>
      <c r="C4" s="12" t="s">
        <v>114</v>
      </c>
      <c r="D4" s="12" t="s">
        <v>190</v>
      </c>
      <c r="E4" s="12" t="s">
        <v>83</v>
      </c>
      <c r="F4" s="22" t="n">
        <v>13293.39</v>
      </c>
      <c r="G4" s="22" t="n">
        <v>12784.44</v>
      </c>
      <c r="H4" s="22" t="n">
        <v>13349.15</v>
      </c>
      <c r="I4" s="22" t="n">
        <v>12210.47</v>
      </c>
      <c r="J4" s="22" t="n">
        <v>11296.43</v>
      </c>
      <c r="K4" s="22" t="n">
        <v>10668.3</v>
      </c>
      <c r="L4" s="22" t="n">
        <v>11835.07</v>
      </c>
      <c r="M4" s="22" t="n">
        <v>11228.51</v>
      </c>
      <c r="N4" s="22" t="n">
        <v>11316.3</v>
      </c>
      <c r="O4" s="22" t="n">
        <v>11775.39</v>
      </c>
      <c r="P4" s="22" t="n">
        <v>12914.18</v>
      </c>
      <c r="Q4" s="22" t="n">
        <v>12640.65</v>
      </c>
      <c r="R4" s="22" t="n">
        <v>12925.08</v>
      </c>
      <c r="S4" s="22" t="n">
        <v>13224.95</v>
      </c>
      <c r="T4" s="22" t="n">
        <v>15181.24</v>
      </c>
      <c r="U4" s="22" t="n">
        <v>15364.17</v>
      </c>
      <c r="V4" s="22" t="n">
        <v>15636.05</v>
      </c>
    </row>
    <row r="5" customFormat="false" ht="15" hidden="false" customHeight="false" outlineLevel="0" collapsed="false">
      <c r="A5" s="12" t="s">
        <v>184</v>
      </c>
      <c r="B5" s="12" t="s">
        <v>191</v>
      </c>
      <c r="C5" s="12" t="s">
        <v>114</v>
      </c>
      <c r="D5" s="12" t="s">
        <v>192</v>
      </c>
      <c r="E5" s="12" t="s">
        <v>83</v>
      </c>
      <c r="F5" s="22" t="n">
        <v>17434</v>
      </c>
      <c r="G5" s="22" t="n">
        <v>17530.28</v>
      </c>
      <c r="H5" s="22" t="n">
        <v>17637.97</v>
      </c>
      <c r="I5" s="22" t="n">
        <v>16938.06</v>
      </c>
      <c r="J5" s="22" t="n">
        <v>16244.38</v>
      </c>
      <c r="K5" s="22" t="n">
        <v>15587.21</v>
      </c>
      <c r="L5" s="22" t="n">
        <v>16305.61</v>
      </c>
      <c r="M5" s="22" t="n">
        <v>16046.47</v>
      </c>
      <c r="N5" s="22" t="n">
        <v>15876.26</v>
      </c>
      <c r="O5" s="22" t="n">
        <v>16440.55</v>
      </c>
      <c r="P5" s="22" t="n">
        <v>17525.91</v>
      </c>
      <c r="Q5" s="22" t="n">
        <v>17772.31</v>
      </c>
      <c r="R5" s="22" t="n">
        <v>18372.47</v>
      </c>
      <c r="S5" s="22" t="n">
        <v>19089.06</v>
      </c>
      <c r="T5" s="22" t="n">
        <v>20459.6</v>
      </c>
      <c r="U5" s="22" t="n">
        <v>21039.12</v>
      </c>
      <c r="V5" s="22" t="n">
        <v>22723.25</v>
      </c>
    </row>
    <row r="6" customFormat="false" ht="15" hidden="false" customHeight="false" outlineLevel="0" collapsed="false">
      <c r="A6" s="12" t="s">
        <v>184</v>
      </c>
      <c r="B6" s="12" t="s">
        <v>193</v>
      </c>
      <c r="C6" s="12" t="s">
        <v>114</v>
      </c>
      <c r="D6" s="12" t="s">
        <v>194</v>
      </c>
      <c r="E6" s="12" t="s">
        <v>83</v>
      </c>
      <c r="F6" s="22" t="n">
        <v>20528.28</v>
      </c>
      <c r="G6" s="22" t="n">
        <v>20818.91</v>
      </c>
      <c r="H6" s="22" t="n">
        <v>21274.68</v>
      </c>
      <c r="I6" s="22" t="n">
        <v>20782.77</v>
      </c>
      <c r="J6" s="22" t="n">
        <v>20201.98</v>
      </c>
      <c r="K6" s="22" t="n">
        <v>19452.11</v>
      </c>
      <c r="L6" s="22" t="n">
        <v>20208.67</v>
      </c>
      <c r="M6" s="22" t="n">
        <v>19597.57</v>
      </c>
      <c r="N6" s="22" t="n">
        <v>19339.25</v>
      </c>
      <c r="O6" s="22" t="n">
        <v>19847.27</v>
      </c>
      <c r="P6" s="22" t="n">
        <v>20763.51</v>
      </c>
      <c r="Q6" s="22" t="n">
        <v>20969.47</v>
      </c>
      <c r="R6" s="22" t="n">
        <v>21321.13</v>
      </c>
      <c r="S6" s="22" t="n">
        <v>22123.5</v>
      </c>
      <c r="T6" s="22" t="n">
        <v>24114.17</v>
      </c>
      <c r="U6" s="22" t="n">
        <v>25222.51</v>
      </c>
      <c r="V6" s="22" t="n">
        <v>26944.39</v>
      </c>
    </row>
    <row r="7" customFormat="false" ht="15" hidden="false" customHeight="false" outlineLevel="0" collapsed="false">
      <c r="A7" s="12" t="s">
        <v>184</v>
      </c>
      <c r="B7" s="12" t="s">
        <v>195</v>
      </c>
      <c r="C7" s="12" t="s">
        <v>114</v>
      </c>
      <c r="D7" s="12" t="s">
        <v>196</v>
      </c>
      <c r="E7" s="12" t="s">
        <v>83</v>
      </c>
      <c r="F7" s="22" t="n">
        <v>22429.72</v>
      </c>
      <c r="G7" s="22" t="n">
        <v>22824.94</v>
      </c>
      <c r="H7" s="22" t="n">
        <v>23219.24</v>
      </c>
      <c r="I7" s="22" t="n">
        <v>23136.49</v>
      </c>
      <c r="J7" s="22" t="n">
        <v>22927.66</v>
      </c>
      <c r="K7" s="22" t="n">
        <v>22522.09</v>
      </c>
      <c r="L7" s="22" t="n">
        <v>22920.46</v>
      </c>
      <c r="M7" s="22" t="n">
        <v>22397.04</v>
      </c>
      <c r="N7" s="22" t="n">
        <v>22216.15</v>
      </c>
      <c r="O7" s="22" t="n">
        <v>22616.45</v>
      </c>
      <c r="P7" s="22" t="n">
        <v>23431.41</v>
      </c>
      <c r="Q7" s="22" t="n">
        <v>23283.02</v>
      </c>
      <c r="R7" s="22" t="n">
        <v>23671.27</v>
      </c>
      <c r="S7" s="22" t="n">
        <v>24134.3</v>
      </c>
      <c r="T7" s="22" t="n">
        <v>25745.84</v>
      </c>
      <c r="U7" s="22" t="n">
        <v>26928.36</v>
      </c>
      <c r="V7" s="22" t="n">
        <v>28704.89</v>
      </c>
    </row>
    <row r="8" customFormat="false" ht="15" hidden="false" customHeight="false" outlineLevel="0" collapsed="false">
      <c r="A8" s="12" t="s">
        <v>184</v>
      </c>
      <c r="B8" s="12" t="s">
        <v>197</v>
      </c>
      <c r="C8" s="12" t="s">
        <v>114</v>
      </c>
      <c r="D8" s="12" t="s">
        <v>198</v>
      </c>
      <c r="E8" s="12" t="s">
        <v>83</v>
      </c>
      <c r="F8" s="22" t="n">
        <v>23585.09</v>
      </c>
      <c r="G8" s="22" t="n">
        <v>23822.65</v>
      </c>
      <c r="H8" s="22" t="n">
        <v>24336.99</v>
      </c>
      <c r="I8" s="22" t="n">
        <v>24598.45</v>
      </c>
      <c r="J8" s="22" t="n">
        <v>24157.21</v>
      </c>
      <c r="K8" s="22" t="n">
        <v>23973.45</v>
      </c>
      <c r="L8" s="22" t="n">
        <v>24132.53</v>
      </c>
      <c r="M8" s="22" t="n">
        <v>24238.98</v>
      </c>
      <c r="N8" s="22" t="n">
        <v>24305.16</v>
      </c>
      <c r="O8" s="22" t="n">
        <v>24631.01</v>
      </c>
      <c r="P8" s="22" t="n">
        <v>25193.03</v>
      </c>
      <c r="Q8" s="22" t="n">
        <v>25734.87</v>
      </c>
      <c r="R8" s="22" t="n">
        <v>26125.41</v>
      </c>
      <c r="S8" s="22" t="n">
        <v>26770.18</v>
      </c>
      <c r="T8" s="22" t="n">
        <v>27713.56</v>
      </c>
      <c r="U8" s="22" t="n">
        <v>28638.39</v>
      </c>
      <c r="V8" s="22" t="n">
        <v>30215.05</v>
      </c>
    </row>
    <row r="9" customFormat="false" ht="15" hidden="false" customHeight="false" outlineLevel="0" collapsed="false">
      <c r="A9" s="12" t="s">
        <v>184</v>
      </c>
      <c r="B9" s="12" t="s">
        <v>199</v>
      </c>
      <c r="C9" s="12" t="s">
        <v>114</v>
      </c>
      <c r="D9" s="12" t="s">
        <v>200</v>
      </c>
      <c r="E9" s="12" t="s">
        <v>83</v>
      </c>
      <c r="F9" s="22" t="n">
        <v>24326.53</v>
      </c>
      <c r="G9" s="22" t="n">
        <v>24846.62</v>
      </c>
      <c r="H9" s="22" t="n">
        <v>25156.71</v>
      </c>
      <c r="I9" s="22" t="n">
        <v>25265.23</v>
      </c>
      <c r="J9" s="22" t="n">
        <v>24689.67</v>
      </c>
      <c r="K9" s="22" t="n">
        <v>24781.25</v>
      </c>
      <c r="L9" s="22" t="n">
        <v>25078.78</v>
      </c>
      <c r="M9" s="22" t="n">
        <v>25063.81</v>
      </c>
      <c r="N9" s="22" t="n">
        <v>25127.54</v>
      </c>
      <c r="O9" s="22" t="n">
        <v>25674.74</v>
      </c>
      <c r="P9" s="22" t="n">
        <v>26014.46</v>
      </c>
      <c r="Q9" s="22" t="n">
        <v>26627.9</v>
      </c>
      <c r="R9" s="22" t="n">
        <v>27279.93</v>
      </c>
      <c r="S9" s="22" t="n">
        <v>28077.21</v>
      </c>
      <c r="T9" s="22" t="n">
        <v>29293.69</v>
      </c>
      <c r="U9" s="22" t="n">
        <v>30514.62</v>
      </c>
      <c r="V9" s="22" t="n">
        <v>32051.12</v>
      </c>
    </row>
    <row r="10" customFormat="false" ht="15" hidden="false" customHeight="false" outlineLevel="0" collapsed="false">
      <c r="A10" s="12" t="s">
        <v>184</v>
      </c>
      <c r="B10" s="12" t="s">
        <v>201</v>
      </c>
      <c r="C10" s="12" t="s">
        <v>114</v>
      </c>
      <c r="D10" s="12" t="s">
        <v>202</v>
      </c>
      <c r="E10" s="12" t="s">
        <v>83</v>
      </c>
      <c r="F10" s="22" t="n">
        <v>25881.4</v>
      </c>
      <c r="G10" s="22" t="n">
        <v>26182.26</v>
      </c>
      <c r="H10" s="22" t="n">
        <v>26604.42</v>
      </c>
      <c r="I10" s="22" t="n">
        <v>26522.82</v>
      </c>
      <c r="J10" s="22" t="n">
        <v>25930.82</v>
      </c>
      <c r="K10" s="22" t="n">
        <v>25748.79</v>
      </c>
      <c r="L10" s="22" t="n">
        <v>25819.99</v>
      </c>
      <c r="M10" s="22" t="n">
        <v>25928.89</v>
      </c>
      <c r="N10" s="22" t="n">
        <v>25917.68</v>
      </c>
      <c r="O10" s="22" t="n">
        <v>26256.18</v>
      </c>
      <c r="P10" s="22" t="n">
        <v>26871.12</v>
      </c>
      <c r="Q10" s="22" t="n">
        <v>27183.07</v>
      </c>
      <c r="R10" s="22" t="n">
        <v>27754.07</v>
      </c>
      <c r="S10" s="22" t="n">
        <v>28380.64</v>
      </c>
      <c r="T10" s="22" t="n">
        <v>29381.29</v>
      </c>
      <c r="U10" s="22" t="n">
        <v>30887.92</v>
      </c>
      <c r="V10" s="22" t="n">
        <v>32357.6</v>
      </c>
    </row>
    <row r="11" customFormat="false" ht="15" hidden="false" customHeight="false" outlineLevel="0" collapsed="false">
      <c r="A11" s="12" t="s">
        <v>184</v>
      </c>
      <c r="B11" s="12" t="s">
        <v>203</v>
      </c>
      <c r="C11" s="12" t="s">
        <v>114</v>
      </c>
      <c r="D11" s="12" t="s">
        <v>204</v>
      </c>
      <c r="E11" s="12" t="s">
        <v>83</v>
      </c>
      <c r="F11" s="22" t="n">
        <v>26981.89</v>
      </c>
      <c r="G11" s="22" t="n">
        <v>27208.98</v>
      </c>
      <c r="H11" s="22" t="n">
        <v>28234.6</v>
      </c>
      <c r="I11" s="22" t="n">
        <v>27846</v>
      </c>
      <c r="J11" s="22" t="n">
        <v>27166.96</v>
      </c>
      <c r="K11" s="22" t="n">
        <v>27406.12</v>
      </c>
      <c r="L11" s="22" t="n">
        <v>27360.02</v>
      </c>
      <c r="M11" s="22" t="n">
        <v>27457.14</v>
      </c>
      <c r="N11" s="22" t="n">
        <v>27282.41</v>
      </c>
      <c r="O11" s="22" t="n">
        <v>27631.35</v>
      </c>
      <c r="P11" s="22" t="n">
        <v>27948.41</v>
      </c>
      <c r="Q11" s="22" t="n">
        <v>28240.07</v>
      </c>
      <c r="R11" s="22" t="n">
        <v>28713.98</v>
      </c>
      <c r="S11" s="22" t="n">
        <v>29149.8</v>
      </c>
      <c r="T11" s="22" t="n">
        <v>30196.33</v>
      </c>
      <c r="U11" s="22" t="n">
        <v>31231.39</v>
      </c>
      <c r="V11" s="22" t="n">
        <v>32247.58</v>
      </c>
    </row>
    <row r="12" customFormat="false" ht="15" hidden="false" customHeight="false" outlineLevel="0" collapsed="false">
      <c r="A12" s="12" t="s">
        <v>184</v>
      </c>
      <c r="B12" s="12" t="s">
        <v>205</v>
      </c>
      <c r="C12" s="12" t="s">
        <v>114</v>
      </c>
      <c r="D12" s="12" t="s">
        <v>206</v>
      </c>
      <c r="E12" s="12" t="s">
        <v>83</v>
      </c>
      <c r="F12" s="22" t="n">
        <v>22230.81</v>
      </c>
      <c r="G12" s="22" t="n">
        <v>22332.16</v>
      </c>
      <c r="H12" s="22" t="n">
        <v>22624.93</v>
      </c>
      <c r="I12" s="22" t="n">
        <v>22877.58</v>
      </c>
      <c r="J12" s="22" t="n">
        <v>22290.64</v>
      </c>
      <c r="K12" s="22" t="n">
        <v>22626.56</v>
      </c>
      <c r="L12" s="22" t="n">
        <v>24091.36</v>
      </c>
      <c r="M12" s="22" t="n">
        <v>24716.04</v>
      </c>
      <c r="N12" s="22" t="n">
        <v>24624.48</v>
      </c>
      <c r="O12" s="22" t="n">
        <v>25334.93</v>
      </c>
      <c r="P12" s="22" t="n">
        <v>26073.06</v>
      </c>
      <c r="Q12" s="22" t="n">
        <v>26735.18</v>
      </c>
      <c r="R12" s="22" t="n">
        <v>27390.57</v>
      </c>
      <c r="S12" s="22" t="n">
        <v>28220.73</v>
      </c>
      <c r="T12" s="22" t="n">
        <v>29646.98</v>
      </c>
      <c r="U12" s="22" t="n">
        <v>30968.18</v>
      </c>
      <c r="V12" s="22" t="n">
        <v>31814.39</v>
      </c>
    </row>
    <row r="13" customFormat="false" ht="15" hidden="false" customHeight="false" outlineLevel="0" collapsed="false">
      <c r="A13" s="12" t="s">
        <v>184</v>
      </c>
      <c r="B13" s="12" t="s">
        <v>207</v>
      </c>
      <c r="C13" s="12" t="s">
        <v>114</v>
      </c>
      <c r="D13" s="12" t="s">
        <v>208</v>
      </c>
      <c r="E13" s="12" t="s">
        <v>83</v>
      </c>
      <c r="F13" s="22" t="n">
        <v>27116.41</v>
      </c>
      <c r="G13" s="22" t="n">
        <v>24748.59</v>
      </c>
      <c r="H13" s="22" t="n">
        <v>27700.12</v>
      </c>
      <c r="I13" s="22" t="n">
        <v>28058.32</v>
      </c>
      <c r="J13" s="22" t="n">
        <v>25723.51</v>
      </c>
      <c r="K13" s="22" t="n">
        <v>24538.14</v>
      </c>
      <c r="L13" s="22" t="n">
        <v>23854.21</v>
      </c>
      <c r="M13" s="22" t="n">
        <v>22280.44</v>
      </c>
      <c r="N13" s="22" t="n">
        <v>22661.04</v>
      </c>
      <c r="O13" s="22" t="n">
        <v>23190.74</v>
      </c>
      <c r="P13" s="22" t="n">
        <v>24584.63</v>
      </c>
      <c r="Q13" s="22" t="n">
        <v>24857.33</v>
      </c>
      <c r="R13" s="22" t="n">
        <v>26833.25</v>
      </c>
      <c r="S13" s="22" t="n">
        <v>26837.66</v>
      </c>
      <c r="T13" s="22" t="n">
        <v>30496.85</v>
      </c>
      <c r="U13" s="22" t="n">
        <v>30930.83</v>
      </c>
      <c r="V13" s="22" t="n">
        <v>31576.81</v>
      </c>
    </row>
    <row r="14" customFormat="false" ht="15" hidden="false" customHeight="false" outlineLevel="0" collapsed="false">
      <c r="A14" s="12" t="s">
        <v>184</v>
      </c>
      <c r="B14" s="12" t="s">
        <v>209</v>
      </c>
      <c r="C14" s="12" t="s">
        <v>121</v>
      </c>
      <c r="D14" s="12" t="s">
        <v>186</v>
      </c>
      <c r="E14" s="12" t="s">
        <v>83</v>
      </c>
      <c r="F14" s="22" t="n">
        <v>18910.62</v>
      </c>
      <c r="G14" s="22" t="n">
        <v>19502.02</v>
      </c>
      <c r="H14" s="22" t="n">
        <v>19735.22</v>
      </c>
      <c r="I14" s="22" t="n">
        <v>19767.59</v>
      </c>
      <c r="J14" s="22" t="n">
        <v>19537.33</v>
      </c>
      <c r="K14" s="22" t="n">
        <v>19514.58</v>
      </c>
      <c r="L14" s="22" t="n">
        <v>19744.82</v>
      </c>
      <c r="M14" s="22" t="n">
        <v>20051.58</v>
      </c>
      <c r="N14" s="22" t="n">
        <v>20131.41</v>
      </c>
      <c r="O14" s="22" t="n">
        <v>20607.85</v>
      </c>
      <c r="P14" s="22" t="n">
        <v>21011.89</v>
      </c>
      <c r="Q14" s="22" t="n">
        <v>21682.02</v>
      </c>
      <c r="R14" s="22" t="n">
        <v>22467.48</v>
      </c>
      <c r="S14" s="22" t="n">
        <v>23175.95</v>
      </c>
      <c r="T14" s="22" t="n">
        <v>24359.82</v>
      </c>
      <c r="U14" s="22" t="n">
        <v>25591.31</v>
      </c>
      <c r="V14" s="22" t="n">
        <v>26904.9</v>
      </c>
    </row>
    <row r="15" customFormat="false" ht="15" hidden="false" customHeight="false" outlineLevel="0" collapsed="false">
      <c r="A15" s="12" t="s">
        <v>184</v>
      </c>
      <c r="B15" s="12" t="s">
        <v>210</v>
      </c>
      <c r="C15" s="12" t="s">
        <v>121</v>
      </c>
      <c r="D15" s="12" t="s">
        <v>188</v>
      </c>
      <c r="E15" s="12" t="s">
        <v>83</v>
      </c>
      <c r="F15" s="27" t="n">
        <v>8130.68</v>
      </c>
      <c r="G15" s="27" t="n">
        <v>8499.86</v>
      </c>
      <c r="H15" s="27" t="n">
        <v>8637.1</v>
      </c>
      <c r="I15" s="27" t="n">
        <v>6952.69</v>
      </c>
      <c r="J15" s="12"/>
      <c r="K15" s="12"/>
      <c r="L15" s="27" t="n">
        <v>6577.38</v>
      </c>
      <c r="M15" s="12"/>
      <c r="N15" s="27" t="n">
        <v>5733.6</v>
      </c>
      <c r="O15" s="27" t="n">
        <v>6066.79</v>
      </c>
      <c r="P15" s="27" t="n">
        <v>7277.64</v>
      </c>
      <c r="Q15" s="27" t="n">
        <v>7855.04</v>
      </c>
      <c r="R15" s="27" t="n">
        <v>7825.26</v>
      </c>
      <c r="S15" s="27" t="n">
        <v>8067.08</v>
      </c>
      <c r="T15" s="27" t="n">
        <v>8875.09</v>
      </c>
      <c r="U15" s="27" t="n">
        <v>9558.96</v>
      </c>
      <c r="V15" s="27" t="n">
        <v>9280.82</v>
      </c>
    </row>
    <row r="16" customFormat="false" ht="15" hidden="false" customHeight="false" outlineLevel="0" collapsed="false">
      <c r="A16" s="12" t="s">
        <v>184</v>
      </c>
      <c r="B16" s="12" t="s">
        <v>211</v>
      </c>
      <c r="C16" s="12" t="s">
        <v>121</v>
      </c>
      <c r="D16" s="12" t="s">
        <v>190</v>
      </c>
      <c r="E16" s="12" t="s">
        <v>83</v>
      </c>
      <c r="F16" s="22" t="n">
        <v>11663.96</v>
      </c>
      <c r="G16" s="22" t="n">
        <v>11424.08</v>
      </c>
      <c r="H16" s="22" t="n">
        <v>11906.62</v>
      </c>
      <c r="I16" s="22" t="n">
        <v>10913.35</v>
      </c>
      <c r="J16" s="22" t="n">
        <v>10099.75</v>
      </c>
      <c r="K16" s="22" t="n">
        <v>9410.99</v>
      </c>
      <c r="L16" s="22" t="n">
        <v>10603.52</v>
      </c>
      <c r="M16" s="22" t="n">
        <v>9690.75</v>
      </c>
      <c r="N16" s="22" t="n">
        <v>9746.34</v>
      </c>
      <c r="O16" s="22" t="n">
        <v>10171.93</v>
      </c>
      <c r="P16" s="22" t="n">
        <v>11100.84</v>
      </c>
      <c r="Q16" s="22" t="n">
        <v>11427.77</v>
      </c>
      <c r="R16" s="22" t="n">
        <v>11548.97</v>
      </c>
      <c r="S16" s="22" t="n">
        <v>11747.25</v>
      </c>
      <c r="T16" s="22" t="n">
        <v>13789.84</v>
      </c>
      <c r="U16" s="22" t="n">
        <v>13891.62</v>
      </c>
      <c r="V16" s="22" t="n">
        <v>14016.31</v>
      </c>
    </row>
    <row r="17" customFormat="false" ht="15" hidden="false" customHeight="false" outlineLevel="0" collapsed="false">
      <c r="A17" s="12" t="s">
        <v>184</v>
      </c>
      <c r="B17" s="12" t="s">
        <v>212</v>
      </c>
      <c r="C17" s="12" t="s">
        <v>121</v>
      </c>
      <c r="D17" s="12" t="s">
        <v>192</v>
      </c>
      <c r="E17" s="12" t="s">
        <v>83</v>
      </c>
      <c r="F17" s="22" t="n">
        <v>16005.3</v>
      </c>
      <c r="G17" s="22" t="n">
        <v>16308.84</v>
      </c>
      <c r="H17" s="22" t="n">
        <v>16241.61</v>
      </c>
      <c r="I17" s="22" t="n">
        <v>15552.41</v>
      </c>
      <c r="J17" s="22" t="n">
        <v>15042.6</v>
      </c>
      <c r="K17" s="22" t="n">
        <v>14462.27</v>
      </c>
      <c r="L17" s="22" t="n">
        <v>15019.71</v>
      </c>
      <c r="M17" s="22" t="n">
        <v>14853.58</v>
      </c>
      <c r="N17" s="22" t="n">
        <v>14793.84</v>
      </c>
      <c r="O17" s="22" t="n">
        <v>15129.41</v>
      </c>
      <c r="P17" s="22" t="n">
        <v>16045.85</v>
      </c>
      <c r="Q17" s="22" t="n">
        <v>16650.63</v>
      </c>
      <c r="R17" s="22" t="n">
        <v>17208.34</v>
      </c>
      <c r="S17" s="22" t="n">
        <v>17718.66</v>
      </c>
      <c r="T17" s="22" t="n">
        <v>19343.03</v>
      </c>
      <c r="U17" s="22" t="n">
        <v>20244.83</v>
      </c>
      <c r="V17" s="22" t="n">
        <v>21464.3</v>
      </c>
    </row>
    <row r="18" customFormat="false" ht="15" hidden="false" customHeight="false" outlineLevel="0" collapsed="false">
      <c r="A18" s="12" t="s">
        <v>184</v>
      </c>
      <c r="B18" s="12" t="s">
        <v>213</v>
      </c>
      <c r="C18" s="12" t="s">
        <v>121</v>
      </c>
      <c r="D18" s="12" t="s">
        <v>194</v>
      </c>
      <c r="E18" s="12" t="s">
        <v>83</v>
      </c>
      <c r="F18" s="22" t="n">
        <v>18371.69</v>
      </c>
      <c r="G18" s="22" t="n">
        <v>18637.84</v>
      </c>
      <c r="H18" s="22" t="n">
        <v>19261.16</v>
      </c>
      <c r="I18" s="22" t="n">
        <v>18645.05</v>
      </c>
      <c r="J18" s="22" t="n">
        <v>17995.4</v>
      </c>
      <c r="K18" s="22" t="n">
        <v>17443.94</v>
      </c>
      <c r="L18" s="22" t="n">
        <v>18435.4</v>
      </c>
      <c r="M18" s="22" t="n">
        <v>17679.61</v>
      </c>
      <c r="N18" s="22" t="n">
        <v>17398.35</v>
      </c>
      <c r="O18" s="22" t="n">
        <v>17882.67</v>
      </c>
      <c r="P18" s="22" t="n">
        <v>18689.23</v>
      </c>
      <c r="Q18" s="22" t="n">
        <v>19042.73</v>
      </c>
      <c r="R18" s="22" t="n">
        <v>19283.67</v>
      </c>
      <c r="S18" s="22" t="n">
        <v>20089.61</v>
      </c>
      <c r="T18" s="22" t="n">
        <v>22361.32</v>
      </c>
      <c r="U18" s="22" t="n">
        <v>23572.59</v>
      </c>
      <c r="V18" s="22" t="n">
        <v>25340.39</v>
      </c>
    </row>
    <row r="19" customFormat="false" ht="15" hidden="false" customHeight="false" outlineLevel="0" collapsed="false">
      <c r="A19" s="12" t="s">
        <v>184</v>
      </c>
      <c r="B19" s="12" t="s">
        <v>214</v>
      </c>
      <c r="C19" s="12" t="s">
        <v>121</v>
      </c>
      <c r="D19" s="12" t="s">
        <v>196</v>
      </c>
      <c r="E19" s="12" t="s">
        <v>83</v>
      </c>
      <c r="F19" s="22" t="n">
        <v>19526.68</v>
      </c>
      <c r="G19" s="22" t="n">
        <v>20072.16</v>
      </c>
      <c r="H19" s="22" t="n">
        <v>20710.98</v>
      </c>
      <c r="I19" s="22" t="n">
        <v>20373.05</v>
      </c>
      <c r="J19" s="22" t="n">
        <v>20031.92</v>
      </c>
      <c r="K19" s="22" t="n">
        <v>19659.26</v>
      </c>
      <c r="L19" s="22" t="n">
        <v>20324.74</v>
      </c>
      <c r="M19" s="22" t="n">
        <v>19924.75</v>
      </c>
      <c r="N19" s="22" t="n">
        <v>19667.87</v>
      </c>
      <c r="O19" s="22" t="n">
        <v>19946.55</v>
      </c>
      <c r="P19" s="22" t="n">
        <v>20757.25</v>
      </c>
      <c r="Q19" s="22" t="n">
        <v>20682.9</v>
      </c>
      <c r="R19" s="22" t="n">
        <v>21322.66</v>
      </c>
      <c r="S19" s="22" t="n">
        <v>21832.52</v>
      </c>
      <c r="T19" s="22" t="n">
        <v>23237.09</v>
      </c>
      <c r="U19" s="22" t="n">
        <v>24799.41</v>
      </c>
      <c r="V19" s="22" t="n">
        <v>26277.95</v>
      </c>
    </row>
    <row r="20" customFormat="false" ht="15" hidden="false" customHeight="false" outlineLevel="0" collapsed="false">
      <c r="A20" s="12" t="s">
        <v>184</v>
      </c>
      <c r="B20" s="12" t="s">
        <v>215</v>
      </c>
      <c r="C20" s="12" t="s">
        <v>121</v>
      </c>
      <c r="D20" s="12" t="s">
        <v>198</v>
      </c>
      <c r="E20" s="12" t="s">
        <v>83</v>
      </c>
      <c r="F20" s="22" t="n">
        <v>20268.85</v>
      </c>
      <c r="G20" s="22" t="n">
        <v>20446.34</v>
      </c>
      <c r="H20" s="22" t="n">
        <v>20966.53</v>
      </c>
      <c r="I20" s="22" t="n">
        <v>21290.6</v>
      </c>
      <c r="J20" s="22" t="n">
        <v>20941.8</v>
      </c>
      <c r="K20" s="22" t="n">
        <v>20713.21</v>
      </c>
      <c r="L20" s="22" t="n">
        <v>20953.82</v>
      </c>
      <c r="M20" s="22" t="n">
        <v>21246.22</v>
      </c>
      <c r="N20" s="22" t="n">
        <v>21421.72</v>
      </c>
      <c r="O20" s="22" t="n">
        <v>21792.7</v>
      </c>
      <c r="P20" s="22" t="n">
        <v>22206.71</v>
      </c>
      <c r="Q20" s="22" t="n">
        <v>22826.24</v>
      </c>
      <c r="R20" s="22" t="n">
        <v>23223.46</v>
      </c>
      <c r="S20" s="22" t="n">
        <v>23962.41</v>
      </c>
      <c r="T20" s="22" t="n">
        <v>24734.92</v>
      </c>
      <c r="U20" s="22" t="n">
        <v>25955.04</v>
      </c>
      <c r="V20" s="22" t="n">
        <v>27327.48</v>
      </c>
    </row>
    <row r="21" customFormat="false" ht="15" hidden="false" customHeight="false" outlineLevel="0" collapsed="false">
      <c r="A21" s="12" t="s">
        <v>184</v>
      </c>
      <c r="B21" s="12" t="s">
        <v>216</v>
      </c>
      <c r="C21" s="12" t="s">
        <v>121</v>
      </c>
      <c r="D21" s="12" t="s">
        <v>200</v>
      </c>
      <c r="E21" s="12" t="s">
        <v>83</v>
      </c>
      <c r="F21" s="22" t="n">
        <v>20842.75</v>
      </c>
      <c r="G21" s="22" t="n">
        <v>21277.21</v>
      </c>
      <c r="H21" s="22" t="n">
        <v>21305.78</v>
      </c>
      <c r="I21" s="22" t="n">
        <v>21545.65</v>
      </c>
      <c r="J21" s="22" t="n">
        <v>20821.54</v>
      </c>
      <c r="K21" s="22" t="n">
        <v>20987.98</v>
      </c>
      <c r="L21" s="22" t="n">
        <v>21101.2</v>
      </c>
      <c r="M21" s="22" t="n">
        <v>21453.15</v>
      </c>
      <c r="N21" s="22" t="n">
        <v>21614.93</v>
      </c>
      <c r="O21" s="22" t="n">
        <v>22156.46</v>
      </c>
      <c r="P21" s="22" t="n">
        <v>22826.82</v>
      </c>
      <c r="Q21" s="22" t="n">
        <v>23569.51</v>
      </c>
      <c r="R21" s="22" t="n">
        <v>24323.96</v>
      </c>
      <c r="S21" s="22" t="n">
        <v>25071.06</v>
      </c>
      <c r="T21" s="22" t="n">
        <v>26507.49</v>
      </c>
      <c r="U21" s="22" t="n">
        <v>27501.67</v>
      </c>
      <c r="V21" s="22" t="n">
        <v>28750.57</v>
      </c>
    </row>
    <row r="22" customFormat="false" ht="15" hidden="false" customHeight="false" outlineLevel="0" collapsed="false">
      <c r="A22" s="12" t="s">
        <v>184</v>
      </c>
      <c r="B22" s="12" t="s">
        <v>217</v>
      </c>
      <c r="C22" s="12" t="s">
        <v>121</v>
      </c>
      <c r="D22" s="12" t="s">
        <v>202</v>
      </c>
      <c r="E22" s="12" t="s">
        <v>83</v>
      </c>
      <c r="F22" s="22" t="n">
        <v>22010.7</v>
      </c>
      <c r="G22" s="22" t="n">
        <v>21899.18</v>
      </c>
      <c r="H22" s="22" t="n">
        <v>22129.13</v>
      </c>
      <c r="I22" s="22" t="n">
        <v>22177.94</v>
      </c>
      <c r="J22" s="22" t="n">
        <v>21744.69</v>
      </c>
      <c r="K22" s="22" t="n">
        <v>21483.87</v>
      </c>
      <c r="L22" s="22" t="n">
        <v>21786.77</v>
      </c>
      <c r="M22" s="22" t="n">
        <v>22115.5</v>
      </c>
      <c r="N22" s="22" t="n">
        <v>22067.03</v>
      </c>
      <c r="O22" s="22" t="n">
        <v>22367.7</v>
      </c>
      <c r="P22" s="22" t="n">
        <v>22832.87</v>
      </c>
      <c r="Q22" s="22" t="n">
        <v>23490.58</v>
      </c>
      <c r="R22" s="22" t="n">
        <v>24228.35</v>
      </c>
      <c r="S22" s="22" t="n">
        <v>24815.41</v>
      </c>
      <c r="T22" s="22" t="n">
        <v>25939.04</v>
      </c>
      <c r="U22" s="22" t="n">
        <v>27862.87</v>
      </c>
      <c r="V22" s="22" t="n">
        <v>29375.17</v>
      </c>
    </row>
    <row r="23" customFormat="false" ht="15" hidden="false" customHeight="false" outlineLevel="0" collapsed="false">
      <c r="A23" s="12" t="s">
        <v>184</v>
      </c>
      <c r="B23" s="12" t="s">
        <v>218</v>
      </c>
      <c r="C23" s="12" t="s">
        <v>121</v>
      </c>
      <c r="D23" s="12" t="s">
        <v>204</v>
      </c>
      <c r="E23" s="12" t="s">
        <v>83</v>
      </c>
      <c r="F23" s="22" t="n">
        <v>22666.51</v>
      </c>
      <c r="G23" s="22" t="n">
        <v>22744.5</v>
      </c>
      <c r="H23" s="22" t="n">
        <v>23013.28</v>
      </c>
      <c r="I23" s="22" t="n">
        <v>22999.83</v>
      </c>
      <c r="J23" s="22" t="n">
        <v>22396.23</v>
      </c>
      <c r="K23" s="22" t="n">
        <v>22563.92</v>
      </c>
      <c r="L23" s="22" t="n">
        <v>22482.92</v>
      </c>
      <c r="M23" s="22" t="n">
        <v>22822.24</v>
      </c>
      <c r="N23" s="22" t="n">
        <v>22821.99</v>
      </c>
      <c r="O23" s="22" t="n">
        <v>23360.75</v>
      </c>
      <c r="P23" s="22" t="n">
        <v>23580.95</v>
      </c>
      <c r="Q23" s="22" t="n">
        <v>24648.49</v>
      </c>
      <c r="R23" s="22" t="n">
        <v>25111.64</v>
      </c>
      <c r="S23" s="22" t="n">
        <v>25674.78</v>
      </c>
      <c r="T23" s="22" t="n">
        <v>26928.34</v>
      </c>
      <c r="U23" s="22" t="n">
        <v>27756.04</v>
      </c>
      <c r="V23" s="22" t="n">
        <v>28758.22</v>
      </c>
    </row>
    <row r="24" customFormat="false" ht="15" hidden="false" customHeight="false" outlineLevel="0" collapsed="false">
      <c r="A24" s="12" t="s">
        <v>184</v>
      </c>
      <c r="B24" s="12" t="s">
        <v>219</v>
      </c>
      <c r="C24" s="12" t="s">
        <v>121</v>
      </c>
      <c r="D24" s="12" t="s">
        <v>206</v>
      </c>
      <c r="E24" s="12" t="s">
        <v>83</v>
      </c>
      <c r="F24" s="22" t="n">
        <v>19003.09</v>
      </c>
      <c r="G24" s="22" t="n">
        <v>19634.05</v>
      </c>
      <c r="H24" s="22" t="n">
        <v>20035.11</v>
      </c>
      <c r="I24" s="22" t="n">
        <v>20604.14</v>
      </c>
      <c r="J24" s="22" t="n">
        <v>19963.66</v>
      </c>
      <c r="K24" s="22" t="n">
        <v>20520.08</v>
      </c>
      <c r="L24" s="22" t="n">
        <v>20460.53</v>
      </c>
      <c r="M24" s="22" t="n">
        <v>21218.54</v>
      </c>
      <c r="N24" s="22" t="n">
        <v>21246.54</v>
      </c>
      <c r="O24" s="22" t="n">
        <v>22241.99</v>
      </c>
      <c r="P24" s="22" t="n">
        <v>23029.65</v>
      </c>
      <c r="Q24" s="22" t="n">
        <v>24211.54</v>
      </c>
      <c r="R24" s="22" t="n">
        <v>24957.11</v>
      </c>
      <c r="S24" s="22" t="n">
        <v>25412.38</v>
      </c>
      <c r="T24" s="22" t="n">
        <v>27217.22</v>
      </c>
      <c r="U24" s="22" t="n">
        <v>28406.47</v>
      </c>
      <c r="V24" s="22" t="n">
        <v>29319.19</v>
      </c>
    </row>
    <row r="25" customFormat="false" ht="15" hidden="false" customHeight="false" outlineLevel="0" collapsed="false">
      <c r="A25" s="12" t="s">
        <v>184</v>
      </c>
      <c r="B25" s="12" t="s">
        <v>220</v>
      </c>
      <c r="C25" s="12" t="s">
        <v>121</v>
      </c>
      <c r="D25" s="12" t="s">
        <v>208</v>
      </c>
      <c r="E25" s="12" t="s">
        <v>83</v>
      </c>
      <c r="F25" s="27" t="n">
        <v>20430.39</v>
      </c>
      <c r="G25" s="27" t="n">
        <v>18447.25</v>
      </c>
      <c r="H25" s="27" t="n">
        <v>20182.45</v>
      </c>
      <c r="I25" s="27" t="n">
        <v>18443.64</v>
      </c>
      <c r="J25" s="27" t="n">
        <v>16757.7</v>
      </c>
      <c r="K25" s="27" t="n">
        <v>17821.32</v>
      </c>
      <c r="L25" s="27" t="n">
        <v>15756.77</v>
      </c>
      <c r="M25" s="27" t="n">
        <v>15196.83</v>
      </c>
      <c r="N25" s="22" t="n">
        <v>15097.24</v>
      </c>
      <c r="O25" s="22" t="n">
        <v>15166.79</v>
      </c>
      <c r="P25" s="22" t="n">
        <v>19472.58</v>
      </c>
      <c r="Q25" s="22" t="n">
        <v>20126.4</v>
      </c>
      <c r="R25" s="22" t="n">
        <v>21784.18</v>
      </c>
      <c r="S25" s="22" t="n">
        <v>22638.42</v>
      </c>
      <c r="T25" s="22" t="n">
        <v>25437.34</v>
      </c>
      <c r="U25" s="22" t="n">
        <v>26713.37</v>
      </c>
      <c r="V25" s="22" t="n">
        <v>26521.52</v>
      </c>
    </row>
    <row r="26" customFormat="false" ht="15" hidden="false" customHeight="false" outlineLevel="0" collapsed="false">
      <c r="A26" s="12" t="s">
        <v>184</v>
      </c>
      <c r="B26" s="12" t="s">
        <v>221</v>
      </c>
      <c r="C26" s="12" t="s">
        <v>128</v>
      </c>
      <c r="D26" s="12" t="s">
        <v>186</v>
      </c>
      <c r="E26" s="12" t="s">
        <v>83</v>
      </c>
      <c r="F26" s="22" t="n">
        <v>24203.33</v>
      </c>
      <c r="G26" s="22" t="n">
        <v>25001.05</v>
      </c>
      <c r="H26" s="22" t="n">
        <v>25479.74</v>
      </c>
      <c r="I26" s="22" t="n">
        <v>25667.89</v>
      </c>
      <c r="J26" s="22" t="n">
        <v>25682.05</v>
      </c>
      <c r="K26" s="22" t="n">
        <v>25675.17</v>
      </c>
      <c r="L26" s="22" t="n">
        <v>25727.24</v>
      </c>
      <c r="M26" s="22" t="n">
        <v>25992.76</v>
      </c>
      <c r="N26" s="22" t="n">
        <v>25924.43</v>
      </c>
      <c r="O26" s="22" t="n">
        <v>26391.84</v>
      </c>
      <c r="P26" s="22" t="n">
        <v>26738.19</v>
      </c>
      <c r="Q26" s="22" t="n">
        <v>26934.38</v>
      </c>
      <c r="R26" s="22" t="n">
        <v>27642.52</v>
      </c>
      <c r="S26" s="22" t="n">
        <v>28388.69</v>
      </c>
      <c r="T26" s="22" t="n">
        <v>29381.84</v>
      </c>
      <c r="U26" s="22" t="n">
        <v>30372.49</v>
      </c>
      <c r="V26" s="22" t="n">
        <v>32057.55</v>
      </c>
    </row>
    <row r="27" customFormat="false" ht="15" hidden="false" customHeight="false" outlineLevel="0" collapsed="false">
      <c r="A27" s="12" t="s">
        <v>184</v>
      </c>
      <c r="B27" s="12" t="s">
        <v>222</v>
      </c>
      <c r="C27" s="12" t="s">
        <v>128</v>
      </c>
      <c r="D27" s="12" t="s">
        <v>188</v>
      </c>
      <c r="E27" s="12" t="s">
        <v>83</v>
      </c>
      <c r="F27" s="22" t="n">
        <v>11039.25</v>
      </c>
      <c r="G27" s="27" t="n">
        <v>10305.82</v>
      </c>
      <c r="H27" s="27" t="n">
        <v>11614.73</v>
      </c>
      <c r="I27" s="27" t="n">
        <v>8861.57</v>
      </c>
      <c r="J27" s="27" t="n">
        <v>8045.64</v>
      </c>
      <c r="K27" s="12"/>
      <c r="L27" s="27" t="n">
        <v>9060.68</v>
      </c>
      <c r="M27" s="27" t="n">
        <v>8585.6</v>
      </c>
      <c r="N27" s="27" t="n">
        <v>8369.57</v>
      </c>
      <c r="O27" s="27" t="n">
        <v>8821.3</v>
      </c>
      <c r="P27" s="27" t="n">
        <v>9118.47</v>
      </c>
      <c r="Q27" s="27" t="n">
        <v>9902.54</v>
      </c>
      <c r="R27" s="27" t="n">
        <v>10411.69</v>
      </c>
      <c r="S27" s="27" t="n">
        <v>9946.44</v>
      </c>
      <c r="T27" s="27" t="n">
        <v>12436.56</v>
      </c>
      <c r="U27" s="22" t="n">
        <v>12943.66</v>
      </c>
      <c r="V27" s="27" t="n">
        <v>11752.16</v>
      </c>
    </row>
    <row r="28" customFormat="false" ht="15" hidden="false" customHeight="false" outlineLevel="0" collapsed="false">
      <c r="A28" s="12" t="s">
        <v>184</v>
      </c>
      <c r="B28" s="12" t="s">
        <v>223</v>
      </c>
      <c r="C28" s="12" t="s">
        <v>128</v>
      </c>
      <c r="D28" s="12" t="s">
        <v>190</v>
      </c>
      <c r="E28" s="12" t="s">
        <v>83</v>
      </c>
      <c r="F28" s="22" t="n">
        <v>14711.9</v>
      </c>
      <c r="G28" s="22" t="n">
        <v>13974.59</v>
      </c>
      <c r="H28" s="22" t="n">
        <v>14804.88</v>
      </c>
      <c r="I28" s="22" t="n">
        <v>13491.76</v>
      </c>
      <c r="J28" s="22" t="n">
        <v>12438.6</v>
      </c>
      <c r="K28" s="22" t="n">
        <v>11856.76</v>
      </c>
      <c r="L28" s="22" t="n">
        <v>13072.04</v>
      </c>
      <c r="M28" s="22" t="n">
        <v>12706.37</v>
      </c>
      <c r="N28" s="22" t="n">
        <v>12641.01</v>
      </c>
      <c r="O28" s="22" t="n">
        <v>13199.81</v>
      </c>
      <c r="P28" s="22" t="n">
        <v>14364.46</v>
      </c>
      <c r="Q28" s="22" t="n">
        <v>13663.22</v>
      </c>
      <c r="R28" s="22" t="n">
        <v>14043.56</v>
      </c>
      <c r="S28" s="22" t="n">
        <v>14399.62</v>
      </c>
      <c r="T28" s="22" t="n">
        <v>16337.24</v>
      </c>
      <c r="U28" s="22" t="n">
        <v>16541.79</v>
      </c>
      <c r="V28" s="22" t="n">
        <v>17066.66</v>
      </c>
    </row>
    <row r="29" customFormat="false" ht="15" hidden="false" customHeight="false" outlineLevel="0" collapsed="false">
      <c r="A29" s="12" t="s">
        <v>184</v>
      </c>
      <c r="B29" s="12" t="s">
        <v>224</v>
      </c>
      <c r="C29" s="12" t="s">
        <v>128</v>
      </c>
      <c r="D29" s="12" t="s">
        <v>192</v>
      </c>
      <c r="E29" s="12" t="s">
        <v>83</v>
      </c>
      <c r="F29" s="22" t="n">
        <v>18739.58</v>
      </c>
      <c r="G29" s="22" t="n">
        <v>18683.19</v>
      </c>
      <c r="H29" s="22" t="n">
        <v>19099.29</v>
      </c>
      <c r="I29" s="22" t="n">
        <v>18429.65</v>
      </c>
      <c r="J29" s="22" t="n">
        <v>17629.2</v>
      </c>
      <c r="K29" s="22" t="n">
        <v>16853.47</v>
      </c>
      <c r="L29" s="22" t="n">
        <v>17634.95</v>
      </c>
      <c r="M29" s="22" t="n">
        <v>17275.91</v>
      </c>
      <c r="N29" s="22" t="n">
        <v>16906.88</v>
      </c>
      <c r="O29" s="22" t="n">
        <v>17615.64</v>
      </c>
      <c r="P29" s="22" t="n">
        <v>18930.97</v>
      </c>
      <c r="Q29" s="22" t="n">
        <v>18807.51</v>
      </c>
      <c r="R29" s="22" t="n">
        <v>19469.16</v>
      </c>
      <c r="S29" s="22" t="n">
        <v>20368.81</v>
      </c>
      <c r="T29" s="22" t="n">
        <v>21445.91</v>
      </c>
      <c r="U29" s="22" t="n">
        <v>21747.87</v>
      </c>
      <c r="V29" s="22" t="n">
        <v>23857.01</v>
      </c>
    </row>
    <row r="30" customFormat="false" ht="15" hidden="false" customHeight="false" outlineLevel="0" collapsed="false">
      <c r="A30" s="12" t="s">
        <v>184</v>
      </c>
      <c r="B30" s="12" t="s">
        <v>225</v>
      </c>
      <c r="C30" s="12" t="s">
        <v>128</v>
      </c>
      <c r="D30" s="12" t="s">
        <v>194</v>
      </c>
      <c r="E30" s="12" t="s">
        <v>83</v>
      </c>
      <c r="F30" s="22" t="n">
        <v>22488.18</v>
      </c>
      <c r="G30" s="22" t="n">
        <v>22884.93</v>
      </c>
      <c r="H30" s="22" t="n">
        <v>23175.67</v>
      </c>
      <c r="I30" s="22" t="n">
        <v>22912.41</v>
      </c>
      <c r="J30" s="22" t="n">
        <v>22525.75</v>
      </c>
      <c r="K30" s="22" t="n">
        <v>21468.59</v>
      </c>
      <c r="L30" s="22" t="n">
        <v>21924.81</v>
      </c>
      <c r="M30" s="22" t="n">
        <v>21479</v>
      </c>
      <c r="N30" s="22" t="n">
        <v>21175.45</v>
      </c>
      <c r="O30" s="22" t="n">
        <v>21669.71</v>
      </c>
      <c r="P30" s="22" t="n">
        <v>22818.88</v>
      </c>
      <c r="Q30" s="22" t="n">
        <v>22789.9</v>
      </c>
      <c r="R30" s="22" t="n">
        <v>23129.35</v>
      </c>
      <c r="S30" s="22" t="n">
        <v>23867.16</v>
      </c>
      <c r="T30" s="22" t="n">
        <v>25682.23</v>
      </c>
      <c r="U30" s="22" t="n">
        <v>26764.55</v>
      </c>
      <c r="V30" s="22" t="n">
        <v>28417.52</v>
      </c>
    </row>
    <row r="31" customFormat="false" ht="15" hidden="false" customHeight="false" outlineLevel="0" collapsed="false">
      <c r="A31" s="12" t="s">
        <v>184</v>
      </c>
      <c r="B31" s="12" t="s">
        <v>226</v>
      </c>
      <c r="C31" s="12" t="s">
        <v>128</v>
      </c>
      <c r="D31" s="12" t="s">
        <v>196</v>
      </c>
      <c r="E31" s="12" t="s">
        <v>83</v>
      </c>
      <c r="F31" s="22" t="n">
        <v>24758.37</v>
      </c>
      <c r="G31" s="22" t="n">
        <v>25280.29</v>
      </c>
      <c r="H31" s="22" t="n">
        <v>25423.2</v>
      </c>
      <c r="I31" s="22" t="n">
        <v>25664.6</v>
      </c>
      <c r="J31" s="22" t="n">
        <v>25652.49</v>
      </c>
      <c r="K31" s="22" t="n">
        <v>25217.67</v>
      </c>
      <c r="L31" s="22" t="n">
        <v>25392.1</v>
      </c>
      <c r="M31" s="22" t="n">
        <v>24769.6</v>
      </c>
      <c r="N31" s="22" t="n">
        <v>24568.19</v>
      </c>
      <c r="O31" s="22" t="n">
        <v>25051.45</v>
      </c>
      <c r="P31" s="22" t="n">
        <v>25901.92</v>
      </c>
      <c r="Q31" s="22" t="n">
        <v>25760.79</v>
      </c>
      <c r="R31" s="22" t="n">
        <v>25833.56</v>
      </c>
      <c r="S31" s="22" t="n">
        <v>26198.45</v>
      </c>
      <c r="T31" s="22" t="n">
        <v>28111.8</v>
      </c>
      <c r="U31" s="22" t="n">
        <v>28919.4</v>
      </c>
      <c r="V31" s="22" t="n">
        <v>31087.1</v>
      </c>
    </row>
    <row r="32" customFormat="false" ht="15" hidden="false" customHeight="false" outlineLevel="0" collapsed="false">
      <c r="A32" s="12" t="s">
        <v>184</v>
      </c>
      <c r="B32" s="12" t="s">
        <v>227</v>
      </c>
      <c r="C32" s="12" t="s">
        <v>128</v>
      </c>
      <c r="D32" s="12" t="s">
        <v>198</v>
      </c>
      <c r="E32" s="12" t="s">
        <v>83</v>
      </c>
      <c r="F32" s="22" t="n">
        <v>26242.01</v>
      </c>
      <c r="G32" s="22" t="n">
        <v>26593.26</v>
      </c>
      <c r="H32" s="22" t="n">
        <v>27282.66</v>
      </c>
      <c r="I32" s="22" t="n">
        <v>27351.22</v>
      </c>
      <c r="J32" s="22" t="n">
        <v>26995.84</v>
      </c>
      <c r="K32" s="22" t="n">
        <v>26968.77</v>
      </c>
      <c r="L32" s="22" t="n">
        <v>27068.98</v>
      </c>
      <c r="M32" s="22" t="n">
        <v>27033.74</v>
      </c>
      <c r="N32" s="22" t="n">
        <v>26957.7</v>
      </c>
      <c r="O32" s="22" t="n">
        <v>27259.18</v>
      </c>
      <c r="P32" s="22" t="n">
        <v>27940.2</v>
      </c>
      <c r="Q32" s="22" t="n">
        <v>28489.96</v>
      </c>
      <c r="R32" s="22" t="n">
        <v>28823.06</v>
      </c>
      <c r="S32" s="22" t="n">
        <v>29340.39</v>
      </c>
      <c r="T32" s="22" t="n">
        <v>30671.43</v>
      </c>
      <c r="U32" s="22" t="n">
        <v>31199.25</v>
      </c>
      <c r="V32" s="22" t="n">
        <v>32987.94</v>
      </c>
    </row>
    <row r="33" customFormat="false" ht="15" hidden="false" customHeight="false" outlineLevel="0" collapsed="false">
      <c r="A33" s="12" t="s">
        <v>184</v>
      </c>
      <c r="B33" s="12" t="s">
        <v>228</v>
      </c>
      <c r="C33" s="12" t="s">
        <v>128</v>
      </c>
      <c r="D33" s="12" t="s">
        <v>200</v>
      </c>
      <c r="E33" s="12" t="s">
        <v>83</v>
      </c>
      <c r="F33" s="22" t="n">
        <v>27015.59</v>
      </c>
      <c r="G33" s="22" t="n">
        <v>27779.85</v>
      </c>
      <c r="H33" s="22" t="n">
        <v>28540.81</v>
      </c>
      <c r="I33" s="22" t="n">
        <v>28449.08</v>
      </c>
      <c r="J33" s="22" t="n">
        <v>28253.68</v>
      </c>
      <c r="K33" s="22" t="n">
        <v>28371.35</v>
      </c>
      <c r="L33" s="22" t="n">
        <v>28787.48</v>
      </c>
      <c r="M33" s="22" t="n">
        <v>28391.07</v>
      </c>
      <c r="N33" s="22" t="n">
        <v>28286.16</v>
      </c>
      <c r="O33" s="22" t="n">
        <v>28912.87</v>
      </c>
      <c r="P33" s="22" t="n">
        <v>28978.69</v>
      </c>
      <c r="Q33" s="22" t="n">
        <v>29537.85</v>
      </c>
      <c r="R33" s="22" t="n">
        <v>30024.43</v>
      </c>
      <c r="S33" s="22" t="n">
        <v>30928.97</v>
      </c>
      <c r="T33" s="22" t="n">
        <v>31900.79</v>
      </c>
      <c r="U33" s="22" t="n">
        <v>33470.13</v>
      </c>
      <c r="V33" s="22" t="n">
        <v>35301.5</v>
      </c>
    </row>
    <row r="34" customFormat="false" ht="15" hidden="false" customHeight="false" outlineLevel="0" collapsed="false">
      <c r="A34" s="12" t="s">
        <v>184</v>
      </c>
      <c r="B34" s="12" t="s">
        <v>229</v>
      </c>
      <c r="C34" s="12" t="s">
        <v>128</v>
      </c>
      <c r="D34" s="12" t="s">
        <v>202</v>
      </c>
      <c r="E34" s="12" t="s">
        <v>83</v>
      </c>
      <c r="F34" s="22" t="n">
        <v>28531.8</v>
      </c>
      <c r="G34" s="22" t="n">
        <v>29503.96</v>
      </c>
      <c r="H34" s="22" t="n">
        <v>30288.16</v>
      </c>
      <c r="I34" s="22" t="n">
        <v>30134.37</v>
      </c>
      <c r="J34" s="22" t="n">
        <v>29562.85</v>
      </c>
      <c r="K34" s="22" t="n">
        <v>29561.34</v>
      </c>
      <c r="L34" s="22" t="n">
        <v>29302.92</v>
      </c>
      <c r="M34" s="22" t="n">
        <v>29600.11</v>
      </c>
      <c r="N34" s="22" t="n">
        <v>29435.74</v>
      </c>
      <c r="O34" s="22" t="n">
        <v>29711.02</v>
      </c>
      <c r="P34" s="22" t="n">
        <v>30312.15</v>
      </c>
      <c r="Q34" s="22" t="n">
        <v>30586.89</v>
      </c>
      <c r="R34" s="22" t="n">
        <v>30899.77</v>
      </c>
      <c r="S34" s="22" t="n">
        <v>31656.92</v>
      </c>
      <c r="T34" s="22" t="n">
        <v>32660.09</v>
      </c>
      <c r="U34" s="22" t="n">
        <v>33776.94</v>
      </c>
      <c r="V34" s="22" t="n">
        <v>35185.97</v>
      </c>
    </row>
    <row r="35" customFormat="false" ht="15" hidden="false" customHeight="false" outlineLevel="0" collapsed="false">
      <c r="A35" s="12" t="s">
        <v>184</v>
      </c>
      <c r="B35" s="12" t="s">
        <v>230</v>
      </c>
      <c r="C35" s="12" t="s">
        <v>128</v>
      </c>
      <c r="D35" s="12" t="s">
        <v>204</v>
      </c>
      <c r="E35" s="12" t="s">
        <v>83</v>
      </c>
      <c r="F35" s="22" t="n">
        <v>29393.28</v>
      </c>
      <c r="G35" s="22" t="n">
        <v>30181.38</v>
      </c>
      <c r="H35" s="22" t="n">
        <v>32069.41</v>
      </c>
      <c r="I35" s="22" t="n">
        <v>31615.79</v>
      </c>
      <c r="J35" s="22" t="n">
        <v>31349.16</v>
      </c>
      <c r="K35" s="22" t="n">
        <v>31691.39</v>
      </c>
      <c r="L35" s="22" t="n">
        <v>31451.87</v>
      </c>
      <c r="M35" s="22" t="n">
        <v>31601.99</v>
      </c>
      <c r="N35" s="22" t="n">
        <v>31225.13</v>
      </c>
      <c r="O35" s="22" t="n">
        <v>31399.15</v>
      </c>
      <c r="P35" s="22" t="n">
        <v>31843.93</v>
      </c>
      <c r="Q35" s="22" t="n">
        <v>31605.67</v>
      </c>
      <c r="R35" s="22" t="n">
        <v>32067.54</v>
      </c>
      <c r="S35" s="22" t="n">
        <v>32298.79</v>
      </c>
      <c r="T35" s="22" t="n">
        <v>33190.54</v>
      </c>
      <c r="U35" s="22" t="n">
        <v>34431.27</v>
      </c>
      <c r="V35" s="22" t="n">
        <v>35603.17</v>
      </c>
    </row>
    <row r="36" customFormat="false" ht="15" hidden="false" customHeight="false" outlineLevel="0" collapsed="false">
      <c r="A36" s="12" t="s">
        <v>184</v>
      </c>
      <c r="B36" s="12" t="s">
        <v>231</v>
      </c>
      <c r="C36" s="12" t="s">
        <v>128</v>
      </c>
      <c r="D36" s="12" t="s">
        <v>206</v>
      </c>
      <c r="E36" s="12" t="s">
        <v>83</v>
      </c>
      <c r="F36" s="22" t="n">
        <v>23647.89</v>
      </c>
      <c r="G36" s="22" t="n">
        <v>23651.77</v>
      </c>
      <c r="H36" s="22" t="n">
        <v>24128.93</v>
      </c>
      <c r="I36" s="22" t="n">
        <v>24221.38</v>
      </c>
      <c r="J36" s="22" t="n">
        <v>23795.55</v>
      </c>
      <c r="K36" s="22" t="n">
        <v>24188.15</v>
      </c>
      <c r="L36" s="22" t="n">
        <v>26665.12</v>
      </c>
      <c r="M36" s="22" t="n">
        <v>27748.31</v>
      </c>
      <c r="N36" s="22" t="n">
        <v>27685.28</v>
      </c>
      <c r="O36" s="22" t="n">
        <v>27913.67</v>
      </c>
      <c r="P36" s="22" t="n">
        <v>28741.28</v>
      </c>
      <c r="Q36" s="22" t="n">
        <v>29030.85</v>
      </c>
      <c r="R36" s="22" t="n">
        <v>29717.66</v>
      </c>
      <c r="S36" s="22" t="n">
        <v>30980.79</v>
      </c>
      <c r="T36" s="22" t="n">
        <v>32125.91</v>
      </c>
      <c r="U36" s="22" t="n">
        <v>33532.36</v>
      </c>
      <c r="V36" s="22" t="n">
        <v>34260.95</v>
      </c>
    </row>
    <row r="37" customFormat="false" ht="15" hidden="false" customHeight="false" outlineLevel="0" collapsed="false">
      <c r="A37" s="12" t="s">
        <v>184</v>
      </c>
      <c r="B37" s="12" t="s">
        <v>232</v>
      </c>
      <c r="C37" s="12" t="s">
        <v>128</v>
      </c>
      <c r="D37" s="12" t="s">
        <v>208</v>
      </c>
      <c r="E37" s="12" t="s">
        <v>83</v>
      </c>
      <c r="F37" s="22" t="n">
        <v>30532.19</v>
      </c>
      <c r="G37" s="22" t="n">
        <v>28735.15</v>
      </c>
      <c r="H37" s="22" t="n">
        <v>32622.94</v>
      </c>
      <c r="I37" s="22" t="n">
        <v>34136.46</v>
      </c>
      <c r="J37" s="22" t="n">
        <v>31858.86</v>
      </c>
      <c r="K37" s="22" t="n">
        <v>30323.76</v>
      </c>
      <c r="L37" s="22" t="n">
        <v>31005.29</v>
      </c>
      <c r="M37" s="22" t="n">
        <v>29526.67</v>
      </c>
      <c r="N37" s="22" t="n">
        <v>30412.35</v>
      </c>
      <c r="O37" s="22" t="n">
        <v>31850.67</v>
      </c>
      <c r="P37" s="22" t="n">
        <v>29002.54</v>
      </c>
      <c r="Q37" s="22" t="n">
        <v>30462.15</v>
      </c>
      <c r="R37" s="22" t="n">
        <v>31898.67</v>
      </c>
      <c r="S37" s="22" t="n">
        <v>31326.05</v>
      </c>
      <c r="T37" s="22" t="n">
        <v>35612.02</v>
      </c>
      <c r="U37" s="22" t="n">
        <v>35924.26</v>
      </c>
      <c r="V37" s="22" t="n">
        <v>37023.65</v>
      </c>
    </row>
    <row r="38" customFormat="false" ht="15" hidden="false" customHeight="false" outlineLevel="0" collapsed="false">
      <c r="A38" s="12" t="s">
        <v>233</v>
      </c>
      <c r="B38" s="12" t="s">
        <v>234</v>
      </c>
      <c r="C38" s="12" t="s">
        <v>114</v>
      </c>
      <c r="D38" s="12" t="s">
        <v>235</v>
      </c>
      <c r="E38" s="12" t="s">
        <v>83</v>
      </c>
      <c r="F38" s="22" t="n">
        <v>12953.62</v>
      </c>
      <c r="G38" s="22" t="n">
        <v>12565.99</v>
      </c>
      <c r="H38" s="22" t="n">
        <v>13154.92</v>
      </c>
      <c r="I38" s="22" t="n">
        <v>11954.86</v>
      </c>
      <c r="J38" s="22" t="n">
        <v>11077.39</v>
      </c>
      <c r="K38" s="22" t="n">
        <v>10506.14</v>
      </c>
      <c r="L38" s="22" t="n">
        <v>11560.18</v>
      </c>
      <c r="M38" s="22" t="n">
        <v>11039.53</v>
      </c>
      <c r="N38" s="22" t="n">
        <v>11046.39</v>
      </c>
      <c r="O38" s="22" t="n">
        <v>11472.81</v>
      </c>
      <c r="P38" s="22" t="n">
        <v>12417.98</v>
      </c>
      <c r="Q38" s="22" t="n">
        <v>12270.4</v>
      </c>
      <c r="R38" s="22" t="n">
        <v>12693.72</v>
      </c>
      <c r="S38" s="22" t="n">
        <v>12930.13</v>
      </c>
      <c r="T38" s="22" t="n">
        <v>14700.9</v>
      </c>
      <c r="U38" s="22" t="n">
        <v>14944.35</v>
      </c>
      <c r="V38" s="22" t="n">
        <v>15135.59</v>
      </c>
    </row>
    <row r="39" customFormat="false" ht="15" hidden="false" customHeight="false" outlineLevel="0" collapsed="false">
      <c r="A39" s="12" t="s">
        <v>233</v>
      </c>
      <c r="B39" s="12" t="s">
        <v>236</v>
      </c>
      <c r="C39" s="12" t="s">
        <v>121</v>
      </c>
      <c r="D39" s="12" t="s">
        <v>235</v>
      </c>
      <c r="E39" s="12" t="s">
        <v>83</v>
      </c>
      <c r="F39" s="22" t="n">
        <v>11370.81</v>
      </c>
      <c r="G39" s="22" t="n">
        <v>11258.44</v>
      </c>
      <c r="H39" s="22" t="n">
        <v>11715.82</v>
      </c>
      <c r="I39" s="22" t="n">
        <v>10723.02</v>
      </c>
      <c r="J39" s="22" t="n">
        <v>9920.38</v>
      </c>
      <c r="K39" s="22" t="n">
        <v>9272.53</v>
      </c>
      <c r="L39" s="22" t="n">
        <v>10316.86</v>
      </c>
      <c r="M39" s="22" t="n">
        <v>9534.67</v>
      </c>
      <c r="N39" s="22" t="n">
        <v>9488.25</v>
      </c>
      <c r="O39" s="22" t="n">
        <v>9933.23</v>
      </c>
      <c r="P39" s="22" t="n">
        <v>10735.83</v>
      </c>
      <c r="Q39" s="22" t="n">
        <v>11103.13</v>
      </c>
      <c r="R39" s="22" t="n">
        <v>11333.14</v>
      </c>
      <c r="S39" s="22" t="n">
        <v>11498.86</v>
      </c>
      <c r="T39" s="22" t="n">
        <v>13212.09</v>
      </c>
      <c r="U39" s="22" t="n">
        <v>13409.09</v>
      </c>
      <c r="V39" s="22" t="n">
        <v>13574.6</v>
      </c>
    </row>
    <row r="40" customFormat="false" ht="15" hidden="false" customHeight="false" outlineLevel="0" collapsed="false">
      <c r="A40" s="12" t="s">
        <v>233</v>
      </c>
      <c r="B40" s="12" t="s">
        <v>237</v>
      </c>
      <c r="C40" s="12" t="s">
        <v>128</v>
      </c>
      <c r="D40" s="12" t="s">
        <v>235</v>
      </c>
      <c r="E40" s="12" t="s">
        <v>83</v>
      </c>
      <c r="F40" s="22" t="n">
        <v>14279.19</v>
      </c>
      <c r="G40" s="22" t="n">
        <v>13681.87</v>
      </c>
      <c r="H40" s="22" t="n">
        <v>14596.44</v>
      </c>
      <c r="I40" s="22" t="n">
        <v>13134.45</v>
      </c>
      <c r="J40" s="22" t="n">
        <v>12171.86</v>
      </c>
      <c r="K40" s="22" t="n">
        <v>11657.67</v>
      </c>
      <c r="L40" s="22" t="n">
        <v>12820.34</v>
      </c>
      <c r="M40" s="22" t="n">
        <v>12454.32</v>
      </c>
      <c r="N40" s="22" t="n">
        <v>12358.6</v>
      </c>
      <c r="O40" s="22" t="n">
        <v>12788.5</v>
      </c>
      <c r="P40" s="22" t="n">
        <v>13723.63</v>
      </c>
      <c r="Q40" s="22" t="n">
        <v>13227.44</v>
      </c>
      <c r="R40" s="22" t="n">
        <v>13783.6</v>
      </c>
      <c r="S40" s="22" t="n">
        <v>14056.13</v>
      </c>
      <c r="T40" s="22" t="n">
        <v>15970.98</v>
      </c>
      <c r="U40" s="22" t="n">
        <v>16191.49</v>
      </c>
      <c r="V40" s="22" t="n">
        <v>16491.62</v>
      </c>
    </row>
    <row r="41" customFormat="false" ht="15" hidden="false" customHeight="false" outlineLevel="0" collapsed="false">
      <c r="A41" s="12" t="s">
        <v>233</v>
      </c>
      <c r="B41" s="12" t="s">
        <v>238</v>
      </c>
      <c r="C41" s="12" t="s">
        <v>114</v>
      </c>
      <c r="D41" s="12" t="s">
        <v>239</v>
      </c>
      <c r="E41" s="12" t="s">
        <v>83</v>
      </c>
      <c r="F41" s="22" t="n">
        <v>19206.37</v>
      </c>
      <c r="G41" s="22" t="n">
        <v>19476.35</v>
      </c>
      <c r="H41" s="22" t="n">
        <v>19772.21</v>
      </c>
      <c r="I41" s="22" t="n">
        <v>19269.23</v>
      </c>
      <c r="J41" s="22" t="n">
        <v>18689.58</v>
      </c>
      <c r="K41" s="22" t="n">
        <v>17973.39</v>
      </c>
      <c r="L41" s="22" t="n">
        <v>18680.42</v>
      </c>
      <c r="M41" s="22" t="n">
        <v>18251.51</v>
      </c>
      <c r="N41" s="22" t="n">
        <v>17978.45</v>
      </c>
      <c r="O41" s="22" t="n">
        <v>18505.53</v>
      </c>
      <c r="P41" s="22" t="n">
        <v>19350.14</v>
      </c>
      <c r="Q41" s="22" t="n">
        <v>19563.03</v>
      </c>
      <c r="R41" s="22" t="n">
        <v>20090.9</v>
      </c>
      <c r="S41" s="22" t="n">
        <v>20848.08</v>
      </c>
      <c r="T41" s="22" t="n">
        <v>22484.94</v>
      </c>
      <c r="U41" s="22" t="n">
        <v>23376.19</v>
      </c>
      <c r="V41" s="22" t="n">
        <v>25103.3</v>
      </c>
    </row>
    <row r="42" customFormat="false" ht="15" hidden="false" customHeight="false" outlineLevel="0" collapsed="false">
      <c r="A42" s="12" t="s">
        <v>233</v>
      </c>
      <c r="B42" s="12" t="s">
        <v>240</v>
      </c>
      <c r="C42" s="12" t="s">
        <v>121</v>
      </c>
      <c r="D42" s="12" t="s">
        <v>239</v>
      </c>
      <c r="E42" s="12" t="s">
        <v>83</v>
      </c>
      <c r="F42" s="22" t="n">
        <v>17359.07</v>
      </c>
      <c r="G42" s="22" t="n">
        <v>17688.08</v>
      </c>
      <c r="H42" s="22" t="n">
        <v>17975.69</v>
      </c>
      <c r="I42" s="22" t="n">
        <v>17399.38</v>
      </c>
      <c r="J42" s="22" t="n">
        <v>16836.97</v>
      </c>
      <c r="K42" s="22" t="n">
        <v>16263.92</v>
      </c>
      <c r="L42" s="22" t="n">
        <v>17071.04</v>
      </c>
      <c r="M42" s="22" t="n">
        <v>16591.95</v>
      </c>
      <c r="N42" s="22" t="n">
        <v>16372.85</v>
      </c>
      <c r="O42" s="22" t="n">
        <v>16810.12</v>
      </c>
      <c r="P42" s="22" t="n">
        <v>17549.39</v>
      </c>
      <c r="Q42" s="22" t="n">
        <v>17997.58</v>
      </c>
      <c r="R42" s="22" t="n">
        <v>18402.04</v>
      </c>
      <c r="S42" s="22" t="n">
        <v>19066.9</v>
      </c>
      <c r="T42" s="22" t="n">
        <v>21020.74</v>
      </c>
      <c r="U42" s="22" t="n">
        <v>22123.74</v>
      </c>
      <c r="V42" s="22" t="n">
        <v>23659.59</v>
      </c>
    </row>
    <row r="43" customFormat="false" ht="15" hidden="false" customHeight="false" outlineLevel="0" collapsed="false">
      <c r="A43" s="12" t="s">
        <v>233</v>
      </c>
      <c r="B43" s="12" t="s">
        <v>241</v>
      </c>
      <c r="C43" s="12" t="s">
        <v>128</v>
      </c>
      <c r="D43" s="12" t="s">
        <v>239</v>
      </c>
      <c r="E43" s="12" t="s">
        <v>83</v>
      </c>
      <c r="F43" s="22" t="n">
        <v>20889.15</v>
      </c>
      <c r="G43" s="22" t="n">
        <v>21167.86</v>
      </c>
      <c r="H43" s="22" t="n">
        <v>21542.06</v>
      </c>
      <c r="I43" s="22" t="n">
        <v>21189.68</v>
      </c>
      <c r="J43" s="22" t="n">
        <v>20708.77</v>
      </c>
      <c r="K43" s="22" t="n">
        <v>19766.54</v>
      </c>
      <c r="L43" s="22" t="n">
        <v>20278.69</v>
      </c>
      <c r="M43" s="22" t="n">
        <v>19910.23</v>
      </c>
      <c r="N43" s="22" t="n">
        <v>19501.28</v>
      </c>
      <c r="O43" s="22" t="n">
        <v>20057.08</v>
      </c>
      <c r="P43" s="22" t="n">
        <v>21101.42</v>
      </c>
      <c r="Q43" s="22" t="n">
        <v>21026.9</v>
      </c>
      <c r="R43" s="22" t="n">
        <v>21627.57</v>
      </c>
      <c r="S43" s="22" t="n">
        <v>22431.07</v>
      </c>
      <c r="T43" s="22" t="n">
        <v>23787.43</v>
      </c>
      <c r="U43" s="22" t="n">
        <v>24523.07</v>
      </c>
      <c r="V43" s="22" t="n">
        <v>26417.92</v>
      </c>
    </row>
    <row r="44" customFormat="false" ht="15" hidden="false" customHeight="false" outlineLevel="0" collapsed="false">
      <c r="A44" s="12" t="s">
        <v>233</v>
      </c>
      <c r="B44" s="12" t="s">
        <v>242</v>
      </c>
      <c r="C44" s="12" t="s">
        <v>114</v>
      </c>
      <c r="D44" s="12" t="s">
        <v>243</v>
      </c>
      <c r="E44" s="12" t="s">
        <v>83</v>
      </c>
      <c r="F44" s="22" t="n">
        <v>22977</v>
      </c>
      <c r="G44" s="22" t="n">
        <v>23299.64</v>
      </c>
      <c r="H44" s="22" t="n">
        <v>23732.38</v>
      </c>
      <c r="I44" s="22" t="n">
        <v>23830.08</v>
      </c>
      <c r="J44" s="22" t="n">
        <v>23519.76</v>
      </c>
      <c r="K44" s="22" t="n">
        <v>23232.4</v>
      </c>
      <c r="L44" s="22" t="n">
        <v>23503.84</v>
      </c>
      <c r="M44" s="22" t="n">
        <v>23335.61</v>
      </c>
      <c r="N44" s="22" t="n">
        <v>23299.99</v>
      </c>
      <c r="O44" s="22" t="n">
        <v>23690.34</v>
      </c>
      <c r="P44" s="22" t="n">
        <v>24380.69</v>
      </c>
      <c r="Q44" s="22" t="n">
        <v>24631.46</v>
      </c>
      <c r="R44" s="22" t="n">
        <v>25039.08</v>
      </c>
      <c r="S44" s="22" t="n">
        <v>25615.45</v>
      </c>
      <c r="T44" s="22" t="n">
        <v>26840.57</v>
      </c>
      <c r="U44" s="22" t="n">
        <v>27880.75</v>
      </c>
      <c r="V44" s="22" t="n">
        <v>29533.45</v>
      </c>
    </row>
    <row r="45" customFormat="false" ht="15" hidden="false" customHeight="false" outlineLevel="0" collapsed="false">
      <c r="A45" s="12" t="s">
        <v>233</v>
      </c>
      <c r="B45" s="12" t="s">
        <v>244</v>
      </c>
      <c r="C45" s="12" t="s">
        <v>121</v>
      </c>
      <c r="D45" s="12" t="s">
        <v>243</v>
      </c>
      <c r="E45" s="12" t="s">
        <v>83</v>
      </c>
      <c r="F45" s="22" t="n">
        <v>19878.11</v>
      </c>
      <c r="G45" s="22" t="n">
        <v>20246</v>
      </c>
      <c r="H45" s="22" t="n">
        <v>20828.12</v>
      </c>
      <c r="I45" s="22" t="n">
        <v>20796.81</v>
      </c>
      <c r="J45" s="22" t="n">
        <v>20462.51</v>
      </c>
      <c r="K45" s="22" t="n">
        <v>20171.73</v>
      </c>
      <c r="L45" s="22" t="n">
        <v>20625.07</v>
      </c>
      <c r="M45" s="22" t="n">
        <v>20593.48</v>
      </c>
      <c r="N45" s="22" t="n">
        <v>20577.07</v>
      </c>
      <c r="O45" s="22" t="n">
        <v>20934.3</v>
      </c>
      <c r="P45" s="22" t="n">
        <v>21537.52</v>
      </c>
      <c r="Q45" s="22" t="n">
        <v>21860.02</v>
      </c>
      <c r="R45" s="22" t="n">
        <v>22384.42</v>
      </c>
      <c r="S45" s="22" t="n">
        <v>23035</v>
      </c>
      <c r="T45" s="22" t="n">
        <v>24080.08</v>
      </c>
      <c r="U45" s="22" t="n">
        <v>25446</v>
      </c>
      <c r="V45" s="22" t="n">
        <v>26850.89</v>
      </c>
    </row>
    <row r="46" customFormat="false" ht="15" hidden="false" customHeight="false" outlineLevel="0" collapsed="false">
      <c r="A46" s="12" t="s">
        <v>233</v>
      </c>
      <c r="B46" s="12" t="s">
        <v>245</v>
      </c>
      <c r="C46" s="12" t="s">
        <v>128</v>
      </c>
      <c r="D46" s="12" t="s">
        <v>243</v>
      </c>
      <c r="E46" s="12" t="s">
        <v>83</v>
      </c>
      <c r="F46" s="22" t="n">
        <v>25461.35</v>
      </c>
      <c r="G46" s="22" t="n">
        <v>25917.59</v>
      </c>
      <c r="H46" s="22" t="n">
        <v>26278</v>
      </c>
      <c r="I46" s="22" t="n">
        <v>26483.36</v>
      </c>
      <c r="J46" s="22" t="n">
        <v>26309.61</v>
      </c>
      <c r="K46" s="22" t="n">
        <v>26079.85</v>
      </c>
      <c r="L46" s="22" t="n">
        <v>26205.34</v>
      </c>
      <c r="M46" s="22" t="n">
        <v>25930.81</v>
      </c>
      <c r="N46" s="22" t="n">
        <v>25808.9</v>
      </c>
      <c r="O46" s="22" t="n">
        <v>26224.32</v>
      </c>
      <c r="P46" s="22" t="n">
        <v>27001.31</v>
      </c>
      <c r="Q46" s="22" t="n">
        <v>27263.73</v>
      </c>
      <c r="R46" s="22" t="n">
        <v>27496.33</v>
      </c>
      <c r="S46" s="22" t="n">
        <v>27956.4</v>
      </c>
      <c r="T46" s="22" t="n">
        <v>29519.78</v>
      </c>
      <c r="U46" s="22" t="n">
        <v>30183.61</v>
      </c>
      <c r="V46" s="22" t="n">
        <v>32135.09</v>
      </c>
    </row>
    <row r="47" customFormat="false" ht="15" hidden="false" customHeight="false" outlineLevel="0" collapsed="false">
      <c r="A47" s="12" t="s">
        <v>233</v>
      </c>
      <c r="B47" s="12" t="s">
        <v>246</v>
      </c>
      <c r="C47" s="12" t="s">
        <v>114</v>
      </c>
      <c r="D47" s="12" t="s">
        <v>247</v>
      </c>
      <c r="E47" s="12" t="s">
        <v>83</v>
      </c>
      <c r="F47" s="22" t="n">
        <v>25016.17</v>
      </c>
      <c r="G47" s="22" t="n">
        <v>25447.11</v>
      </c>
      <c r="H47" s="22" t="n">
        <v>25818.68</v>
      </c>
      <c r="I47" s="22" t="n">
        <v>25834.68</v>
      </c>
      <c r="J47" s="22" t="n">
        <v>25258.59</v>
      </c>
      <c r="K47" s="22" t="n">
        <v>25229.32</v>
      </c>
      <c r="L47" s="22" t="n">
        <v>25420.53</v>
      </c>
      <c r="M47" s="22" t="n">
        <v>25474.81</v>
      </c>
      <c r="N47" s="22" t="n">
        <v>25499.02</v>
      </c>
      <c r="O47" s="22" t="n">
        <v>25949.73</v>
      </c>
      <c r="P47" s="22" t="n">
        <v>26416.99</v>
      </c>
      <c r="Q47" s="22" t="n">
        <v>26885.8</v>
      </c>
      <c r="R47" s="22" t="n">
        <v>27499.9</v>
      </c>
      <c r="S47" s="22" t="n">
        <v>28219.62</v>
      </c>
      <c r="T47" s="22" t="n">
        <v>29334.6</v>
      </c>
      <c r="U47" s="22" t="n">
        <v>30692.82</v>
      </c>
      <c r="V47" s="22" t="n">
        <v>32200.51</v>
      </c>
    </row>
    <row r="48" customFormat="false" ht="15" hidden="false" customHeight="false" outlineLevel="0" collapsed="false">
      <c r="A48" s="12" t="s">
        <v>233</v>
      </c>
      <c r="B48" s="12" t="s">
        <v>248</v>
      </c>
      <c r="C48" s="12" t="s">
        <v>121</v>
      </c>
      <c r="D48" s="12" t="s">
        <v>247</v>
      </c>
      <c r="E48" s="12" t="s">
        <v>83</v>
      </c>
      <c r="F48" s="22" t="n">
        <v>21340.87</v>
      </c>
      <c r="G48" s="22" t="n">
        <v>21551.9</v>
      </c>
      <c r="H48" s="22" t="n">
        <v>21675.05</v>
      </c>
      <c r="I48" s="22" t="n">
        <v>21829.47</v>
      </c>
      <c r="J48" s="22" t="n">
        <v>21237.43</v>
      </c>
      <c r="K48" s="22" t="n">
        <v>21213.96</v>
      </c>
      <c r="L48" s="22" t="n">
        <v>21410.42</v>
      </c>
      <c r="M48" s="22" t="n">
        <v>21771.55</v>
      </c>
      <c r="N48" s="22" t="n">
        <v>21828.42</v>
      </c>
      <c r="O48" s="22" t="n">
        <v>22255.39</v>
      </c>
      <c r="P48" s="22" t="n">
        <v>22829.59</v>
      </c>
      <c r="Q48" s="22" t="n">
        <v>23533.17</v>
      </c>
      <c r="R48" s="22" t="n">
        <v>24280.1</v>
      </c>
      <c r="S48" s="22" t="n">
        <v>24952.13</v>
      </c>
      <c r="T48" s="22" t="n">
        <v>26240.75</v>
      </c>
      <c r="U48" s="22" t="n">
        <v>27672.88</v>
      </c>
      <c r="V48" s="22" t="n">
        <v>29052.02</v>
      </c>
    </row>
    <row r="49" customFormat="false" ht="15" hidden="false" customHeight="false" outlineLevel="0" collapsed="false">
      <c r="A49" s="12" t="s">
        <v>233</v>
      </c>
      <c r="B49" s="12" t="s">
        <v>249</v>
      </c>
      <c r="C49" s="12" t="s">
        <v>128</v>
      </c>
      <c r="D49" s="12" t="s">
        <v>247</v>
      </c>
      <c r="E49" s="12" t="s">
        <v>83</v>
      </c>
      <c r="F49" s="22" t="n">
        <v>27707.01</v>
      </c>
      <c r="G49" s="22" t="n">
        <v>28565.98</v>
      </c>
      <c r="H49" s="22" t="n">
        <v>29352.84</v>
      </c>
      <c r="I49" s="22" t="n">
        <v>29217.8</v>
      </c>
      <c r="J49" s="22" t="n">
        <v>28863.01</v>
      </c>
      <c r="K49" s="22" t="n">
        <v>28930.53</v>
      </c>
      <c r="L49" s="22" t="n">
        <v>29029.78</v>
      </c>
      <c r="M49" s="22" t="n">
        <v>28959.09</v>
      </c>
      <c r="N49" s="22" t="n">
        <v>28824.47</v>
      </c>
      <c r="O49" s="22" t="n">
        <v>29293.68</v>
      </c>
      <c r="P49" s="22" t="n">
        <v>29618.95</v>
      </c>
      <c r="Q49" s="22" t="n">
        <v>30029.17</v>
      </c>
      <c r="R49" s="22" t="n">
        <v>30434.65</v>
      </c>
      <c r="S49" s="22" t="n">
        <v>31273.39</v>
      </c>
      <c r="T49" s="22" t="n">
        <v>32253.72</v>
      </c>
      <c r="U49" s="22" t="n">
        <v>33617.6</v>
      </c>
      <c r="V49" s="22" t="n">
        <v>35244.65</v>
      </c>
    </row>
    <row r="50" customFormat="false" ht="15" hidden="false" customHeight="false" outlineLevel="0" collapsed="false">
      <c r="A50" s="12" t="s">
        <v>233</v>
      </c>
      <c r="B50" s="12" t="s">
        <v>250</v>
      </c>
      <c r="C50" s="12" t="s">
        <v>114</v>
      </c>
      <c r="D50" s="12" t="s">
        <v>251</v>
      </c>
      <c r="E50" s="12" t="s">
        <v>83</v>
      </c>
      <c r="F50" s="22" t="n">
        <v>25235.33</v>
      </c>
      <c r="G50" s="22" t="n">
        <v>25281.3</v>
      </c>
      <c r="H50" s="22" t="n">
        <v>26162.43</v>
      </c>
      <c r="I50" s="22" t="n">
        <v>26124.09</v>
      </c>
      <c r="J50" s="22" t="n">
        <v>25372.97</v>
      </c>
      <c r="K50" s="22" t="n">
        <v>25631.6</v>
      </c>
      <c r="L50" s="22" t="n">
        <v>26137.13</v>
      </c>
      <c r="M50" s="22" t="n">
        <v>26327</v>
      </c>
      <c r="N50" s="22" t="n">
        <v>26202.6</v>
      </c>
      <c r="O50" s="22" t="n">
        <v>26646.32</v>
      </c>
      <c r="P50" s="22" t="n">
        <v>27150.93</v>
      </c>
      <c r="Q50" s="22" t="n">
        <v>27539.73</v>
      </c>
      <c r="R50" s="22" t="n">
        <v>28124.29</v>
      </c>
      <c r="S50" s="22" t="n">
        <v>28687.17</v>
      </c>
      <c r="T50" s="22" t="n">
        <v>30003.94</v>
      </c>
      <c r="U50" s="22" t="n">
        <v>31114.19</v>
      </c>
      <c r="V50" s="22" t="n">
        <v>32036.58</v>
      </c>
    </row>
    <row r="51" customFormat="false" ht="15" hidden="false" customHeight="false" outlineLevel="0" collapsed="false">
      <c r="A51" s="12" t="s">
        <v>233</v>
      </c>
      <c r="B51" s="12" t="s">
        <v>252</v>
      </c>
      <c r="C51" s="12" t="s">
        <v>121</v>
      </c>
      <c r="D51" s="12" t="s">
        <v>251</v>
      </c>
      <c r="E51" s="12" t="s">
        <v>83</v>
      </c>
      <c r="F51" s="22" t="n">
        <v>21361.36</v>
      </c>
      <c r="G51" s="22" t="n">
        <v>21543.96</v>
      </c>
      <c r="H51" s="22" t="n">
        <v>21912.33</v>
      </c>
      <c r="I51" s="22" t="n">
        <v>22089.51</v>
      </c>
      <c r="J51" s="22" t="n">
        <v>21450.9</v>
      </c>
      <c r="K51" s="22" t="n">
        <v>21754.61</v>
      </c>
      <c r="L51" s="22" t="n">
        <v>21621.14</v>
      </c>
      <c r="M51" s="22" t="n">
        <v>22024.79</v>
      </c>
      <c r="N51" s="22" t="n">
        <v>22027.07</v>
      </c>
      <c r="O51" s="22" t="n">
        <v>22662.69</v>
      </c>
      <c r="P51" s="22" t="n">
        <v>23232.38</v>
      </c>
      <c r="Q51" s="22" t="n">
        <v>24282.38</v>
      </c>
      <c r="R51" s="22" t="n">
        <v>24911.13</v>
      </c>
      <c r="S51" s="22" t="n">
        <v>25416.49</v>
      </c>
      <c r="T51" s="22" t="n">
        <v>26960.76</v>
      </c>
      <c r="U51" s="22" t="n">
        <v>27936.57</v>
      </c>
      <c r="V51" s="22" t="n">
        <v>28825.48</v>
      </c>
    </row>
    <row r="52" customFormat="false" ht="15" hidden="false" customHeight="false" outlineLevel="0" collapsed="false">
      <c r="A52" s="12" t="s">
        <v>233</v>
      </c>
      <c r="B52" s="12" t="s">
        <v>253</v>
      </c>
      <c r="C52" s="12" t="s">
        <v>128</v>
      </c>
      <c r="D52" s="12" t="s">
        <v>251</v>
      </c>
      <c r="E52" s="12" t="s">
        <v>83</v>
      </c>
      <c r="F52" s="22" t="n">
        <v>27213.38</v>
      </c>
      <c r="G52" s="22" t="n">
        <v>27499.13</v>
      </c>
      <c r="H52" s="22" t="n">
        <v>29018.26</v>
      </c>
      <c r="I52" s="22" t="n">
        <v>28958.9</v>
      </c>
      <c r="J52" s="22" t="n">
        <v>28436.4</v>
      </c>
      <c r="K52" s="22" t="n">
        <v>28852.18</v>
      </c>
      <c r="L52" s="22" t="n">
        <v>29720.71</v>
      </c>
      <c r="M52" s="22" t="n">
        <v>30145.96</v>
      </c>
      <c r="N52" s="22" t="n">
        <v>29941.58</v>
      </c>
      <c r="O52" s="22" t="n">
        <v>30111.81</v>
      </c>
      <c r="P52" s="22" t="n">
        <v>30620.49</v>
      </c>
      <c r="Q52" s="22" t="n">
        <v>30587.07</v>
      </c>
      <c r="R52" s="22" t="n">
        <v>31156.11</v>
      </c>
      <c r="S52" s="22" t="n">
        <v>31767.8</v>
      </c>
      <c r="T52" s="22" t="n">
        <v>32923.29</v>
      </c>
      <c r="U52" s="22" t="n">
        <v>34179.41</v>
      </c>
      <c r="V52" s="22" t="n">
        <v>35170.69</v>
      </c>
    </row>
    <row r="53" customFormat="false" ht="15" hidden="false" customHeight="false" outlineLevel="0" collapsed="false">
      <c r="A53" s="12" t="s">
        <v>233</v>
      </c>
      <c r="B53" s="12" t="s">
        <v>254</v>
      </c>
      <c r="C53" s="12" t="s">
        <v>114</v>
      </c>
      <c r="D53" s="12" t="s">
        <v>235</v>
      </c>
      <c r="E53" s="12" t="s">
        <v>84</v>
      </c>
      <c r="F53" s="22" t="n">
        <v>12870.53</v>
      </c>
      <c r="G53" s="22" t="n">
        <v>12331.3</v>
      </c>
      <c r="H53" s="22" t="n">
        <v>13988.13</v>
      </c>
      <c r="I53" s="22" t="n">
        <v>12424.68</v>
      </c>
      <c r="J53" s="22" t="n">
        <v>11586.16</v>
      </c>
      <c r="K53" s="22" t="n">
        <v>11317.49</v>
      </c>
      <c r="L53" s="22" t="n">
        <v>11958.12</v>
      </c>
      <c r="M53" s="22" t="n">
        <v>11663.75</v>
      </c>
      <c r="N53" s="22" t="n">
        <v>12828.02</v>
      </c>
      <c r="O53" s="22" t="n">
        <v>12218.2</v>
      </c>
      <c r="P53" s="22" t="n">
        <v>12387.68</v>
      </c>
      <c r="Q53" s="22" t="n">
        <v>12232.11</v>
      </c>
      <c r="R53" s="22" t="n">
        <v>13693.98</v>
      </c>
      <c r="S53" s="22" t="n">
        <v>13167.96</v>
      </c>
      <c r="T53" s="22" t="n">
        <v>15581.9</v>
      </c>
      <c r="U53" s="22" t="n">
        <v>15622.16</v>
      </c>
      <c r="V53" s="22" t="n">
        <v>16076.32</v>
      </c>
    </row>
    <row r="54" customFormat="false" ht="15" hidden="false" customHeight="false" outlineLevel="0" collapsed="false">
      <c r="A54" s="12" t="s">
        <v>233</v>
      </c>
      <c r="B54" s="12" t="s">
        <v>255</v>
      </c>
      <c r="C54" s="12" t="s">
        <v>121</v>
      </c>
      <c r="D54" s="12" t="s">
        <v>235</v>
      </c>
      <c r="E54" s="12" t="s">
        <v>84</v>
      </c>
      <c r="F54" s="22" t="n">
        <v>11767.22</v>
      </c>
      <c r="G54" s="22" t="n">
        <v>11231.53</v>
      </c>
      <c r="H54" s="22" t="n">
        <v>13308.35</v>
      </c>
      <c r="I54" s="22" t="n">
        <v>11654.05</v>
      </c>
      <c r="J54" s="27" t="n">
        <v>10589.08</v>
      </c>
      <c r="K54" s="27" t="n">
        <v>10328.71</v>
      </c>
      <c r="L54" s="27" t="n">
        <v>11147.03</v>
      </c>
      <c r="M54" s="27" t="n">
        <v>10721.61</v>
      </c>
      <c r="N54" s="27" t="n">
        <v>11223.87</v>
      </c>
      <c r="O54" s="27" t="n">
        <v>10637.98</v>
      </c>
      <c r="P54" s="27" t="n">
        <v>11413.85</v>
      </c>
      <c r="Q54" s="27" t="n">
        <v>11232.35</v>
      </c>
      <c r="R54" s="27" t="n">
        <v>12574.74</v>
      </c>
      <c r="S54" s="27" t="n">
        <v>12500.33</v>
      </c>
      <c r="T54" s="27" t="n">
        <v>14607.54</v>
      </c>
      <c r="U54" s="22" t="n">
        <v>14177.52</v>
      </c>
      <c r="V54" s="22" t="n">
        <v>14791.06</v>
      </c>
    </row>
    <row r="55" customFormat="false" ht="15" hidden="false" customHeight="false" outlineLevel="0" collapsed="false">
      <c r="A55" s="12" t="s">
        <v>233</v>
      </c>
      <c r="B55" s="12" t="s">
        <v>256</v>
      </c>
      <c r="C55" s="12" t="s">
        <v>128</v>
      </c>
      <c r="D55" s="12" t="s">
        <v>235</v>
      </c>
      <c r="E55" s="12" t="s">
        <v>84</v>
      </c>
      <c r="F55" s="22" t="n">
        <v>14037.25</v>
      </c>
      <c r="G55" s="22" t="n">
        <v>13529.08</v>
      </c>
      <c r="H55" s="22" t="n">
        <v>14718.96</v>
      </c>
      <c r="I55" s="22" t="n">
        <v>13197.97</v>
      </c>
      <c r="J55" s="27" t="n">
        <v>12379.47</v>
      </c>
      <c r="K55" s="27" t="n">
        <v>11966.86</v>
      </c>
      <c r="L55" s="22" t="n">
        <v>12642.2</v>
      </c>
      <c r="M55" s="27" t="n">
        <v>12325.07</v>
      </c>
      <c r="N55" s="27" t="n">
        <v>14085.77</v>
      </c>
      <c r="O55" s="27" t="n">
        <v>13651.88</v>
      </c>
      <c r="P55" s="27" t="n">
        <v>13116.11</v>
      </c>
      <c r="Q55" s="22" t="n">
        <v>12881.12</v>
      </c>
      <c r="R55" s="27" t="n">
        <v>14399.17</v>
      </c>
      <c r="S55" s="27" t="n">
        <v>13676.56</v>
      </c>
      <c r="T55" s="22" t="n">
        <v>16249.96</v>
      </c>
      <c r="U55" s="22" t="n">
        <v>16764.81</v>
      </c>
      <c r="V55" s="22" t="n">
        <v>17288.17</v>
      </c>
    </row>
    <row r="56" customFormat="false" ht="15" hidden="false" customHeight="false" outlineLevel="0" collapsed="false">
      <c r="A56" s="12" t="s">
        <v>233</v>
      </c>
      <c r="B56" s="12" t="s">
        <v>257</v>
      </c>
      <c r="C56" s="12" t="s">
        <v>114</v>
      </c>
      <c r="D56" s="12" t="s">
        <v>239</v>
      </c>
      <c r="E56" s="12" t="s">
        <v>84</v>
      </c>
      <c r="F56" s="22" t="n">
        <v>21884.7</v>
      </c>
      <c r="G56" s="22" t="n">
        <v>22140.02</v>
      </c>
      <c r="H56" s="22" t="n">
        <v>22716.12</v>
      </c>
      <c r="I56" s="22" t="n">
        <v>21829.39</v>
      </c>
      <c r="J56" s="22" t="n">
        <v>21765.98</v>
      </c>
      <c r="K56" s="22" t="n">
        <v>21098.01</v>
      </c>
      <c r="L56" s="22" t="n">
        <v>21556.97</v>
      </c>
      <c r="M56" s="22" t="n">
        <v>20929.18</v>
      </c>
      <c r="N56" s="22" t="n">
        <v>20553.33</v>
      </c>
      <c r="O56" s="22" t="n">
        <v>21086.07</v>
      </c>
      <c r="P56" s="22" t="n">
        <v>22122.57</v>
      </c>
      <c r="Q56" s="22" t="n">
        <v>22387.18</v>
      </c>
      <c r="R56" s="22" t="n">
        <v>23021.84</v>
      </c>
      <c r="S56" s="22" t="n">
        <v>24520.92</v>
      </c>
      <c r="T56" s="22" t="n">
        <v>26411.63</v>
      </c>
      <c r="U56" s="22" t="n">
        <v>26619.63</v>
      </c>
      <c r="V56" s="22" t="n">
        <v>29361.99</v>
      </c>
    </row>
    <row r="57" customFormat="false" ht="15" hidden="false" customHeight="false" outlineLevel="0" collapsed="false">
      <c r="A57" s="12" t="s">
        <v>233</v>
      </c>
      <c r="B57" s="12" t="s">
        <v>258</v>
      </c>
      <c r="C57" s="12" t="s">
        <v>121</v>
      </c>
      <c r="D57" s="12" t="s">
        <v>239</v>
      </c>
      <c r="E57" s="12" t="s">
        <v>84</v>
      </c>
      <c r="F57" s="22" t="n">
        <v>19914.27</v>
      </c>
      <c r="G57" s="22" t="n">
        <v>20068.37</v>
      </c>
      <c r="H57" s="22" t="n">
        <v>20825.93</v>
      </c>
      <c r="I57" s="22" t="n">
        <v>20025.71</v>
      </c>
      <c r="J57" s="22" t="n">
        <v>20069.53</v>
      </c>
      <c r="K57" s="22" t="n">
        <v>19791.48</v>
      </c>
      <c r="L57" s="22" t="n">
        <v>20029.72</v>
      </c>
      <c r="M57" s="22" t="n">
        <v>19828.1</v>
      </c>
      <c r="N57" s="22" t="n">
        <v>19167.41</v>
      </c>
      <c r="O57" s="22" t="n">
        <v>19360.93</v>
      </c>
      <c r="P57" s="22" t="n">
        <v>20396.81</v>
      </c>
      <c r="Q57" s="22" t="n">
        <v>20765.5</v>
      </c>
      <c r="R57" s="22" t="n">
        <v>21199.63</v>
      </c>
      <c r="S57" s="22" t="n">
        <v>22682.54</v>
      </c>
      <c r="T57" s="22" t="n">
        <v>24398.93</v>
      </c>
      <c r="U57" s="22" t="n">
        <v>25165.97</v>
      </c>
      <c r="V57" s="22" t="n">
        <v>27651.84</v>
      </c>
    </row>
    <row r="58" customFormat="false" ht="15" hidden="false" customHeight="false" outlineLevel="0" collapsed="false">
      <c r="A58" s="12" t="s">
        <v>233</v>
      </c>
      <c r="B58" s="12" t="s">
        <v>259</v>
      </c>
      <c r="C58" s="12" t="s">
        <v>128</v>
      </c>
      <c r="D58" s="12" t="s">
        <v>239</v>
      </c>
      <c r="E58" s="12" t="s">
        <v>84</v>
      </c>
      <c r="F58" s="22" t="n">
        <v>23732.32</v>
      </c>
      <c r="G58" s="22" t="n">
        <v>24185.82</v>
      </c>
      <c r="H58" s="22" t="n">
        <v>24524.5</v>
      </c>
      <c r="I58" s="22" t="n">
        <v>23595.52</v>
      </c>
      <c r="J58" s="22" t="n">
        <v>23369.23</v>
      </c>
      <c r="K58" s="22" t="n">
        <v>22360.72</v>
      </c>
      <c r="L58" s="22" t="n">
        <v>23030.47</v>
      </c>
      <c r="M58" s="22" t="n">
        <v>21953.41</v>
      </c>
      <c r="N58" s="22" t="n">
        <v>21799</v>
      </c>
      <c r="O58" s="22" t="n">
        <v>22591.82</v>
      </c>
      <c r="P58" s="22" t="n">
        <v>23682.75</v>
      </c>
      <c r="Q58" s="22" t="n">
        <v>23740.11</v>
      </c>
      <c r="R58" s="22" t="n">
        <v>24464.49</v>
      </c>
      <c r="S58" s="22" t="n">
        <v>25978.55</v>
      </c>
      <c r="T58" s="22" t="n">
        <v>28011.8</v>
      </c>
      <c r="U58" s="22" t="n">
        <v>27879.71</v>
      </c>
      <c r="V58" s="22" t="n">
        <v>30789.11</v>
      </c>
    </row>
    <row r="59" customFormat="false" ht="15" hidden="false" customHeight="false" outlineLevel="0" collapsed="false">
      <c r="A59" s="12" t="s">
        <v>233</v>
      </c>
      <c r="B59" s="12" t="s">
        <v>260</v>
      </c>
      <c r="C59" s="12" t="s">
        <v>114</v>
      </c>
      <c r="D59" s="12" t="s">
        <v>243</v>
      </c>
      <c r="E59" s="12" t="s">
        <v>84</v>
      </c>
      <c r="F59" s="22" t="n">
        <v>27642.85</v>
      </c>
      <c r="G59" s="22" t="n">
        <v>27741.35</v>
      </c>
      <c r="H59" s="22" t="n">
        <v>27878.45</v>
      </c>
      <c r="I59" s="22" t="n">
        <v>27698.41</v>
      </c>
      <c r="J59" s="22" t="n">
        <v>27365.8</v>
      </c>
      <c r="K59" s="22" t="n">
        <v>27567.24</v>
      </c>
      <c r="L59" s="22" t="n">
        <v>28583.22</v>
      </c>
      <c r="M59" s="22" t="n">
        <v>27549.2</v>
      </c>
      <c r="N59" s="22" t="n">
        <v>27318.88</v>
      </c>
      <c r="O59" s="22" t="n">
        <v>27649.66</v>
      </c>
      <c r="P59" s="22" t="n">
        <v>28078.74</v>
      </c>
      <c r="Q59" s="22" t="n">
        <v>28792.11</v>
      </c>
      <c r="R59" s="22" t="n">
        <v>29561.42</v>
      </c>
      <c r="S59" s="22" t="n">
        <v>30258.72</v>
      </c>
      <c r="T59" s="22" t="n">
        <v>32051.9</v>
      </c>
      <c r="U59" s="22" t="n">
        <v>33396.66</v>
      </c>
      <c r="V59" s="22" t="n">
        <v>35860.85</v>
      </c>
    </row>
    <row r="60" customFormat="false" ht="15" hidden="false" customHeight="false" outlineLevel="0" collapsed="false">
      <c r="A60" s="12" t="s">
        <v>233</v>
      </c>
      <c r="B60" s="12" t="s">
        <v>261</v>
      </c>
      <c r="C60" s="12" t="s">
        <v>121</v>
      </c>
      <c r="D60" s="12" t="s">
        <v>243</v>
      </c>
      <c r="E60" s="12" t="s">
        <v>84</v>
      </c>
      <c r="F60" s="22" t="n">
        <v>24081.77</v>
      </c>
      <c r="G60" s="22" t="n">
        <v>23793.1</v>
      </c>
      <c r="H60" s="22" t="n">
        <v>24328.74</v>
      </c>
      <c r="I60" s="22" t="n">
        <v>24335.31</v>
      </c>
      <c r="J60" s="22" t="n">
        <v>24264.13</v>
      </c>
      <c r="K60" s="22" t="n">
        <v>24630.74</v>
      </c>
      <c r="L60" s="22" t="n">
        <v>25473.7</v>
      </c>
      <c r="M60" s="22" t="n">
        <v>24770.38</v>
      </c>
      <c r="N60" s="22" t="n">
        <v>24592.5</v>
      </c>
      <c r="O60" s="22" t="n">
        <v>25321.5</v>
      </c>
      <c r="P60" s="22" t="n">
        <v>24938.63</v>
      </c>
      <c r="Q60" s="22" t="n">
        <v>26046.41</v>
      </c>
      <c r="R60" s="22" t="n">
        <v>26591.82</v>
      </c>
      <c r="S60" s="22" t="n">
        <v>27515.56</v>
      </c>
      <c r="T60" s="22" t="n">
        <v>28955.21</v>
      </c>
      <c r="U60" s="22" t="n">
        <v>30031.21</v>
      </c>
      <c r="V60" s="22" t="n">
        <v>32406.73</v>
      </c>
    </row>
    <row r="61" customFormat="false" ht="15" hidden="false" customHeight="false" outlineLevel="0" collapsed="false">
      <c r="A61" s="12" t="s">
        <v>233</v>
      </c>
      <c r="B61" s="12" t="s">
        <v>262</v>
      </c>
      <c r="C61" s="12" t="s">
        <v>128</v>
      </c>
      <c r="D61" s="12" t="s">
        <v>243</v>
      </c>
      <c r="E61" s="12" t="s">
        <v>84</v>
      </c>
      <c r="F61" s="22" t="n">
        <v>30738.25</v>
      </c>
      <c r="G61" s="22" t="n">
        <v>31350.12</v>
      </c>
      <c r="H61" s="22" t="n">
        <v>31186.04</v>
      </c>
      <c r="I61" s="22" t="n">
        <v>30901.55</v>
      </c>
      <c r="J61" s="22" t="n">
        <v>30418.84</v>
      </c>
      <c r="K61" s="22" t="n">
        <v>30270.84</v>
      </c>
      <c r="L61" s="22" t="n">
        <v>31583.85</v>
      </c>
      <c r="M61" s="22" t="n">
        <v>30199.76</v>
      </c>
      <c r="N61" s="22" t="n">
        <v>29845.09</v>
      </c>
      <c r="O61" s="22" t="n">
        <v>29793.36</v>
      </c>
      <c r="P61" s="22" t="n">
        <v>30822.47</v>
      </c>
      <c r="Q61" s="22" t="n">
        <v>31348.15</v>
      </c>
      <c r="R61" s="22" t="n">
        <v>32292.01</v>
      </c>
      <c r="S61" s="22" t="n">
        <v>32663.79</v>
      </c>
      <c r="T61" s="22" t="n">
        <v>34782.5</v>
      </c>
      <c r="U61" s="22" t="n">
        <v>36556.65</v>
      </c>
      <c r="V61" s="22" t="n">
        <v>39080.22</v>
      </c>
    </row>
    <row r="62" customFormat="false" ht="15" hidden="false" customHeight="false" outlineLevel="0" collapsed="false">
      <c r="A62" s="12" t="s">
        <v>233</v>
      </c>
      <c r="B62" s="12" t="s">
        <v>263</v>
      </c>
      <c r="C62" s="12" t="s">
        <v>114</v>
      </c>
      <c r="D62" s="12" t="s">
        <v>247</v>
      </c>
      <c r="E62" s="12" t="s">
        <v>84</v>
      </c>
      <c r="F62" s="22" t="n">
        <v>28425.38</v>
      </c>
      <c r="G62" s="22" t="n">
        <v>29132.29</v>
      </c>
      <c r="H62" s="22" t="n">
        <v>29520.73</v>
      </c>
      <c r="I62" s="22" t="n">
        <v>29265.88</v>
      </c>
      <c r="J62" s="22" t="n">
        <v>28949.75</v>
      </c>
      <c r="K62" s="22" t="n">
        <v>29233.24</v>
      </c>
      <c r="L62" s="22" t="n">
        <v>29286.64</v>
      </c>
      <c r="M62" s="22" t="n">
        <v>29485.14</v>
      </c>
      <c r="N62" s="22" t="n">
        <v>29475.68</v>
      </c>
      <c r="O62" s="22" t="n">
        <v>30571.82</v>
      </c>
      <c r="P62" s="22" t="n">
        <v>30467.32</v>
      </c>
      <c r="Q62" s="22" t="n">
        <v>31317.49</v>
      </c>
      <c r="R62" s="22" t="n">
        <v>31873.96</v>
      </c>
      <c r="S62" s="22" t="n">
        <v>32461.49</v>
      </c>
      <c r="T62" s="22" t="n">
        <v>34254.62</v>
      </c>
      <c r="U62" s="22" t="n">
        <v>36178.58</v>
      </c>
      <c r="V62" s="22" t="n">
        <v>38318.11</v>
      </c>
    </row>
    <row r="63" customFormat="false" ht="15" hidden="false" customHeight="false" outlineLevel="0" collapsed="false">
      <c r="A63" s="12" t="s">
        <v>233</v>
      </c>
      <c r="B63" s="12" t="s">
        <v>264</v>
      </c>
      <c r="C63" s="12" t="s">
        <v>121</v>
      </c>
      <c r="D63" s="12" t="s">
        <v>247</v>
      </c>
      <c r="E63" s="12" t="s">
        <v>84</v>
      </c>
      <c r="F63" s="22" t="n">
        <v>24087.71</v>
      </c>
      <c r="G63" s="22" t="n">
        <v>23730.86</v>
      </c>
      <c r="H63" s="22" t="n">
        <v>25055.83</v>
      </c>
      <c r="I63" s="22" t="n">
        <v>25239.43</v>
      </c>
      <c r="J63" s="22" t="n">
        <v>24763.87</v>
      </c>
      <c r="K63" s="22" t="n">
        <v>24418.91</v>
      </c>
      <c r="L63" s="22" t="n">
        <v>25060.58</v>
      </c>
      <c r="M63" s="22" t="n">
        <v>25981</v>
      </c>
      <c r="N63" s="22" t="n">
        <v>25939.4</v>
      </c>
      <c r="O63" s="22" t="n">
        <v>26488</v>
      </c>
      <c r="P63" s="22" t="n">
        <v>26824.48</v>
      </c>
      <c r="Q63" s="22" t="n">
        <v>27160.58</v>
      </c>
      <c r="R63" s="22" t="n">
        <v>28215.33</v>
      </c>
      <c r="S63" s="22" t="n">
        <v>29185.52</v>
      </c>
      <c r="T63" s="22" t="n">
        <v>30557.51</v>
      </c>
      <c r="U63" s="22" t="n">
        <v>32691.04</v>
      </c>
      <c r="V63" s="22" t="n">
        <v>34351.72</v>
      </c>
    </row>
    <row r="64" customFormat="false" ht="15" hidden="false" customHeight="false" outlineLevel="0" collapsed="false">
      <c r="A64" s="12" t="s">
        <v>233</v>
      </c>
      <c r="B64" s="12" t="s">
        <v>265</v>
      </c>
      <c r="C64" s="12" t="s">
        <v>128</v>
      </c>
      <c r="D64" s="12" t="s">
        <v>247</v>
      </c>
      <c r="E64" s="12" t="s">
        <v>84</v>
      </c>
      <c r="F64" s="22" t="n">
        <v>32078.32</v>
      </c>
      <c r="G64" s="22" t="n">
        <v>34188</v>
      </c>
      <c r="H64" s="22" t="n">
        <v>33648.79</v>
      </c>
      <c r="I64" s="22" t="n">
        <v>32872.62</v>
      </c>
      <c r="J64" s="22" t="n">
        <v>33031.07</v>
      </c>
      <c r="K64" s="22" t="n">
        <v>33821.23</v>
      </c>
      <c r="L64" s="22" t="n">
        <v>33605.89</v>
      </c>
      <c r="M64" s="22" t="n">
        <v>33066.38</v>
      </c>
      <c r="N64" s="22" t="n">
        <v>32820.5</v>
      </c>
      <c r="O64" s="22" t="n">
        <v>34326.19</v>
      </c>
      <c r="P64" s="22" t="n">
        <v>33847.94</v>
      </c>
      <c r="Q64" s="22" t="n">
        <v>35406.04</v>
      </c>
      <c r="R64" s="22" t="n">
        <v>35289.03</v>
      </c>
      <c r="S64" s="22" t="n">
        <v>35672.91</v>
      </c>
      <c r="T64" s="22" t="n">
        <v>37981.8</v>
      </c>
      <c r="U64" s="22" t="n">
        <v>39671.06</v>
      </c>
      <c r="V64" s="22" t="n">
        <v>42318.73</v>
      </c>
    </row>
    <row r="65" customFormat="false" ht="15" hidden="false" customHeight="false" outlineLevel="0" collapsed="false">
      <c r="A65" s="12" t="s">
        <v>233</v>
      </c>
      <c r="B65" s="12" t="s">
        <v>266</v>
      </c>
      <c r="C65" s="12" t="s">
        <v>114</v>
      </c>
      <c r="D65" s="12" t="s">
        <v>251</v>
      </c>
      <c r="E65" s="12" t="s">
        <v>84</v>
      </c>
      <c r="F65" s="22" t="n">
        <v>29648.56</v>
      </c>
      <c r="G65" s="22" t="n">
        <v>28079.71</v>
      </c>
      <c r="H65" s="22" t="n">
        <v>27776.75</v>
      </c>
      <c r="I65" s="22" t="n">
        <v>27921.77</v>
      </c>
      <c r="J65" s="22" t="n">
        <v>27678.07</v>
      </c>
      <c r="K65" s="22" t="n">
        <v>28067.62</v>
      </c>
      <c r="L65" s="22" t="n">
        <v>29454.46</v>
      </c>
      <c r="M65" s="22" t="n">
        <v>29112.45</v>
      </c>
      <c r="N65" s="22" t="n">
        <v>28099.49</v>
      </c>
      <c r="O65" s="22" t="n">
        <v>29302</v>
      </c>
      <c r="P65" s="22" t="n">
        <v>28731.89</v>
      </c>
      <c r="Q65" s="22" t="n">
        <v>30082.13</v>
      </c>
      <c r="R65" s="22" t="n">
        <v>31040.25</v>
      </c>
      <c r="S65" s="22" t="n">
        <v>30976.63</v>
      </c>
      <c r="T65" s="22" t="n">
        <v>33119.8</v>
      </c>
      <c r="U65" s="22" t="n">
        <v>34021.98</v>
      </c>
      <c r="V65" s="22" t="n">
        <v>35330.99</v>
      </c>
    </row>
    <row r="66" customFormat="false" ht="15" hidden="false" customHeight="false" outlineLevel="0" collapsed="false">
      <c r="A66" s="12" t="s">
        <v>233</v>
      </c>
      <c r="B66" s="12" t="s">
        <v>267</v>
      </c>
      <c r="C66" s="12" t="s">
        <v>121</v>
      </c>
      <c r="D66" s="12" t="s">
        <v>251</v>
      </c>
      <c r="E66" s="12" t="s">
        <v>84</v>
      </c>
      <c r="F66" s="22" t="n">
        <v>23768.21</v>
      </c>
      <c r="G66" s="22" t="n">
        <v>23401.42</v>
      </c>
      <c r="H66" s="22" t="n">
        <v>23281.84</v>
      </c>
      <c r="I66" s="22" t="n">
        <v>22566.5</v>
      </c>
      <c r="J66" s="22" t="n">
        <v>22733.82</v>
      </c>
      <c r="K66" s="22" t="n">
        <v>23248.57</v>
      </c>
      <c r="L66" s="22" t="n">
        <v>23582.47</v>
      </c>
      <c r="M66" s="22" t="n">
        <v>23014.35</v>
      </c>
      <c r="N66" s="22" t="n">
        <v>23124.71</v>
      </c>
      <c r="O66" s="22" t="n">
        <v>24625.23</v>
      </c>
      <c r="P66" s="22" t="n">
        <v>24162.27</v>
      </c>
      <c r="Q66" s="22" t="n">
        <v>25878.98</v>
      </c>
      <c r="R66" s="22" t="n">
        <v>27071.12</v>
      </c>
      <c r="S66" s="22" t="n">
        <v>26323.63</v>
      </c>
      <c r="T66" s="22" t="n">
        <v>28544.13</v>
      </c>
      <c r="U66" s="22" t="n">
        <v>29839.39</v>
      </c>
      <c r="V66" s="22" t="n">
        <v>30684.93</v>
      </c>
    </row>
    <row r="67" customFormat="false" ht="15" hidden="false" customHeight="false" outlineLevel="0" collapsed="false">
      <c r="A67" s="12" t="s">
        <v>233</v>
      </c>
      <c r="B67" s="12" t="s">
        <v>268</v>
      </c>
      <c r="C67" s="12" t="s">
        <v>128</v>
      </c>
      <c r="D67" s="12" t="s">
        <v>251</v>
      </c>
      <c r="E67" s="12" t="s">
        <v>84</v>
      </c>
      <c r="F67" s="22" t="n">
        <v>32829.15</v>
      </c>
      <c r="G67" s="22" t="n">
        <v>31234.77</v>
      </c>
      <c r="H67" s="22" t="n">
        <v>31322.01</v>
      </c>
      <c r="I67" s="22" t="n">
        <v>32503.93</v>
      </c>
      <c r="J67" s="22" t="n">
        <v>32277.74</v>
      </c>
      <c r="K67" s="22" t="n">
        <v>32292.78</v>
      </c>
      <c r="L67" s="22" t="n">
        <v>35177.72</v>
      </c>
      <c r="M67" s="22" t="n">
        <v>35079.35</v>
      </c>
      <c r="N67" s="22" t="n">
        <v>33308.13</v>
      </c>
      <c r="O67" s="22" t="n">
        <v>33959.7</v>
      </c>
      <c r="P67" s="22" t="n">
        <v>33273.23</v>
      </c>
      <c r="Q67" s="22" t="n">
        <v>34222.02</v>
      </c>
      <c r="R67" s="22" t="n">
        <v>35207.68</v>
      </c>
      <c r="S67" s="22" t="n">
        <v>35912.88</v>
      </c>
      <c r="T67" s="22" t="n">
        <v>38064.8</v>
      </c>
      <c r="U67" s="22" t="n">
        <v>38352.1</v>
      </c>
      <c r="V67" s="22" t="n">
        <v>40223.96</v>
      </c>
    </row>
    <row r="68" customFormat="false" ht="15" hidden="false" customHeight="false" outlineLevel="0" collapsed="false">
      <c r="A68" s="12" t="s">
        <v>233</v>
      </c>
      <c r="B68" s="12" t="s">
        <v>269</v>
      </c>
      <c r="C68" s="12" t="s">
        <v>114</v>
      </c>
      <c r="D68" s="12" t="s">
        <v>186</v>
      </c>
      <c r="E68" s="12" t="s">
        <v>84</v>
      </c>
      <c r="F68" s="22" t="n">
        <v>25269.61</v>
      </c>
      <c r="G68" s="22" t="n">
        <v>25860.65</v>
      </c>
      <c r="H68" s="22" t="n">
        <v>25988.95</v>
      </c>
      <c r="I68" s="22" t="n">
        <v>25845.2</v>
      </c>
      <c r="J68" s="22" t="n">
        <v>26044.39</v>
      </c>
      <c r="K68" s="22" t="n">
        <v>26215.36</v>
      </c>
      <c r="L68" s="22" t="n">
        <v>26570.35</v>
      </c>
      <c r="M68" s="22" t="n">
        <v>26448.04</v>
      </c>
      <c r="N68" s="22" t="n">
        <v>26330.14</v>
      </c>
      <c r="O68" s="22" t="n">
        <v>27089.12</v>
      </c>
      <c r="P68" s="22" t="n">
        <v>27010.93</v>
      </c>
      <c r="Q68" s="22" t="n">
        <v>27817.76</v>
      </c>
      <c r="R68" s="22" t="n">
        <v>28829.06</v>
      </c>
      <c r="S68" s="22" t="n">
        <v>29512.58</v>
      </c>
      <c r="T68" s="22" t="n">
        <v>31230.73</v>
      </c>
      <c r="U68" s="22" t="n">
        <v>32219.6</v>
      </c>
      <c r="V68" s="22" t="n">
        <v>34410.01</v>
      </c>
    </row>
    <row r="69" customFormat="false" ht="15" hidden="false" customHeight="false" outlineLevel="0" collapsed="false">
      <c r="A69" s="12" t="s">
        <v>233</v>
      </c>
      <c r="B69" s="12" t="s">
        <v>270</v>
      </c>
      <c r="C69" s="12" t="s">
        <v>121</v>
      </c>
      <c r="D69" s="12" t="s">
        <v>186</v>
      </c>
      <c r="E69" s="12" t="s">
        <v>84</v>
      </c>
      <c r="F69" s="22" t="n">
        <v>21787.75</v>
      </c>
      <c r="G69" s="22" t="n">
        <v>22048.25</v>
      </c>
      <c r="H69" s="22" t="n">
        <v>22721.17</v>
      </c>
      <c r="I69" s="22" t="n">
        <v>22585.38</v>
      </c>
      <c r="J69" s="22" t="n">
        <v>22841.15</v>
      </c>
      <c r="K69" s="22" t="n">
        <v>22959.28</v>
      </c>
      <c r="L69" s="22" t="n">
        <v>23326.94</v>
      </c>
      <c r="M69" s="22" t="n">
        <v>23470.06</v>
      </c>
      <c r="N69" s="22" t="n">
        <v>23371.33</v>
      </c>
      <c r="O69" s="22" t="n">
        <v>24029.31</v>
      </c>
      <c r="P69" s="22" t="n">
        <v>23925.99</v>
      </c>
      <c r="Q69" s="22" t="n">
        <v>24873.79</v>
      </c>
      <c r="R69" s="22" t="n">
        <v>25900.29</v>
      </c>
      <c r="S69" s="22" t="n">
        <v>26578.07</v>
      </c>
      <c r="T69" s="22" t="n">
        <v>28123.47</v>
      </c>
      <c r="U69" s="22" t="n">
        <v>29250.2</v>
      </c>
      <c r="V69" s="22" t="n">
        <v>31048.41</v>
      </c>
    </row>
    <row r="70" customFormat="false" ht="15" hidden="false" customHeight="false" outlineLevel="0" collapsed="false">
      <c r="A70" s="12" t="s">
        <v>233</v>
      </c>
      <c r="B70" s="12" t="s">
        <v>271</v>
      </c>
      <c r="C70" s="12" t="s">
        <v>128</v>
      </c>
      <c r="D70" s="12" t="s">
        <v>186</v>
      </c>
      <c r="E70" s="12" t="s">
        <v>84</v>
      </c>
      <c r="F70" s="22" t="n">
        <v>28228.42</v>
      </c>
      <c r="G70" s="22" t="n">
        <v>29333.06</v>
      </c>
      <c r="H70" s="22" t="n">
        <v>29016.28</v>
      </c>
      <c r="I70" s="22" t="n">
        <v>28896.67</v>
      </c>
      <c r="J70" s="22" t="n">
        <v>29116.2</v>
      </c>
      <c r="K70" s="22" t="n">
        <v>29224.3</v>
      </c>
      <c r="L70" s="22" t="n">
        <v>29734.23</v>
      </c>
      <c r="M70" s="22" t="n">
        <v>29314.09</v>
      </c>
      <c r="N70" s="22" t="n">
        <v>29111.2</v>
      </c>
      <c r="O70" s="22" t="n">
        <v>29910.43</v>
      </c>
      <c r="P70" s="22" t="n">
        <v>29816.34</v>
      </c>
      <c r="Q70" s="22" t="n">
        <v>30530.89</v>
      </c>
      <c r="R70" s="22" t="n">
        <v>31495.31</v>
      </c>
      <c r="S70" s="22" t="n">
        <v>32213.88</v>
      </c>
      <c r="T70" s="22" t="n">
        <v>34113.4</v>
      </c>
      <c r="U70" s="22" t="n">
        <v>35052.21</v>
      </c>
      <c r="V70" s="22" t="n">
        <v>37634.49</v>
      </c>
    </row>
    <row r="72" customFormat="false" ht="15" hidden="false" customHeight="false" outlineLevel="0" collapsed="false">
      <c r="A72" s="11" t="s">
        <v>272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8" min="8" style="0" width="14"/>
    <col collapsed="false" customWidth="true" hidden="false" outlineLevel="0" max="9" min="9" style="0" width="10"/>
    <col collapsed="false" customWidth="true" hidden="false" outlineLevel="0" max="11" min="10" style="0" width="22"/>
    <col collapsed="false" customWidth="true" hidden="false" outlineLevel="0" max="12" min="12" style="0" width="20"/>
  </cols>
  <sheetData>
    <row r="1" customFormat="false" ht="23.85" hidden="false" customHeight="false" outlineLevel="0" collapsed="false">
      <c r="A1" s="4" t="s">
        <v>95</v>
      </c>
      <c r="B1" s="4" t="s">
        <v>273</v>
      </c>
      <c r="C1" s="4" t="s">
        <v>170</v>
      </c>
      <c r="D1" s="4" t="s">
        <v>274</v>
      </c>
      <c r="E1" s="4" t="s">
        <v>275</v>
      </c>
      <c r="F1" s="4" t="s">
        <v>276</v>
      </c>
      <c r="G1" s="4" t="s">
        <v>173</v>
      </c>
      <c r="H1" s="4" t="s">
        <v>156</v>
      </c>
      <c r="I1" s="4" t="s">
        <v>277</v>
      </c>
      <c r="J1" s="4" t="s">
        <v>278</v>
      </c>
      <c r="K1" s="4" t="s">
        <v>279</v>
      </c>
      <c r="L1" s="4" t="s">
        <v>280</v>
      </c>
    </row>
    <row r="2" customFormat="false" ht="15" hidden="false" customHeight="false" outlineLevel="0" collapsed="false">
      <c r="A2" s="12" t="s">
        <v>83</v>
      </c>
      <c r="B2" s="28" t="n">
        <v>29540.26</v>
      </c>
      <c r="C2" s="28" t="n">
        <v>12018.46</v>
      </c>
      <c r="D2" s="28" t="n">
        <v>17457.47</v>
      </c>
      <c r="E2" s="28" t="n">
        <v>24497.17</v>
      </c>
      <c r="F2" s="28" t="n">
        <v>36969.61</v>
      </c>
      <c r="G2" s="28" t="n">
        <v>52515.27</v>
      </c>
      <c r="H2" s="14" t="n">
        <f aca="false">B2/E2</f>
        <v>1.20586418757759</v>
      </c>
      <c r="I2" s="15" t="n">
        <f aca="false">G2/C2</f>
        <v>4.36955067454566</v>
      </c>
      <c r="J2" s="16" t="n">
        <f aca="false">B2-B$2</f>
        <v>0</v>
      </c>
      <c r="K2" s="29" t="n">
        <f aca="false">B2/B$2-1</f>
        <v>0</v>
      </c>
      <c r="L2" s="12"/>
    </row>
    <row r="3" customFormat="false" ht="15" hidden="false" customHeight="false" outlineLevel="0" collapsed="false">
      <c r="A3" s="12" t="s">
        <v>281</v>
      </c>
      <c r="B3" s="28" t="n">
        <v>26089.7</v>
      </c>
      <c r="C3" s="28" t="n">
        <v>10567.11</v>
      </c>
      <c r="D3" s="28" t="n">
        <v>15876</v>
      </c>
      <c r="E3" s="28" t="n">
        <v>21557.4</v>
      </c>
      <c r="F3" s="28" t="n">
        <v>32099.35</v>
      </c>
      <c r="G3" s="28" t="n">
        <v>46498.34</v>
      </c>
      <c r="H3" s="14" t="n">
        <f aca="false">B3/E3</f>
        <v>1.21024335031126</v>
      </c>
      <c r="I3" s="15" t="n">
        <f aca="false">G3/C3</f>
        <v>4.40028919922287</v>
      </c>
      <c r="J3" s="16" t="n">
        <f aca="false">B3-B$2</f>
        <v>-3450.56</v>
      </c>
      <c r="K3" s="29" t="n">
        <f aca="false">B3/B$2-1</f>
        <v>-0.116808721385661</v>
      </c>
      <c r="L3" s="30" t="n">
        <f aca="false">RANK(B3,B$3:B$19,0)</f>
        <v>14</v>
      </c>
    </row>
    <row r="4" customFormat="false" ht="15" hidden="false" customHeight="false" outlineLevel="0" collapsed="false">
      <c r="A4" s="12" t="s">
        <v>282</v>
      </c>
      <c r="B4" s="28" t="n">
        <v>28061.94</v>
      </c>
      <c r="C4" s="28" t="n">
        <v>12053.34</v>
      </c>
      <c r="D4" s="28" t="n">
        <v>18356.18</v>
      </c>
      <c r="E4" s="28" t="n">
        <v>24936.2</v>
      </c>
      <c r="F4" s="28" t="n">
        <v>34535.16</v>
      </c>
      <c r="G4" s="28" t="n">
        <v>45912.52</v>
      </c>
      <c r="H4" s="14" t="n">
        <f aca="false">B4/E4</f>
        <v>1.12534949190334</v>
      </c>
      <c r="I4" s="15" t="n">
        <f aca="false">G4/C4</f>
        <v>3.80911183124346</v>
      </c>
      <c r="J4" s="16" t="n">
        <f aca="false">B4-B$2</f>
        <v>-1478.32</v>
      </c>
      <c r="K4" s="29" t="n">
        <f aca="false">B4/B$2-1</f>
        <v>-0.0500442447019762</v>
      </c>
      <c r="L4" s="30" t="n">
        <f aca="false">RANK(B4,B$3:B$19,0)</f>
        <v>7</v>
      </c>
    </row>
    <row r="5" customFormat="false" ht="15" hidden="false" customHeight="false" outlineLevel="0" collapsed="false">
      <c r="A5" s="12" t="s">
        <v>283</v>
      </c>
      <c r="B5" s="28" t="n">
        <v>28562.31</v>
      </c>
      <c r="C5" s="28" t="n">
        <v>11058.23</v>
      </c>
      <c r="D5" s="28" t="n">
        <v>16690.52</v>
      </c>
      <c r="E5" s="28" t="n">
        <v>24196.64</v>
      </c>
      <c r="F5" s="28" t="n">
        <v>36057.57</v>
      </c>
      <c r="G5" s="28" t="n">
        <v>51000</v>
      </c>
      <c r="H5" s="14" t="n">
        <f aca="false">B5/E5</f>
        <v>1.18042463747033</v>
      </c>
      <c r="I5" s="15" t="n">
        <f aca="false">G5/C5</f>
        <v>4.61194965197866</v>
      </c>
      <c r="J5" s="16" t="n">
        <f aca="false">B5-B$2</f>
        <v>-977.949999999997</v>
      </c>
      <c r="K5" s="29" t="n">
        <f aca="false">B5/B$2-1</f>
        <v>-0.0331056666393592</v>
      </c>
      <c r="L5" s="30" t="n">
        <f aca="false">RANK(B5,B$3:B$19,0)</f>
        <v>6</v>
      </c>
    </row>
    <row r="6" customFormat="false" ht="15" hidden="false" customHeight="false" outlineLevel="0" collapsed="false">
      <c r="A6" s="12" t="s">
        <v>284</v>
      </c>
      <c r="B6" s="28" t="n">
        <v>29075.06</v>
      </c>
      <c r="C6" s="28" t="n">
        <v>14986.07</v>
      </c>
      <c r="D6" s="28" t="n">
        <v>19546.12</v>
      </c>
      <c r="E6" s="28" t="n">
        <v>24962.01</v>
      </c>
      <c r="F6" s="28" t="n">
        <v>33965.77</v>
      </c>
      <c r="G6" s="28" t="n">
        <v>47715.88</v>
      </c>
      <c r="H6" s="14" t="n">
        <f aca="false">B6/E6</f>
        <v>1.16477238812099</v>
      </c>
      <c r="I6" s="15" t="n">
        <f aca="false">G6/C6</f>
        <v>3.18401555577947</v>
      </c>
      <c r="J6" s="16" t="n">
        <f aca="false">B6-B$2</f>
        <v>-465.199999999997</v>
      </c>
      <c r="K6" s="29" t="n">
        <f aca="false">B6/B$2-1</f>
        <v>-0.0157479995098214</v>
      </c>
      <c r="L6" s="30" t="n">
        <f aca="false">RANK(B6,B$3:B$19,0)</f>
        <v>5</v>
      </c>
    </row>
    <row r="7" customFormat="false" ht="15" hidden="false" customHeight="false" outlineLevel="0" collapsed="false">
      <c r="A7" s="12" t="s">
        <v>285</v>
      </c>
      <c r="B7" s="28" t="n">
        <v>25120.38</v>
      </c>
      <c r="C7" s="28" t="n">
        <v>11877.7</v>
      </c>
      <c r="D7" s="28" t="n">
        <v>16305.72</v>
      </c>
      <c r="E7" s="28" t="n">
        <v>20631.84</v>
      </c>
      <c r="F7" s="28" t="n">
        <v>29218.96</v>
      </c>
      <c r="G7" s="28" t="n">
        <v>45093.89</v>
      </c>
      <c r="H7" s="14" t="n">
        <f aca="false">B7/E7</f>
        <v>1.21755403298979</v>
      </c>
      <c r="I7" s="15" t="n">
        <f aca="false">G7/C7</f>
        <v>3.79651700244997</v>
      </c>
      <c r="J7" s="16" t="n">
        <f aca="false">B7-B$2</f>
        <v>-4419.88</v>
      </c>
      <c r="K7" s="29" t="n">
        <f aca="false">B7/B$2-1</f>
        <v>-0.149622244353977</v>
      </c>
      <c r="L7" s="30" t="n">
        <f aca="false">RANK(B7,B$3:B$19,0)</f>
        <v>16</v>
      </c>
    </row>
    <row r="8" customFormat="false" ht="15" hidden="false" customHeight="false" outlineLevel="0" collapsed="false">
      <c r="A8" s="12" t="s">
        <v>286</v>
      </c>
      <c r="B8" s="28" t="n">
        <v>27097.17</v>
      </c>
      <c r="C8" s="28" t="n">
        <v>10799.3</v>
      </c>
      <c r="D8" s="28" t="n">
        <v>17044.41</v>
      </c>
      <c r="E8" s="28" t="n">
        <v>23246.78</v>
      </c>
      <c r="F8" s="28" t="n">
        <v>34226.38</v>
      </c>
      <c r="G8" s="28" t="n">
        <v>47183.35</v>
      </c>
      <c r="H8" s="14" t="n">
        <f aca="false">B8/E8</f>
        <v>1.1656311110614</v>
      </c>
      <c r="I8" s="15" t="n">
        <f aca="false">G8/C8</f>
        <v>4.36911188688156</v>
      </c>
      <c r="J8" s="16" t="n">
        <f aca="false">B8-B$2</f>
        <v>-2443.09</v>
      </c>
      <c r="K8" s="29" t="n">
        <f aca="false">B8/B$2-1</f>
        <v>-0.082703740589961</v>
      </c>
      <c r="L8" s="30" t="n">
        <f aca="false">RANK(B8,B$3:B$19,0)</f>
        <v>9</v>
      </c>
    </row>
    <row r="9" customFormat="false" ht="15" hidden="false" customHeight="false" outlineLevel="0" collapsed="false">
      <c r="A9" s="12" t="s">
        <v>287</v>
      </c>
      <c r="B9" s="28" t="n">
        <v>26177.28</v>
      </c>
      <c r="C9" s="28" t="n">
        <v>11349.61</v>
      </c>
      <c r="D9" s="28" t="n">
        <v>17011.37</v>
      </c>
      <c r="E9" s="28" t="n">
        <v>22566.96</v>
      </c>
      <c r="F9" s="28" t="n">
        <v>32392.34</v>
      </c>
      <c r="G9" s="28" t="n">
        <v>44688.93</v>
      </c>
      <c r="H9" s="14" t="n">
        <f aca="false">B9/E9</f>
        <v>1.15998255857236</v>
      </c>
      <c r="I9" s="15" t="n">
        <f aca="false">G9/C9</f>
        <v>3.93748595766727</v>
      </c>
      <c r="J9" s="16" t="n">
        <f aca="false">B9-B$2</f>
        <v>-3362.98</v>
      </c>
      <c r="K9" s="29" t="n">
        <f aca="false">B9/B$2-1</f>
        <v>-0.113843953980094</v>
      </c>
      <c r="L9" s="30" t="n">
        <f aca="false">RANK(B9,B$3:B$19,0)</f>
        <v>13</v>
      </c>
    </row>
    <row r="10" customFormat="false" ht="15" hidden="false" customHeight="false" outlineLevel="0" collapsed="false">
      <c r="A10" s="12" t="s">
        <v>288</v>
      </c>
      <c r="B10" s="28" t="n">
        <v>26062.05</v>
      </c>
      <c r="C10" s="28" t="n">
        <v>11674.14</v>
      </c>
      <c r="D10" s="28" t="n">
        <v>17082.24</v>
      </c>
      <c r="E10" s="28" t="n">
        <v>22045.52</v>
      </c>
      <c r="F10" s="28" t="n">
        <v>31131.79</v>
      </c>
      <c r="G10" s="28" t="n">
        <v>45023.64</v>
      </c>
      <c r="H10" s="14" t="n">
        <f aca="false">B10/E10</f>
        <v>1.18219257245917</v>
      </c>
      <c r="I10" s="15" t="n">
        <f aca="false">G10/C10</f>
        <v>3.85669865189213</v>
      </c>
      <c r="J10" s="16" t="n">
        <f aca="false">B10-B$2</f>
        <v>-3478.21</v>
      </c>
      <c r="K10" s="29" t="n">
        <f aca="false">B10/B$2-1</f>
        <v>-0.117744732104592</v>
      </c>
      <c r="L10" s="30" t="n">
        <f aca="false">RANK(B10,B$3:B$19,0)</f>
        <v>15</v>
      </c>
    </row>
    <row r="11" customFormat="false" ht="15" hidden="false" customHeight="false" outlineLevel="0" collapsed="false">
      <c r="A11" s="12" t="s">
        <v>289</v>
      </c>
      <c r="B11" s="28" t="n">
        <v>31730.05</v>
      </c>
      <c r="C11" s="28" t="n">
        <v>12645.23</v>
      </c>
      <c r="D11" s="28" t="n">
        <v>18678.37</v>
      </c>
      <c r="E11" s="28" t="n">
        <v>27132.93</v>
      </c>
      <c r="F11" s="28" t="n">
        <v>39776.8</v>
      </c>
      <c r="G11" s="28" t="n">
        <v>56220.78</v>
      </c>
      <c r="H11" s="14" t="n">
        <f aca="false">B11/E11</f>
        <v>1.16942954557433</v>
      </c>
      <c r="I11" s="15" t="n">
        <f aca="false">G11/C11</f>
        <v>4.44600691327876</v>
      </c>
      <c r="J11" s="16" t="n">
        <f aca="false">B11-B$2</f>
        <v>2189.79</v>
      </c>
      <c r="K11" s="29" t="n">
        <f aca="false">B11/B$2-1</f>
        <v>0.0741290022498109</v>
      </c>
      <c r="L11" s="30" t="n">
        <f aca="false">RANK(B11,B$3:B$19,0)</f>
        <v>4</v>
      </c>
    </row>
    <row r="12" customFormat="false" ht="15" hidden="false" customHeight="false" outlineLevel="0" collapsed="false">
      <c r="A12" s="12" t="s">
        <v>290</v>
      </c>
      <c r="B12" s="28" t="n">
        <v>26816.98</v>
      </c>
      <c r="C12" s="28" t="n">
        <v>10522.98</v>
      </c>
      <c r="D12" s="28" t="n">
        <v>16723.14</v>
      </c>
      <c r="E12" s="28" t="n">
        <v>22652.43</v>
      </c>
      <c r="F12" s="28" t="n">
        <v>33230.36</v>
      </c>
      <c r="G12" s="28" t="n">
        <v>46991.77</v>
      </c>
      <c r="H12" s="14" t="n">
        <f aca="false">B12/E12</f>
        <v>1.18384561832881</v>
      </c>
      <c r="I12" s="15" t="n">
        <f aca="false">G12/C12</f>
        <v>4.46563330919568</v>
      </c>
      <c r="J12" s="16" t="n">
        <f aca="false">B12-B$2</f>
        <v>-2723.28</v>
      </c>
      <c r="K12" s="29" t="n">
        <f aca="false">B12/B$2-1</f>
        <v>-0.0921887620488107</v>
      </c>
      <c r="L12" s="30" t="n">
        <f aca="false">RANK(B12,B$3:B$19,0)</f>
        <v>10</v>
      </c>
    </row>
    <row r="13" customFormat="false" ht="15" hidden="false" customHeight="false" outlineLevel="0" collapsed="false">
      <c r="A13" s="12" t="s">
        <v>291</v>
      </c>
      <c r="B13" s="28" t="n">
        <v>24979.44</v>
      </c>
      <c r="C13" s="28" t="n">
        <v>9243</v>
      </c>
      <c r="D13" s="28" t="n">
        <v>15876</v>
      </c>
      <c r="E13" s="28" t="n">
        <v>20904.64</v>
      </c>
      <c r="F13" s="28" t="n">
        <v>31096.89</v>
      </c>
      <c r="G13" s="28" t="n">
        <v>43833.88</v>
      </c>
      <c r="H13" s="14" t="n">
        <f aca="false">B13/E13</f>
        <v>1.19492323235416</v>
      </c>
      <c r="I13" s="15" t="n">
        <f aca="false">G13/C13</f>
        <v>4.74238667099427</v>
      </c>
      <c r="J13" s="16" t="n">
        <f aca="false">B13-B$2</f>
        <v>-4560.82</v>
      </c>
      <c r="K13" s="29" t="n">
        <f aca="false">B13/B$2-1</f>
        <v>-0.154393360112606</v>
      </c>
      <c r="L13" s="30" t="n">
        <f aca="false">RANK(B13,B$3:B$19,0)</f>
        <v>17</v>
      </c>
    </row>
    <row r="14" customFormat="false" ht="15" hidden="false" customHeight="false" outlineLevel="0" collapsed="false">
      <c r="A14" s="12" t="s">
        <v>292</v>
      </c>
      <c r="B14" s="28" t="n">
        <v>26547.27</v>
      </c>
      <c r="C14" s="28" t="n">
        <v>12147.86</v>
      </c>
      <c r="D14" s="28" t="n">
        <v>17010</v>
      </c>
      <c r="E14" s="28" t="n">
        <v>22603.14</v>
      </c>
      <c r="F14" s="28" t="n">
        <v>31587.21</v>
      </c>
      <c r="G14" s="28" t="n">
        <v>44681.64</v>
      </c>
      <c r="H14" s="14" t="n">
        <f aca="false">B14/E14</f>
        <v>1.1744947825833</v>
      </c>
      <c r="I14" s="15" t="n">
        <f aca="false">G14/C14</f>
        <v>3.67814907317009</v>
      </c>
      <c r="J14" s="16" t="n">
        <f aca="false">B14-B$2</f>
        <v>-2992.99</v>
      </c>
      <c r="K14" s="29" t="n">
        <f aca="false">B14/B$2-1</f>
        <v>-0.101319013441317</v>
      </c>
      <c r="L14" s="30" t="n">
        <f aca="false">RANK(B14,B$3:B$19,0)</f>
        <v>11</v>
      </c>
    </row>
    <row r="15" customFormat="false" ht="15" hidden="false" customHeight="false" outlineLevel="0" collapsed="false">
      <c r="A15" s="12" t="s">
        <v>293</v>
      </c>
      <c r="B15" s="28" t="n">
        <v>34410.01</v>
      </c>
      <c r="C15" s="28" t="n">
        <v>13728.43</v>
      </c>
      <c r="D15" s="28" t="n">
        <v>18872.44</v>
      </c>
      <c r="E15" s="28" t="n">
        <v>28037.75</v>
      </c>
      <c r="F15" s="28" t="n">
        <v>43598</v>
      </c>
      <c r="G15" s="28" t="n">
        <v>63685.49</v>
      </c>
      <c r="H15" s="14" t="n">
        <f aca="false">B15/E15</f>
        <v>1.22727429982791</v>
      </c>
      <c r="I15" s="15" t="n">
        <f aca="false">G15/C15</f>
        <v>4.63894924619931</v>
      </c>
      <c r="J15" s="16" t="n">
        <f aca="false">B15-B$2</f>
        <v>4869.75</v>
      </c>
      <c r="K15" s="29" t="n">
        <f aca="false">B15/B$2-1</f>
        <v>0.164851291085454</v>
      </c>
      <c r="L15" s="30" t="n">
        <f aca="false">RANK(B15,B$3:B$19,0)</f>
        <v>2</v>
      </c>
    </row>
    <row r="16" customFormat="false" ht="15" hidden="false" customHeight="false" outlineLevel="0" collapsed="false">
      <c r="A16" s="12" t="s">
        <v>294</v>
      </c>
      <c r="B16" s="28" t="n">
        <v>26349.36</v>
      </c>
      <c r="C16" s="28" t="n">
        <v>10167.03</v>
      </c>
      <c r="D16" s="28" t="n">
        <v>16103</v>
      </c>
      <c r="E16" s="28" t="n">
        <v>21672.45</v>
      </c>
      <c r="F16" s="28" t="n">
        <v>32023.13</v>
      </c>
      <c r="G16" s="28" t="n">
        <v>47062.07</v>
      </c>
      <c r="H16" s="14" t="n">
        <f aca="false">B16/E16</f>
        <v>1.21579978267339</v>
      </c>
      <c r="I16" s="15" t="n">
        <f aca="false">G16/C16</f>
        <v>4.62889063964599</v>
      </c>
      <c r="J16" s="16" t="n">
        <f aca="false">B16-B$2</f>
        <v>-3190.9</v>
      </c>
      <c r="K16" s="29" t="n">
        <f aca="false">B16/B$2-1</f>
        <v>-0.108018683654105</v>
      </c>
      <c r="L16" s="30" t="n">
        <f aca="false">RANK(B16,B$3:B$19,0)</f>
        <v>12</v>
      </c>
    </row>
    <row r="17" customFormat="false" ht="15" hidden="false" customHeight="false" outlineLevel="0" collapsed="false">
      <c r="A17" s="12" t="s">
        <v>295</v>
      </c>
      <c r="B17" s="28" t="n">
        <v>32605.28</v>
      </c>
      <c r="C17" s="28" t="n">
        <v>13951.08</v>
      </c>
      <c r="D17" s="28" t="n">
        <v>21014.1</v>
      </c>
      <c r="E17" s="28" t="n">
        <v>29385.02</v>
      </c>
      <c r="F17" s="28" t="n">
        <v>40140.13</v>
      </c>
      <c r="G17" s="28" t="n">
        <v>54862.49</v>
      </c>
      <c r="H17" s="14" t="n">
        <f aca="false">B17/E17</f>
        <v>1.10958849100664</v>
      </c>
      <c r="I17" s="15" t="n">
        <f aca="false">G17/C17</f>
        <v>3.93249053119902</v>
      </c>
      <c r="J17" s="16" t="n">
        <f aca="false">B17-B$2</f>
        <v>3065.02</v>
      </c>
      <c r="K17" s="29" t="n">
        <f aca="false">B17/B$2-1</f>
        <v>0.103757380605316</v>
      </c>
      <c r="L17" s="30" t="n">
        <f aca="false">RANK(B17,B$3:B$19,0)</f>
        <v>3</v>
      </c>
    </row>
    <row r="18" customFormat="false" ht="15" hidden="false" customHeight="false" outlineLevel="0" collapsed="false">
      <c r="A18" s="12" t="s">
        <v>296</v>
      </c>
      <c r="B18" s="28" t="n">
        <v>35170.28</v>
      </c>
      <c r="C18" s="28" t="n">
        <v>14169.72</v>
      </c>
      <c r="D18" s="28" t="n">
        <v>21433</v>
      </c>
      <c r="E18" s="28" t="n">
        <v>31912.13</v>
      </c>
      <c r="F18" s="28" t="n">
        <v>45393.22</v>
      </c>
      <c r="G18" s="28" t="n">
        <v>58049.5</v>
      </c>
      <c r="H18" s="14" t="n">
        <f aca="false">B18/E18</f>
        <v>1.1020975409664</v>
      </c>
      <c r="I18" s="15" t="n">
        <f aca="false">G18/C18</f>
        <v>4.09672879915764</v>
      </c>
      <c r="J18" s="16" t="n">
        <f aca="false">B18-B$2</f>
        <v>5630.02</v>
      </c>
      <c r="K18" s="29" t="n">
        <f aca="false">B18/B$2-1</f>
        <v>0.190588031384964</v>
      </c>
      <c r="L18" s="30" t="n">
        <f aca="false">RANK(B18,B$3:B$19,0)</f>
        <v>1</v>
      </c>
    </row>
    <row r="19" customFormat="false" ht="15" hidden="false" customHeight="false" outlineLevel="0" collapsed="false">
      <c r="A19" s="12" t="s">
        <v>297</v>
      </c>
      <c r="B19" s="28" t="n">
        <v>27855.4</v>
      </c>
      <c r="C19" s="28" t="n">
        <v>12188.08</v>
      </c>
      <c r="D19" s="28" t="n">
        <v>17718.12</v>
      </c>
      <c r="E19" s="28" t="n">
        <v>24501.28</v>
      </c>
      <c r="F19" s="28" t="n">
        <v>34568.19</v>
      </c>
      <c r="G19" s="28" t="n">
        <v>47172.71</v>
      </c>
      <c r="H19" s="14" t="n">
        <f aca="false">B19/E19</f>
        <v>1.13689570504072</v>
      </c>
      <c r="I19" s="15" t="n">
        <f aca="false">G19/C19</f>
        <v>3.87039714212575</v>
      </c>
      <c r="J19" s="16" t="n">
        <f aca="false">B19-B$2</f>
        <v>-1684.86</v>
      </c>
      <c r="K19" s="29" t="n">
        <f aca="false">B19/B$2-1</f>
        <v>-0.0570360585858079</v>
      </c>
      <c r="L19" s="30" t="n">
        <f aca="false">RANK(B19,B$3:B$19,0)</f>
        <v>8</v>
      </c>
    </row>
    <row r="21" customFormat="false" ht="15" hidden="false" customHeight="false" outlineLevel="0" collapsed="false">
      <c r="A21" s="11" t="s">
        <v>298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0"/>
    <col collapsed="false" customWidth="true" hidden="false" outlineLevel="0" max="3" min="3" style="0" width="11"/>
    <col collapsed="false" customWidth="true" hidden="false" outlineLevel="0" max="4" min="4" style="0" width="62"/>
    <col collapsed="false" customWidth="true" hidden="false" outlineLevel="0" max="23" min="22" style="0" width="22"/>
  </cols>
  <sheetData>
    <row r="1" customFormat="false" ht="23.85" hidden="false" customHeight="false" outlineLevel="0" collapsed="false">
      <c r="A1" s="4" t="s">
        <v>299</v>
      </c>
      <c r="B1" s="4" t="s">
        <v>182</v>
      </c>
      <c r="C1" s="4" t="s">
        <v>93</v>
      </c>
      <c r="D1" s="4" t="s">
        <v>300</v>
      </c>
      <c r="E1" s="4" t="s">
        <v>97</v>
      </c>
      <c r="F1" s="4" t="s">
        <v>98</v>
      </c>
      <c r="G1" s="4" t="s">
        <v>99</v>
      </c>
      <c r="H1" s="4" t="s">
        <v>100</v>
      </c>
      <c r="I1" s="4" t="s">
        <v>101</v>
      </c>
      <c r="J1" s="4" t="s">
        <v>102</v>
      </c>
      <c r="K1" s="4" t="s">
        <v>103</v>
      </c>
      <c r="L1" s="4" t="s">
        <v>104</v>
      </c>
      <c r="M1" s="4" t="s">
        <v>105</v>
      </c>
      <c r="N1" s="4" t="s">
        <v>106</v>
      </c>
      <c r="O1" s="4" t="s">
        <v>107</v>
      </c>
      <c r="P1" s="4" t="s">
        <v>108</v>
      </c>
      <c r="Q1" s="4" t="s">
        <v>109</v>
      </c>
      <c r="R1" s="4" t="s">
        <v>110</v>
      </c>
      <c r="S1" s="4" t="s">
        <v>111</v>
      </c>
      <c r="T1" s="4" t="s">
        <v>112</v>
      </c>
      <c r="U1" s="4" t="s">
        <v>10</v>
      </c>
      <c r="V1" s="4" t="s">
        <v>301</v>
      </c>
      <c r="W1" s="4" t="s">
        <v>302</v>
      </c>
    </row>
    <row r="2" customFormat="false" ht="15" hidden="false" customHeight="false" outlineLevel="0" collapsed="false">
      <c r="A2" s="12" t="s">
        <v>303</v>
      </c>
      <c r="B2" s="12" t="s">
        <v>304</v>
      </c>
      <c r="C2" s="12" t="s">
        <v>305</v>
      </c>
      <c r="D2" s="12" t="s">
        <v>306</v>
      </c>
      <c r="E2" s="22" t="n">
        <v>21883.42</v>
      </c>
      <c r="F2" s="22" t="n">
        <v>22511.47</v>
      </c>
      <c r="G2" s="22" t="n">
        <v>22790.2</v>
      </c>
      <c r="H2" s="22" t="n">
        <v>22899.35</v>
      </c>
      <c r="I2" s="22" t="n">
        <v>22726.44</v>
      </c>
      <c r="J2" s="22" t="n">
        <v>22697.86</v>
      </c>
      <c r="K2" s="22" t="n">
        <v>22858.17</v>
      </c>
      <c r="L2" s="22" t="n">
        <v>23106.3</v>
      </c>
      <c r="M2" s="22" t="n">
        <v>23156.34</v>
      </c>
      <c r="N2" s="22" t="n">
        <v>23646.5</v>
      </c>
      <c r="O2" s="22" t="n">
        <v>24009.12</v>
      </c>
      <c r="P2" s="22" t="n">
        <v>24395.98</v>
      </c>
      <c r="Q2" s="22" t="n">
        <v>25165.51</v>
      </c>
      <c r="R2" s="22" t="n">
        <v>25896.82</v>
      </c>
      <c r="S2" s="22" t="n">
        <v>26948.87</v>
      </c>
      <c r="T2" s="22" t="n">
        <v>28049.94</v>
      </c>
      <c r="U2" s="22" t="n">
        <v>29540.26</v>
      </c>
      <c r="V2" s="17" t="n">
        <f aca="false">(U2/E2-1)*100</f>
        <v>34.9892292886578</v>
      </c>
      <c r="W2" s="17" t="n">
        <f aca="false">(U2/U$2-1)*100</f>
        <v>0</v>
      </c>
    </row>
    <row r="3" customFormat="false" ht="15" hidden="false" customHeight="false" outlineLevel="0" collapsed="false">
      <c r="A3" s="12" t="s">
        <v>303</v>
      </c>
      <c r="B3" s="12" t="s">
        <v>304</v>
      </c>
      <c r="C3" s="12" t="s">
        <v>307</v>
      </c>
      <c r="D3" s="12" t="s">
        <v>308</v>
      </c>
      <c r="E3" s="22" t="n">
        <v>26647.03</v>
      </c>
      <c r="F3" s="22" t="n">
        <v>27051.36</v>
      </c>
      <c r="G3" s="22" t="n">
        <v>28373.35</v>
      </c>
      <c r="H3" s="22" t="n">
        <v>29223.47</v>
      </c>
      <c r="I3" s="22" t="n">
        <v>30236.84</v>
      </c>
      <c r="J3" s="22" t="n">
        <v>31389.5</v>
      </c>
      <c r="K3" s="22" t="n">
        <v>32971.21</v>
      </c>
      <c r="L3" s="22" t="n">
        <v>32494.07</v>
      </c>
      <c r="M3" s="22" t="n">
        <v>32400.69</v>
      </c>
      <c r="N3" s="22" t="n">
        <v>32555.75</v>
      </c>
      <c r="O3" s="22" t="n">
        <v>33990.57</v>
      </c>
      <c r="P3" s="22" t="n">
        <v>34159.42</v>
      </c>
      <c r="Q3" s="22" t="n">
        <v>34424.68</v>
      </c>
      <c r="R3" s="22" t="n">
        <v>34866.39</v>
      </c>
      <c r="S3" s="22" t="n">
        <v>36308.58</v>
      </c>
      <c r="T3" s="22" t="n">
        <v>38869.23</v>
      </c>
      <c r="U3" s="22" t="n">
        <v>41951.74</v>
      </c>
      <c r="V3" s="17" t="n">
        <f aca="false">(U3/E3-1)*100</f>
        <v>57.4349561658466</v>
      </c>
      <c r="W3" s="17" t="n">
        <f aca="false">(U3/U$2-1)*100</f>
        <v>42.0154731204126</v>
      </c>
    </row>
    <row r="4" customFormat="false" ht="15" hidden="false" customHeight="false" outlineLevel="0" collapsed="false">
      <c r="A4" s="12" t="s">
        <v>303</v>
      </c>
      <c r="B4" s="12" t="s">
        <v>304</v>
      </c>
      <c r="C4" s="12" t="s">
        <v>309</v>
      </c>
      <c r="D4" s="12" t="s">
        <v>310</v>
      </c>
      <c r="E4" s="22" t="n">
        <v>23615.61</v>
      </c>
      <c r="F4" s="22" t="n">
        <v>23907.49</v>
      </c>
      <c r="G4" s="22" t="n">
        <v>24863.7</v>
      </c>
      <c r="H4" s="22" t="n">
        <v>25308.11</v>
      </c>
      <c r="I4" s="22" t="n">
        <v>25510.48</v>
      </c>
      <c r="J4" s="22" t="n">
        <v>26042.43</v>
      </c>
      <c r="K4" s="22" t="n">
        <v>26476.73</v>
      </c>
      <c r="L4" s="22" t="n">
        <v>26543.77</v>
      </c>
      <c r="M4" s="22" t="n">
        <v>26698.42</v>
      </c>
      <c r="N4" s="22" t="n">
        <v>27214.3</v>
      </c>
      <c r="O4" s="22" t="n">
        <v>27640.12</v>
      </c>
      <c r="P4" s="22" t="n">
        <v>27604.74</v>
      </c>
      <c r="Q4" s="22" t="n">
        <v>27875.98</v>
      </c>
      <c r="R4" s="22" t="n">
        <v>28585.65</v>
      </c>
      <c r="S4" s="22" t="n">
        <v>30000.69</v>
      </c>
      <c r="T4" s="22" t="n">
        <v>31064.13</v>
      </c>
      <c r="U4" s="22" t="n">
        <v>32881.61</v>
      </c>
      <c r="V4" s="17" t="n">
        <f aca="false">(U4/E4-1)*100</f>
        <v>39.2367590758824</v>
      </c>
      <c r="W4" s="17" t="n">
        <f aca="false">(U4/U$2-1)*100</f>
        <v>11.3111732936677</v>
      </c>
    </row>
    <row r="5" customFormat="false" ht="15" hidden="false" customHeight="false" outlineLevel="0" collapsed="false">
      <c r="A5" s="12" t="s">
        <v>303</v>
      </c>
      <c r="B5" s="12" t="s">
        <v>304</v>
      </c>
      <c r="C5" s="12" t="s">
        <v>311</v>
      </c>
      <c r="D5" s="12" t="s">
        <v>312</v>
      </c>
      <c r="E5" s="22" t="n">
        <v>48578.65</v>
      </c>
      <c r="F5" s="22" t="n">
        <v>50536.7</v>
      </c>
      <c r="G5" s="22" t="n">
        <v>48803.35</v>
      </c>
      <c r="H5" s="22" t="n">
        <v>50371.41</v>
      </c>
      <c r="I5" s="22" t="n">
        <v>52324.67</v>
      </c>
      <c r="J5" s="22" t="n">
        <v>52827.56</v>
      </c>
      <c r="K5" s="22" t="n">
        <v>51034.67</v>
      </c>
      <c r="L5" s="22" t="n">
        <v>51919.72</v>
      </c>
      <c r="M5" s="22" t="n">
        <v>50992.09</v>
      </c>
      <c r="N5" s="22" t="n">
        <v>52014.79</v>
      </c>
      <c r="O5" s="22" t="n">
        <v>51237.33</v>
      </c>
      <c r="P5" s="22" t="n">
        <v>52162.53</v>
      </c>
      <c r="Q5" s="22" t="n">
        <v>53775.71</v>
      </c>
      <c r="R5" s="22" t="n">
        <v>52985.83</v>
      </c>
      <c r="S5" s="22" t="n">
        <v>55470.69</v>
      </c>
      <c r="T5" s="22" t="n">
        <v>54447.96</v>
      </c>
      <c r="U5" s="22" t="n">
        <v>57931.81</v>
      </c>
      <c r="V5" s="17" t="n">
        <f aca="false">(U5/E5-1)*100</f>
        <v>19.2536433186184</v>
      </c>
      <c r="W5" s="17" t="n">
        <f aca="false">(U5/U$2-1)*100</f>
        <v>96.1113747814</v>
      </c>
    </row>
    <row r="6" customFormat="false" ht="15" hidden="false" customHeight="false" outlineLevel="0" collapsed="false">
      <c r="A6" s="12" t="s">
        <v>303</v>
      </c>
      <c r="B6" s="12" t="s">
        <v>304</v>
      </c>
      <c r="C6" s="12" t="s">
        <v>313</v>
      </c>
      <c r="D6" s="12" t="s">
        <v>314</v>
      </c>
      <c r="E6" s="22" t="n">
        <v>22590.49</v>
      </c>
      <c r="F6" s="22" t="n">
        <v>23617.24</v>
      </c>
      <c r="G6" s="22" t="n">
        <v>24972.27</v>
      </c>
      <c r="H6" s="22" t="n">
        <v>25570.26</v>
      </c>
      <c r="I6" s="22" t="n">
        <v>25188.51</v>
      </c>
      <c r="J6" s="22" t="n">
        <v>25291.38</v>
      </c>
      <c r="K6" s="22" t="n">
        <v>25959.23</v>
      </c>
      <c r="L6" s="22" t="n">
        <v>26340.27</v>
      </c>
      <c r="M6" s="22" t="n">
        <v>26319.91</v>
      </c>
      <c r="N6" s="22" t="n">
        <v>26937.32</v>
      </c>
      <c r="O6" s="22" t="n">
        <v>27289.63</v>
      </c>
      <c r="P6" s="22" t="n">
        <v>27486.42</v>
      </c>
      <c r="Q6" s="22" t="n">
        <v>27854.25</v>
      </c>
      <c r="R6" s="22" t="n">
        <v>29277.93</v>
      </c>
      <c r="S6" s="22" t="n">
        <v>30444.93</v>
      </c>
      <c r="T6" s="22" t="n">
        <v>30957.29</v>
      </c>
      <c r="U6" s="22" t="n">
        <v>32362.61</v>
      </c>
      <c r="V6" s="17" t="n">
        <f aca="false">(U6/E6-1)*100</f>
        <v>43.2576717016762</v>
      </c>
      <c r="W6" s="17" t="n">
        <f aca="false">(U6/U$2-1)*100</f>
        <v>9.55424901473447</v>
      </c>
    </row>
    <row r="7" customFormat="false" ht="15" hidden="false" customHeight="false" outlineLevel="0" collapsed="false">
      <c r="A7" s="12" t="s">
        <v>303</v>
      </c>
      <c r="B7" s="12" t="s">
        <v>304</v>
      </c>
      <c r="C7" s="12" t="s">
        <v>315</v>
      </c>
      <c r="D7" s="12" t="s">
        <v>316</v>
      </c>
      <c r="E7" s="22" t="n">
        <v>20706.74</v>
      </c>
      <c r="F7" s="22" t="n">
        <v>21774.7</v>
      </c>
      <c r="G7" s="22" t="n">
        <v>21962.13</v>
      </c>
      <c r="H7" s="22" t="n">
        <v>22541</v>
      </c>
      <c r="I7" s="22" t="n">
        <v>22686.24</v>
      </c>
      <c r="J7" s="22" t="n">
        <v>22720.53</v>
      </c>
      <c r="K7" s="22" t="n">
        <v>22608.41</v>
      </c>
      <c r="L7" s="22" t="n">
        <v>22660.82</v>
      </c>
      <c r="M7" s="22" t="n">
        <v>22163.46</v>
      </c>
      <c r="N7" s="22" t="n">
        <v>22607.96</v>
      </c>
      <c r="O7" s="22" t="n">
        <v>22971.05</v>
      </c>
      <c r="P7" s="22" t="n">
        <v>22789.3</v>
      </c>
      <c r="Q7" s="22" t="n">
        <v>23104.64</v>
      </c>
      <c r="R7" s="22" t="n">
        <v>24136.94</v>
      </c>
      <c r="S7" s="22" t="n">
        <v>25149.41</v>
      </c>
      <c r="T7" s="22" t="n">
        <v>25469.87</v>
      </c>
      <c r="U7" s="22" t="n">
        <v>26965.09</v>
      </c>
      <c r="V7" s="17" t="n">
        <f aca="false">(U7/E7-1)*100</f>
        <v>30.2237339146577</v>
      </c>
      <c r="W7" s="17" t="n">
        <f aca="false">(U7/U$2-1)*100</f>
        <v>-8.71749266932653</v>
      </c>
    </row>
    <row r="8" customFormat="false" ht="15" hidden="false" customHeight="false" outlineLevel="0" collapsed="false">
      <c r="A8" s="12" t="s">
        <v>303</v>
      </c>
      <c r="B8" s="12" t="s">
        <v>304</v>
      </c>
      <c r="C8" s="12" t="s">
        <v>317</v>
      </c>
      <c r="D8" s="12" t="s">
        <v>318</v>
      </c>
      <c r="E8" s="22" t="n">
        <v>18545.85</v>
      </c>
      <c r="F8" s="22" t="n">
        <v>19498.77</v>
      </c>
      <c r="G8" s="22" t="n">
        <v>19008.19</v>
      </c>
      <c r="H8" s="22" t="n">
        <v>19444.62</v>
      </c>
      <c r="I8" s="22" t="n">
        <v>19473.68</v>
      </c>
      <c r="J8" s="22" t="n">
        <v>19069.16</v>
      </c>
      <c r="K8" s="22" t="n">
        <v>19771.86</v>
      </c>
      <c r="L8" s="22" t="n">
        <v>19651.05</v>
      </c>
      <c r="M8" s="22" t="n">
        <v>19781.4</v>
      </c>
      <c r="N8" s="22" t="n">
        <v>20608.77</v>
      </c>
      <c r="O8" s="22" t="n">
        <v>21006.17</v>
      </c>
      <c r="P8" s="22" t="n">
        <v>21120.76</v>
      </c>
      <c r="Q8" s="22" t="n">
        <v>21393.49</v>
      </c>
      <c r="R8" s="22" t="n">
        <v>22215.28</v>
      </c>
      <c r="S8" s="22" t="n">
        <v>23209.55</v>
      </c>
      <c r="T8" s="22" t="n">
        <v>24137.4</v>
      </c>
      <c r="U8" s="22" t="n">
        <v>25778.97</v>
      </c>
      <c r="V8" s="17" t="n">
        <f aca="false">(U8/E8-1)*100</f>
        <v>39.0012860019897</v>
      </c>
      <c r="W8" s="17" t="n">
        <f aca="false">(U8/U$2-1)*100</f>
        <v>-12.7327586148531</v>
      </c>
    </row>
    <row r="9" customFormat="false" ht="15" hidden="false" customHeight="false" outlineLevel="0" collapsed="false">
      <c r="A9" s="12" t="s">
        <v>303</v>
      </c>
      <c r="B9" s="12" t="s">
        <v>304</v>
      </c>
      <c r="C9" s="12" t="s">
        <v>319</v>
      </c>
      <c r="D9" s="12" t="s">
        <v>320</v>
      </c>
      <c r="E9" s="22" t="n">
        <v>21823.95</v>
      </c>
      <c r="F9" s="22" t="n">
        <v>22196.86</v>
      </c>
      <c r="G9" s="22" t="n">
        <v>22990.76</v>
      </c>
      <c r="H9" s="22" t="n">
        <v>23346.59</v>
      </c>
      <c r="I9" s="22" t="n">
        <v>23454.25</v>
      </c>
      <c r="J9" s="22" t="n">
        <v>23525.42</v>
      </c>
      <c r="K9" s="22" t="n">
        <v>23604.85</v>
      </c>
      <c r="L9" s="22" t="n">
        <v>23937.81</v>
      </c>
      <c r="M9" s="22" t="n">
        <v>23611.32</v>
      </c>
      <c r="N9" s="22" t="n">
        <v>24079.84</v>
      </c>
      <c r="O9" s="22" t="n">
        <v>24653.86</v>
      </c>
      <c r="P9" s="22" t="n">
        <v>24368.8</v>
      </c>
      <c r="Q9" s="22" t="n">
        <v>25033.4</v>
      </c>
      <c r="R9" s="22" t="n">
        <v>25545.48</v>
      </c>
      <c r="S9" s="22" t="n">
        <v>27354.39</v>
      </c>
      <c r="T9" s="22" t="n">
        <v>27687.67</v>
      </c>
      <c r="U9" s="22" t="n">
        <v>28910.3</v>
      </c>
      <c r="V9" s="17" t="n">
        <f aca="false">(U9/E9-1)*100</f>
        <v>32.4705197730017</v>
      </c>
      <c r="W9" s="17" t="n">
        <f aca="false">(U9/U$2-1)*100</f>
        <v>-2.13254724230593</v>
      </c>
    </row>
    <row r="10" customFormat="false" ht="15" hidden="false" customHeight="false" outlineLevel="0" collapsed="false">
      <c r="A10" s="12" t="s">
        <v>303</v>
      </c>
      <c r="B10" s="12" t="s">
        <v>304</v>
      </c>
      <c r="C10" s="12" t="s">
        <v>321</v>
      </c>
      <c r="D10" s="12" t="s">
        <v>322</v>
      </c>
      <c r="E10" s="22" t="n">
        <v>13957.49</v>
      </c>
      <c r="F10" s="22" t="n">
        <v>13996.7</v>
      </c>
      <c r="G10" s="22" t="n">
        <v>14629.55</v>
      </c>
      <c r="H10" s="22" t="n">
        <v>14234.54</v>
      </c>
      <c r="I10" s="22" t="n">
        <v>13867.02</v>
      </c>
      <c r="J10" s="22" t="n">
        <v>13851.08</v>
      </c>
      <c r="K10" s="22" t="n">
        <v>13636.04</v>
      </c>
      <c r="L10" s="22" t="n">
        <v>13977.06</v>
      </c>
      <c r="M10" s="22" t="n">
        <v>14125.34</v>
      </c>
      <c r="N10" s="22" t="n">
        <v>14540.14</v>
      </c>
      <c r="O10" s="22" t="n">
        <v>14345.3</v>
      </c>
      <c r="P10" s="22" t="n">
        <v>14561.75</v>
      </c>
      <c r="Q10" s="22" t="n">
        <v>14136.95</v>
      </c>
      <c r="R10" s="22" t="n">
        <v>14632.81</v>
      </c>
      <c r="S10" s="22" t="n">
        <v>16274.71</v>
      </c>
      <c r="T10" s="22" t="n">
        <v>16985.78</v>
      </c>
      <c r="U10" s="22" t="n">
        <v>17653.42</v>
      </c>
      <c r="V10" s="17" t="n">
        <f aca="false">(U10/E10-1)*100</f>
        <v>26.4799043381009</v>
      </c>
      <c r="W10" s="17" t="n">
        <f aca="false">(U10/U$2-1)*100</f>
        <v>-40.2394562539395</v>
      </c>
    </row>
    <row r="11" customFormat="false" ht="15" hidden="false" customHeight="false" outlineLevel="0" collapsed="false">
      <c r="A11" s="12" t="s">
        <v>303</v>
      </c>
      <c r="B11" s="12" t="s">
        <v>304</v>
      </c>
      <c r="C11" s="12" t="s">
        <v>323</v>
      </c>
      <c r="D11" s="12" t="s">
        <v>324</v>
      </c>
      <c r="E11" s="22" t="n">
        <v>30628.48</v>
      </c>
      <c r="F11" s="22" t="n">
        <v>31551.65</v>
      </c>
      <c r="G11" s="22" t="n">
        <v>32425.68</v>
      </c>
      <c r="H11" s="22" t="n">
        <v>32491.04</v>
      </c>
      <c r="I11" s="22" t="n">
        <v>32522.11</v>
      </c>
      <c r="J11" s="22" t="n">
        <v>33137.17</v>
      </c>
      <c r="K11" s="22" t="n">
        <v>32754.21</v>
      </c>
      <c r="L11" s="22" t="n">
        <v>33046.23</v>
      </c>
      <c r="M11" s="22" t="n">
        <v>32448.31</v>
      </c>
      <c r="N11" s="22" t="n">
        <v>33664.26</v>
      </c>
      <c r="O11" s="22" t="n">
        <v>33117.64</v>
      </c>
      <c r="P11" s="22" t="n">
        <v>34641.28</v>
      </c>
      <c r="Q11" s="22" t="n">
        <v>35663.8</v>
      </c>
      <c r="R11" s="22" t="n">
        <v>36630.48</v>
      </c>
      <c r="S11" s="22" t="n">
        <v>37438.55</v>
      </c>
      <c r="T11" s="22" t="n">
        <v>39674.43</v>
      </c>
      <c r="U11" s="22" t="n">
        <v>42741.94</v>
      </c>
      <c r="V11" s="17" t="n">
        <f aca="false">(U11/E11-1)*100</f>
        <v>39.5496609691372</v>
      </c>
      <c r="W11" s="17" t="n">
        <f aca="false">(U11/U$2-1)*100</f>
        <v>44.690466502326</v>
      </c>
    </row>
    <row r="12" customFormat="false" ht="15" hidden="false" customHeight="false" outlineLevel="0" collapsed="false">
      <c r="A12" s="12" t="s">
        <v>303</v>
      </c>
      <c r="B12" s="12" t="s">
        <v>304</v>
      </c>
      <c r="C12" s="12" t="s">
        <v>325</v>
      </c>
      <c r="D12" s="12" t="s">
        <v>326</v>
      </c>
      <c r="E12" s="22" t="n">
        <v>41619.07</v>
      </c>
      <c r="F12" s="22" t="n">
        <v>41863.11</v>
      </c>
      <c r="G12" s="22" t="n">
        <v>41638.7</v>
      </c>
      <c r="H12" s="22" t="n">
        <v>41124.22</v>
      </c>
      <c r="I12" s="22" t="n">
        <v>41905.6</v>
      </c>
      <c r="J12" s="22" t="n">
        <v>39607.49</v>
      </c>
      <c r="K12" s="22" t="n">
        <v>40696.06</v>
      </c>
      <c r="L12" s="22" t="n">
        <v>41547.07</v>
      </c>
      <c r="M12" s="22" t="n">
        <v>42684.65</v>
      </c>
      <c r="N12" s="22" t="n">
        <v>43773.58</v>
      </c>
      <c r="O12" s="22" t="n">
        <v>45034.53</v>
      </c>
      <c r="P12" s="22" t="n">
        <v>44302.71</v>
      </c>
      <c r="Q12" s="22" t="n">
        <v>45921.78</v>
      </c>
      <c r="R12" s="22" t="n">
        <v>46122.24</v>
      </c>
      <c r="S12" s="22" t="n">
        <v>47239.53</v>
      </c>
      <c r="T12" s="22" t="n">
        <v>48922.8</v>
      </c>
      <c r="U12" s="22" t="n">
        <v>51862.9</v>
      </c>
      <c r="V12" s="17" t="n">
        <f aca="false">(U12/E12-1)*100</f>
        <v>24.6133082743079</v>
      </c>
      <c r="W12" s="17" t="n">
        <f aca="false">(U12/U$2-1)*100</f>
        <v>75.5668365816686</v>
      </c>
    </row>
    <row r="13" customFormat="false" ht="15" hidden="false" customHeight="false" outlineLevel="0" collapsed="false">
      <c r="A13" s="12" t="s">
        <v>303</v>
      </c>
      <c r="B13" s="12" t="s">
        <v>304</v>
      </c>
      <c r="C13" s="12" t="s">
        <v>327</v>
      </c>
      <c r="D13" s="12" t="s">
        <v>328</v>
      </c>
      <c r="E13" s="22" t="n">
        <v>19533.83</v>
      </c>
      <c r="F13" s="22" t="n">
        <v>19770.52</v>
      </c>
      <c r="G13" s="22" t="n">
        <v>19879.3</v>
      </c>
      <c r="H13" s="22" t="n">
        <v>20349.1</v>
      </c>
      <c r="I13" s="22" t="n">
        <v>19806.64</v>
      </c>
      <c r="J13" s="22" t="n">
        <v>19156</v>
      </c>
      <c r="K13" s="22" t="n">
        <v>20619.89</v>
      </c>
      <c r="L13" s="22" t="n">
        <v>20540.02</v>
      </c>
      <c r="M13" s="22" t="n">
        <v>20899.35</v>
      </c>
      <c r="N13" s="22" t="n">
        <v>21299.08</v>
      </c>
      <c r="O13" s="22" t="n">
        <v>21249.15</v>
      </c>
      <c r="P13" s="22" t="n">
        <v>23333.16</v>
      </c>
      <c r="Q13" s="22" t="n">
        <v>23354.7</v>
      </c>
      <c r="R13" s="22" t="n">
        <v>24835.23</v>
      </c>
      <c r="S13" s="22" t="n">
        <v>26172.9</v>
      </c>
      <c r="T13" s="22" t="n">
        <v>27443.78</v>
      </c>
      <c r="U13" s="22" t="n">
        <v>28854.03</v>
      </c>
      <c r="V13" s="17" t="n">
        <f aca="false">(U13/E13-1)*100</f>
        <v>47.7131212875304</v>
      </c>
      <c r="W13" s="17" t="n">
        <f aca="false">(U13/U$2-1)*100</f>
        <v>-2.32303304033208</v>
      </c>
    </row>
    <row r="14" customFormat="false" ht="15" hidden="false" customHeight="false" outlineLevel="0" collapsed="false">
      <c r="A14" s="12" t="s">
        <v>303</v>
      </c>
      <c r="B14" s="12" t="s">
        <v>304</v>
      </c>
      <c r="C14" s="12" t="s">
        <v>329</v>
      </c>
      <c r="D14" s="12" t="s">
        <v>330</v>
      </c>
      <c r="E14" s="22" t="n">
        <v>24733.75</v>
      </c>
      <c r="F14" s="22" t="n">
        <v>25516.94</v>
      </c>
      <c r="G14" s="22" t="n">
        <v>25531.08</v>
      </c>
      <c r="H14" s="22" t="n">
        <v>25350.42</v>
      </c>
      <c r="I14" s="22" t="n">
        <v>25098.86</v>
      </c>
      <c r="J14" s="22" t="n">
        <v>25472.07</v>
      </c>
      <c r="K14" s="22" t="n">
        <v>26275.51</v>
      </c>
      <c r="L14" s="22" t="n">
        <v>26347.37</v>
      </c>
      <c r="M14" s="22" t="n">
        <v>26520.32</v>
      </c>
      <c r="N14" s="22" t="n">
        <v>27450.26</v>
      </c>
      <c r="O14" s="22" t="n">
        <v>28058.48</v>
      </c>
      <c r="P14" s="22" t="n">
        <v>28150.21</v>
      </c>
      <c r="Q14" s="22" t="n">
        <v>28918.19</v>
      </c>
      <c r="R14" s="22" t="n">
        <v>29926.53</v>
      </c>
      <c r="S14" s="22" t="n">
        <v>30947.87</v>
      </c>
      <c r="T14" s="22" t="n">
        <v>32547.76</v>
      </c>
      <c r="U14" s="22" t="n">
        <v>35165.11</v>
      </c>
      <c r="V14" s="17" t="n">
        <f aca="false">(U14/E14-1)*100</f>
        <v>42.17459948451</v>
      </c>
      <c r="W14" s="17" t="n">
        <f aca="false">(U14/U$2-1)*100</f>
        <v>19.0413015999182</v>
      </c>
    </row>
    <row r="15" customFormat="false" ht="15" hidden="false" customHeight="false" outlineLevel="0" collapsed="false">
      <c r="A15" s="12" t="s">
        <v>303</v>
      </c>
      <c r="B15" s="12" t="s">
        <v>304</v>
      </c>
      <c r="C15" s="12" t="s">
        <v>331</v>
      </c>
      <c r="D15" s="12" t="s">
        <v>332</v>
      </c>
      <c r="E15" s="22" t="n">
        <v>15818.18</v>
      </c>
      <c r="F15" s="22" t="n">
        <v>15855.38</v>
      </c>
      <c r="G15" s="22" t="n">
        <v>15682.32</v>
      </c>
      <c r="H15" s="22" t="n">
        <v>16199.14</v>
      </c>
      <c r="I15" s="22" t="n">
        <v>16130.55</v>
      </c>
      <c r="J15" s="22" t="n">
        <v>15809.74</v>
      </c>
      <c r="K15" s="22" t="n">
        <v>15766.08</v>
      </c>
      <c r="L15" s="22" t="n">
        <v>15948.63</v>
      </c>
      <c r="M15" s="22" t="n">
        <v>16139.11</v>
      </c>
      <c r="N15" s="22" t="n">
        <v>16519.76</v>
      </c>
      <c r="O15" s="22" t="n">
        <v>17176.75</v>
      </c>
      <c r="P15" s="22" t="n">
        <v>17107.54</v>
      </c>
      <c r="Q15" s="22" t="n">
        <v>17808.53</v>
      </c>
      <c r="R15" s="22" t="n">
        <v>18118.66</v>
      </c>
      <c r="S15" s="22" t="n">
        <v>18995.66</v>
      </c>
      <c r="T15" s="22" t="n">
        <v>19891.91</v>
      </c>
      <c r="U15" s="22" t="n">
        <v>21096.87</v>
      </c>
      <c r="V15" s="17" t="n">
        <f aca="false">(U15/E15-1)*100</f>
        <v>33.3710325713831</v>
      </c>
      <c r="W15" s="17" t="n">
        <f aca="false">(U15/U$2-1)*100</f>
        <v>-28.5826529624316</v>
      </c>
    </row>
    <row r="16" customFormat="false" ht="15" hidden="false" customHeight="false" outlineLevel="0" collapsed="false">
      <c r="A16" s="12" t="s">
        <v>303</v>
      </c>
      <c r="B16" s="12" t="s">
        <v>304</v>
      </c>
      <c r="C16" s="12" t="s">
        <v>333</v>
      </c>
      <c r="D16" s="12" t="s">
        <v>334</v>
      </c>
      <c r="E16" s="22" t="n">
        <v>26927.57</v>
      </c>
      <c r="F16" s="22" t="n">
        <v>27590.9</v>
      </c>
      <c r="G16" s="22" t="n">
        <v>28001.68</v>
      </c>
      <c r="H16" s="22" t="n">
        <v>27816.09</v>
      </c>
      <c r="I16" s="22" t="n">
        <v>26878.73</v>
      </c>
      <c r="J16" s="22" t="n">
        <v>27707.13</v>
      </c>
      <c r="K16" s="22" t="n">
        <v>27568.54</v>
      </c>
      <c r="L16" s="22" t="n">
        <v>28559.79</v>
      </c>
      <c r="M16" s="22" t="n">
        <v>29134.91</v>
      </c>
      <c r="N16" s="22" t="n">
        <v>29015.05</v>
      </c>
      <c r="O16" s="22" t="n">
        <v>29824.04</v>
      </c>
      <c r="P16" s="22" t="n">
        <v>31090.95</v>
      </c>
      <c r="Q16" s="22" t="n">
        <v>32581.96</v>
      </c>
      <c r="R16" s="22" t="n">
        <v>34010.01</v>
      </c>
      <c r="S16" s="22" t="n">
        <v>34036.02</v>
      </c>
      <c r="T16" s="22" t="n">
        <v>36383.99</v>
      </c>
      <c r="U16" s="22" t="n">
        <v>37517.88</v>
      </c>
      <c r="V16" s="17" t="n">
        <f aca="false">(U16/E16-1)*100</f>
        <v>39.328873715675</v>
      </c>
      <c r="W16" s="17" t="n">
        <f aca="false">(U16/U$2-1)*100</f>
        <v>27.0059234414321</v>
      </c>
    </row>
    <row r="17" customFormat="false" ht="15" hidden="false" customHeight="false" outlineLevel="0" collapsed="false">
      <c r="A17" s="12" t="s">
        <v>303</v>
      </c>
      <c r="B17" s="12" t="s">
        <v>304</v>
      </c>
      <c r="C17" s="12" t="s">
        <v>335</v>
      </c>
      <c r="D17" s="12" t="s">
        <v>336</v>
      </c>
      <c r="E17" s="22" t="n">
        <v>20883.28</v>
      </c>
      <c r="F17" s="22" t="n">
        <v>21703.1</v>
      </c>
      <c r="G17" s="22" t="n">
        <v>21751.87</v>
      </c>
      <c r="H17" s="22" t="n">
        <v>21564.58</v>
      </c>
      <c r="I17" s="22" t="n">
        <v>21596.16</v>
      </c>
      <c r="J17" s="22" t="n">
        <v>21946.95</v>
      </c>
      <c r="K17" s="22" t="n">
        <v>20925.83</v>
      </c>
      <c r="L17" s="22" t="n">
        <v>21667.33</v>
      </c>
      <c r="M17" s="22" t="n">
        <v>22289.73</v>
      </c>
      <c r="N17" s="22" t="n">
        <v>23559.77</v>
      </c>
      <c r="O17" s="22" t="n">
        <v>23679.17</v>
      </c>
      <c r="P17" s="22" t="n">
        <v>25913.06</v>
      </c>
      <c r="Q17" s="22" t="n">
        <v>27076.32</v>
      </c>
      <c r="R17" s="22" t="n">
        <v>28272.76</v>
      </c>
      <c r="S17" s="22" t="n">
        <v>29263.89</v>
      </c>
      <c r="T17" s="22" t="n">
        <v>30913.75</v>
      </c>
      <c r="U17" s="22" t="n">
        <v>32210.11</v>
      </c>
      <c r="V17" s="17" t="n">
        <f aca="false">(U17/E17-1)*100</f>
        <v>54.2387498515559</v>
      </c>
      <c r="W17" s="17" t="n">
        <f aca="false">(U17/U$2-1)*100</f>
        <v>9.03800440483598</v>
      </c>
    </row>
    <row r="18" customFormat="false" ht="15" hidden="false" customHeight="false" outlineLevel="0" collapsed="false">
      <c r="A18" s="12" t="s">
        <v>303</v>
      </c>
      <c r="B18" s="12" t="s">
        <v>304</v>
      </c>
      <c r="C18" s="12" t="s">
        <v>337</v>
      </c>
      <c r="D18" s="12" t="s">
        <v>338</v>
      </c>
      <c r="E18" s="22" t="n">
        <v>24837.68</v>
      </c>
      <c r="F18" s="22" t="n">
        <v>25622.97</v>
      </c>
      <c r="G18" s="22" t="n">
        <v>26331.24</v>
      </c>
      <c r="H18" s="22" t="n">
        <v>26058.28</v>
      </c>
      <c r="I18" s="22" t="n">
        <v>25103.59</v>
      </c>
      <c r="J18" s="22" t="n">
        <v>24804.42</v>
      </c>
      <c r="K18" s="22" t="n">
        <v>24826.42</v>
      </c>
      <c r="L18" s="22" t="n">
        <v>25823.88</v>
      </c>
      <c r="M18" s="22" t="n">
        <v>25955.32</v>
      </c>
      <c r="N18" s="22" t="n">
        <v>26076.47</v>
      </c>
      <c r="O18" s="22" t="n">
        <v>26851.1</v>
      </c>
      <c r="P18" s="22" t="n">
        <v>27557.2</v>
      </c>
      <c r="Q18" s="22" t="n">
        <v>28313.74</v>
      </c>
      <c r="R18" s="22" t="n">
        <v>28891.41</v>
      </c>
      <c r="S18" s="22" t="n">
        <v>30381.25</v>
      </c>
      <c r="T18" s="22" t="n">
        <v>31211.67</v>
      </c>
      <c r="U18" s="22" t="n">
        <v>32224.93</v>
      </c>
      <c r="V18" s="17" t="n">
        <f aca="false">(U18/E18-1)*100</f>
        <v>29.7421095690097</v>
      </c>
      <c r="W18" s="17" t="n">
        <f aca="false">(U18/U$2-1)*100</f>
        <v>9.08817322528646</v>
      </c>
    </row>
    <row r="19" customFormat="false" ht="15" hidden="false" customHeight="false" outlineLevel="0" collapsed="false">
      <c r="A19" s="12" t="s">
        <v>303</v>
      </c>
      <c r="B19" s="12" t="s">
        <v>304</v>
      </c>
      <c r="C19" s="12" t="s">
        <v>339</v>
      </c>
      <c r="D19" s="12" t="s">
        <v>340</v>
      </c>
      <c r="E19" s="22" t="n">
        <v>16763.31</v>
      </c>
      <c r="F19" s="22" t="n">
        <v>16857.96</v>
      </c>
      <c r="G19" s="22" t="n">
        <v>18044.67</v>
      </c>
      <c r="H19" s="22" t="n">
        <v>18106.28</v>
      </c>
      <c r="I19" s="22" t="n">
        <v>17222.25</v>
      </c>
      <c r="J19" s="22" t="n">
        <v>18101.83</v>
      </c>
      <c r="K19" s="22" t="n">
        <v>16912.45</v>
      </c>
      <c r="L19" s="22" t="n">
        <v>17375.02</v>
      </c>
      <c r="M19" s="22" t="n">
        <v>17525.18</v>
      </c>
      <c r="N19" s="22" t="n">
        <v>17703.25</v>
      </c>
      <c r="O19" s="22" t="n">
        <v>18517.55</v>
      </c>
      <c r="P19" s="22" t="n">
        <v>18088.1</v>
      </c>
      <c r="Q19" s="22" t="n">
        <v>18638.95</v>
      </c>
      <c r="R19" s="22" t="n">
        <v>18380.69</v>
      </c>
      <c r="S19" s="22" t="n">
        <v>19360.67</v>
      </c>
      <c r="T19" s="22" t="n">
        <v>20634.29</v>
      </c>
      <c r="U19" s="22" t="n">
        <v>20383.16</v>
      </c>
      <c r="V19" s="17" t="n">
        <f aca="false">(U19/E19-1)*100</f>
        <v>21.5938856944124</v>
      </c>
      <c r="W19" s="17" t="n">
        <f aca="false">(U19/U$2-1)*100</f>
        <v>-30.9987115888621</v>
      </c>
    </row>
    <row r="20" customFormat="false" ht="15" hidden="false" customHeight="false" outlineLevel="0" collapsed="false">
      <c r="A20" s="12" t="s">
        <v>303</v>
      </c>
      <c r="B20" s="12" t="s">
        <v>304</v>
      </c>
      <c r="C20" s="12" t="s">
        <v>341</v>
      </c>
      <c r="D20" s="12" t="s">
        <v>342</v>
      </c>
      <c r="E20" s="22" t="n">
        <v>15412.44</v>
      </c>
      <c r="F20" s="22" t="n">
        <v>15868.73</v>
      </c>
      <c r="G20" s="22" t="n">
        <v>16544.57</v>
      </c>
      <c r="H20" s="22" t="n">
        <v>17035.17</v>
      </c>
      <c r="I20" s="22" t="n">
        <v>16918.36</v>
      </c>
      <c r="J20" s="22" t="n">
        <v>16734.95</v>
      </c>
      <c r="K20" s="22" t="n">
        <v>16225.41</v>
      </c>
      <c r="L20" s="22" t="n">
        <v>16033.97</v>
      </c>
      <c r="M20" s="22" t="n">
        <v>15782.15</v>
      </c>
      <c r="N20" s="22" t="n">
        <v>16202.92</v>
      </c>
      <c r="O20" s="22" t="n">
        <v>16374.23</v>
      </c>
      <c r="P20" s="22" t="n">
        <v>17066.82</v>
      </c>
      <c r="Q20" s="22" t="n">
        <v>17468.15</v>
      </c>
      <c r="R20" s="22" t="n">
        <v>18220.77</v>
      </c>
      <c r="S20" s="22" t="n">
        <v>18269.96</v>
      </c>
      <c r="T20" s="22" t="n">
        <v>19751.59</v>
      </c>
      <c r="U20" s="22" t="n">
        <v>20951.43</v>
      </c>
      <c r="V20" s="17" t="n">
        <f aca="false">(U20/E20-1)*100</f>
        <v>35.9384367433061</v>
      </c>
      <c r="W20" s="17" t="n">
        <f aca="false">(U20/U$2-1)*100</f>
        <v>-29.0749979857997</v>
      </c>
    </row>
    <row r="21" customFormat="false" ht="15" hidden="false" customHeight="false" outlineLevel="0" collapsed="false">
      <c r="A21" s="12" t="s">
        <v>343</v>
      </c>
      <c r="B21" s="12" t="s">
        <v>344</v>
      </c>
      <c r="C21" s="12" t="s">
        <v>345</v>
      </c>
      <c r="D21" s="12" t="s">
        <v>346</v>
      </c>
      <c r="E21" s="22" t="n">
        <v>21883.42</v>
      </c>
      <c r="F21" s="22" t="n">
        <v>22511.47</v>
      </c>
      <c r="G21" s="22" t="n">
        <v>22790.2</v>
      </c>
      <c r="H21" s="22" t="n">
        <v>22899.35</v>
      </c>
      <c r="I21" s="22" t="n">
        <v>22726.44</v>
      </c>
      <c r="J21" s="22" t="n">
        <v>22697.86</v>
      </c>
      <c r="K21" s="22" t="n">
        <v>22858.17</v>
      </c>
      <c r="L21" s="22" t="n">
        <v>23106.3</v>
      </c>
      <c r="M21" s="22" t="n">
        <v>23156.34</v>
      </c>
      <c r="N21" s="22" t="n">
        <v>23646.5</v>
      </c>
      <c r="O21" s="22" t="n">
        <v>24009.12</v>
      </c>
      <c r="P21" s="22" t="n">
        <v>24395.98</v>
      </c>
      <c r="Q21" s="22" t="n">
        <v>25165.51</v>
      </c>
      <c r="R21" s="22" t="n">
        <v>25896.82</v>
      </c>
      <c r="S21" s="22" t="n">
        <v>26948.87</v>
      </c>
      <c r="T21" s="22" t="n">
        <v>28049.94</v>
      </c>
      <c r="U21" s="22" t="n">
        <v>29540.26</v>
      </c>
      <c r="V21" s="17" t="n">
        <f aca="false">(U21/E21-1)*100</f>
        <v>34.9892292886578</v>
      </c>
      <c r="W21" s="17" t="n">
        <f aca="false">(U21/U$21-1)*100</f>
        <v>0</v>
      </c>
    </row>
    <row r="22" customFormat="false" ht="15" hidden="false" customHeight="false" outlineLevel="0" collapsed="false">
      <c r="A22" s="12" t="s">
        <v>343</v>
      </c>
      <c r="B22" s="12" t="s">
        <v>344</v>
      </c>
      <c r="C22" s="12" t="s">
        <v>347</v>
      </c>
      <c r="D22" s="12" t="s">
        <v>348</v>
      </c>
      <c r="E22" s="22" t="n">
        <v>57259.16</v>
      </c>
      <c r="F22" s="22" t="n">
        <v>58895.19</v>
      </c>
      <c r="G22" s="22" t="n">
        <v>56602.81</v>
      </c>
      <c r="H22" s="22" t="n">
        <v>54396.44</v>
      </c>
      <c r="I22" s="22" t="n">
        <v>53165.69</v>
      </c>
      <c r="J22" s="22" t="n">
        <v>51594.26</v>
      </c>
      <c r="K22" s="22" t="n">
        <v>52512.99</v>
      </c>
      <c r="L22" s="22" t="n">
        <v>51645.86</v>
      </c>
      <c r="M22" s="22" t="n">
        <v>50530.8</v>
      </c>
      <c r="N22" s="22" t="n">
        <v>51010.54</v>
      </c>
      <c r="O22" s="22" t="n">
        <v>54341.32</v>
      </c>
      <c r="P22" s="22" t="n">
        <v>56634.74</v>
      </c>
      <c r="Q22" s="22" t="n">
        <v>58023.75</v>
      </c>
      <c r="R22" s="22" t="n">
        <v>59219.83</v>
      </c>
      <c r="S22" s="22" t="n">
        <v>59478.63</v>
      </c>
      <c r="T22" s="22" t="n">
        <v>60985.96</v>
      </c>
      <c r="U22" s="22" t="n">
        <v>63865.45</v>
      </c>
      <c r="V22" s="17" t="n">
        <f aca="false">(U22/E22-1)*100</f>
        <v>11.5375251750113</v>
      </c>
      <c r="W22" s="17" t="n">
        <f aca="false">(U22/U$21-1)*100</f>
        <v>116.197995549125</v>
      </c>
    </row>
    <row r="23" customFormat="false" ht="15" hidden="false" customHeight="false" outlineLevel="0" collapsed="false">
      <c r="A23" s="12" t="s">
        <v>343</v>
      </c>
      <c r="B23" s="12" t="s">
        <v>344</v>
      </c>
      <c r="C23" s="12" t="s">
        <v>349</v>
      </c>
      <c r="D23" s="12" t="s">
        <v>350</v>
      </c>
      <c r="E23" s="22" t="n">
        <v>29319.57</v>
      </c>
      <c r="F23" s="22" t="n">
        <v>30536.16</v>
      </c>
      <c r="G23" s="22" t="n">
        <v>31054.93</v>
      </c>
      <c r="H23" s="22" t="n">
        <v>30087.55</v>
      </c>
      <c r="I23" s="22" t="n">
        <v>29460.87</v>
      </c>
      <c r="J23" s="22" t="n">
        <v>29807.74</v>
      </c>
      <c r="K23" s="22" t="n">
        <v>28838.91</v>
      </c>
      <c r="L23" s="22" t="n">
        <v>29669.62</v>
      </c>
      <c r="M23" s="22" t="n">
        <v>30653.34</v>
      </c>
      <c r="N23" s="22" t="n">
        <v>31627.9</v>
      </c>
      <c r="O23" s="22" t="n">
        <v>31607.73</v>
      </c>
      <c r="P23" s="22" t="n">
        <v>33199.26</v>
      </c>
      <c r="Q23" s="22" t="n">
        <v>34809.61</v>
      </c>
      <c r="R23" s="22" t="n">
        <v>36101.1</v>
      </c>
      <c r="S23" s="22" t="n">
        <v>37456.34</v>
      </c>
      <c r="T23" s="22" t="n">
        <v>38857.91</v>
      </c>
      <c r="U23" s="22" t="n">
        <v>40554.53</v>
      </c>
      <c r="V23" s="17" t="n">
        <f aca="false">(U23/E23-1)*100</f>
        <v>38.3189794393301</v>
      </c>
      <c r="W23" s="17" t="n">
        <f aca="false">(U23/U$21-1)*100</f>
        <v>37.2856230784699</v>
      </c>
    </row>
    <row r="24" customFormat="false" ht="15" hidden="false" customHeight="false" outlineLevel="0" collapsed="false">
      <c r="A24" s="12" t="s">
        <v>343</v>
      </c>
      <c r="B24" s="12" t="s">
        <v>344</v>
      </c>
      <c r="C24" s="12" t="s">
        <v>351</v>
      </c>
      <c r="D24" s="12" t="s">
        <v>352</v>
      </c>
      <c r="E24" s="22" t="n">
        <v>34027.21</v>
      </c>
      <c r="F24" s="22" t="n">
        <v>35991.91</v>
      </c>
      <c r="G24" s="22" t="n">
        <v>35196.58</v>
      </c>
      <c r="H24" s="22" t="n">
        <v>34368.77</v>
      </c>
      <c r="I24" s="22" t="n">
        <v>34975.77</v>
      </c>
      <c r="J24" s="22" t="n">
        <v>35885.97</v>
      </c>
      <c r="K24" s="22" t="n">
        <v>37100.54</v>
      </c>
      <c r="L24" s="22" t="n">
        <v>36287.87</v>
      </c>
      <c r="M24" s="22" t="n">
        <v>37049.91</v>
      </c>
      <c r="N24" s="22" t="n">
        <v>36181.36</v>
      </c>
      <c r="O24" s="22" t="n">
        <v>37908.75</v>
      </c>
      <c r="P24" s="22" t="n">
        <v>37244.45</v>
      </c>
      <c r="Q24" s="22" t="n">
        <v>38523.51</v>
      </c>
      <c r="R24" s="22" t="n">
        <v>39871.28</v>
      </c>
      <c r="S24" s="22" t="n">
        <v>41382.28</v>
      </c>
      <c r="T24" s="22" t="n">
        <v>42996.72</v>
      </c>
      <c r="U24" s="22" t="n">
        <v>45513.91</v>
      </c>
      <c r="V24" s="17" t="n">
        <f aca="false">(U24/E24-1)*100</f>
        <v>33.7573959193246</v>
      </c>
      <c r="W24" s="17" t="n">
        <f aca="false">(U24/U$21-1)*100</f>
        <v>54.0741686092133</v>
      </c>
    </row>
    <row r="25" customFormat="false" ht="15" hidden="false" customHeight="false" outlineLevel="0" collapsed="false">
      <c r="A25" s="12" t="s">
        <v>343</v>
      </c>
      <c r="B25" s="12" t="s">
        <v>344</v>
      </c>
      <c r="C25" s="12" t="s">
        <v>353</v>
      </c>
      <c r="D25" s="12" t="s">
        <v>354</v>
      </c>
      <c r="E25" s="22" t="n">
        <v>27771.52</v>
      </c>
      <c r="F25" s="22" t="n">
        <v>28684.28</v>
      </c>
      <c r="G25" s="22" t="n">
        <v>27914</v>
      </c>
      <c r="H25" s="22" t="n">
        <v>28176.89</v>
      </c>
      <c r="I25" s="22" t="n">
        <v>28360.42</v>
      </c>
      <c r="J25" s="22" t="n">
        <v>28501.99</v>
      </c>
      <c r="K25" s="22" t="n">
        <v>28232.05</v>
      </c>
      <c r="L25" s="22" t="n">
        <v>28943.22</v>
      </c>
      <c r="M25" s="22" t="n">
        <v>28585.99</v>
      </c>
      <c r="N25" s="22" t="n">
        <v>29238.49</v>
      </c>
      <c r="O25" s="22" t="n">
        <v>29261.35</v>
      </c>
      <c r="P25" s="22" t="n">
        <v>29247.01</v>
      </c>
      <c r="Q25" s="22" t="n">
        <v>30067.52</v>
      </c>
      <c r="R25" s="22" t="n">
        <v>31321.69</v>
      </c>
      <c r="S25" s="22" t="n">
        <v>31899.95</v>
      </c>
      <c r="T25" s="22" t="n">
        <v>33242.65</v>
      </c>
      <c r="U25" s="22" t="n">
        <v>34917.46</v>
      </c>
      <c r="V25" s="17" t="n">
        <f aca="false">(U25/E25-1)*100</f>
        <v>25.7311807203927</v>
      </c>
      <c r="W25" s="17" t="n">
        <f aca="false">(U25/U$21-1)*100</f>
        <v>18.2029542055486</v>
      </c>
    </row>
    <row r="26" customFormat="false" ht="15" hidden="false" customHeight="false" outlineLevel="0" collapsed="false">
      <c r="A26" s="12" t="s">
        <v>343</v>
      </c>
      <c r="B26" s="12" t="s">
        <v>344</v>
      </c>
      <c r="C26" s="12" t="s">
        <v>355</v>
      </c>
      <c r="D26" s="12" t="s">
        <v>356</v>
      </c>
      <c r="E26" s="22" t="n">
        <v>20793.7</v>
      </c>
      <c r="F26" s="22" t="n">
        <v>21312.78</v>
      </c>
      <c r="G26" s="22" t="n">
        <v>21245.68</v>
      </c>
      <c r="H26" s="22" t="n">
        <v>21646.35</v>
      </c>
      <c r="I26" s="22" t="n">
        <v>21228.39</v>
      </c>
      <c r="J26" s="22" t="n">
        <v>20983.35</v>
      </c>
      <c r="K26" s="22" t="n">
        <v>20852.87</v>
      </c>
      <c r="L26" s="22" t="n">
        <v>21331.32</v>
      </c>
      <c r="M26" s="22" t="n">
        <v>21517.9</v>
      </c>
      <c r="N26" s="22" t="n">
        <v>22487.64</v>
      </c>
      <c r="O26" s="22" t="n">
        <v>24266.55</v>
      </c>
      <c r="P26" s="22" t="n">
        <v>22354.77</v>
      </c>
      <c r="Q26" s="22" t="n">
        <v>23632.89</v>
      </c>
      <c r="R26" s="22" t="n">
        <v>24680.03</v>
      </c>
      <c r="S26" s="22" t="n">
        <v>27402.9</v>
      </c>
      <c r="T26" s="22" t="n">
        <v>28148.26</v>
      </c>
      <c r="U26" s="22" t="n">
        <v>29918.88</v>
      </c>
      <c r="V26" s="17" t="n">
        <f aca="false">(U26/E26-1)*100</f>
        <v>43.8843495866537</v>
      </c>
      <c r="W26" s="17" t="n">
        <f aca="false">(U26/U$21-1)*100</f>
        <v>1.28170842098208</v>
      </c>
    </row>
    <row r="27" customFormat="false" ht="15" hidden="false" customHeight="false" outlineLevel="0" collapsed="false">
      <c r="A27" s="12" t="s">
        <v>343</v>
      </c>
      <c r="B27" s="12" t="s">
        <v>344</v>
      </c>
      <c r="C27" s="12" t="s">
        <v>357</v>
      </c>
      <c r="D27" s="12" t="s">
        <v>358</v>
      </c>
      <c r="E27" s="22" t="n">
        <v>16842.67</v>
      </c>
      <c r="F27" s="22" t="n">
        <v>17190.06</v>
      </c>
      <c r="G27" s="22" t="n">
        <v>17876.82</v>
      </c>
      <c r="H27" s="22" t="n">
        <v>18013.83</v>
      </c>
      <c r="I27" s="22" t="n">
        <v>17751.84</v>
      </c>
      <c r="J27" s="22" t="n">
        <v>17864.17</v>
      </c>
      <c r="K27" s="22" t="n">
        <v>18642.82</v>
      </c>
      <c r="L27" s="22" t="n">
        <v>18390.82</v>
      </c>
      <c r="M27" s="22" t="n">
        <v>18163.65</v>
      </c>
      <c r="N27" s="22" t="n">
        <v>18367.51</v>
      </c>
      <c r="O27" s="22" t="n">
        <v>19257.04</v>
      </c>
      <c r="P27" s="22" t="n">
        <v>19969.91</v>
      </c>
      <c r="Q27" s="22" t="n">
        <v>19842.16</v>
      </c>
      <c r="R27" s="22" t="n">
        <v>20237.83</v>
      </c>
      <c r="S27" s="22" t="n">
        <v>21462.56</v>
      </c>
      <c r="T27" s="22" t="n">
        <v>22263.18</v>
      </c>
      <c r="U27" s="22" t="n">
        <v>23138.15</v>
      </c>
      <c r="V27" s="17" t="n">
        <f aca="false">(U27/E27-1)*100</f>
        <v>37.3781591636006</v>
      </c>
      <c r="W27" s="17" t="n">
        <f aca="false">(U27/U$21-1)*100</f>
        <v>-21.6724903572277</v>
      </c>
    </row>
    <row r="28" customFormat="false" ht="15" hidden="false" customHeight="false" outlineLevel="0" collapsed="false">
      <c r="A28" s="12" t="s">
        <v>343</v>
      </c>
      <c r="B28" s="12" t="s">
        <v>344</v>
      </c>
      <c r="C28" s="12" t="s">
        <v>359</v>
      </c>
      <c r="D28" s="12" t="s">
        <v>360</v>
      </c>
      <c r="E28" s="22" t="n">
        <v>14325.12</v>
      </c>
      <c r="F28" s="22" t="n">
        <v>14651.05</v>
      </c>
      <c r="G28" s="22" t="n">
        <v>14740.52</v>
      </c>
      <c r="H28" s="22" t="n">
        <v>14562.06</v>
      </c>
      <c r="I28" s="22" t="n">
        <v>14442.36</v>
      </c>
      <c r="J28" s="22" t="n">
        <v>14642.94</v>
      </c>
      <c r="K28" s="22" t="n">
        <v>14501.66</v>
      </c>
      <c r="L28" s="22" t="n">
        <v>14698.91</v>
      </c>
      <c r="M28" s="22" t="n">
        <v>14617.52</v>
      </c>
      <c r="N28" s="22" t="n">
        <v>15173.65</v>
      </c>
      <c r="O28" s="22" t="n">
        <v>15702.34</v>
      </c>
      <c r="P28" s="22" t="n">
        <v>16142.16</v>
      </c>
      <c r="Q28" s="22" t="n">
        <v>16004.18</v>
      </c>
      <c r="R28" s="22" t="n">
        <v>16310.91</v>
      </c>
      <c r="S28" s="22" t="n">
        <v>17168.88</v>
      </c>
      <c r="T28" s="22" t="n">
        <v>18028.33</v>
      </c>
      <c r="U28" s="22" t="n">
        <v>18918.65</v>
      </c>
      <c r="V28" s="17" t="n">
        <f aca="false">(U28/E28-1)*100</f>
        <v>32.0662584327391</v>
      </c>
      <c r="W28" s="17" t="n">
        <f aca="false">(U28/U$21-1)*100</f>
        <v>-35.9563863012716</v>
      </c>
    </row>
    <row r="29" customFormat="false" ht="15" hidden="false" customHeight="false" outlineLevel="0" collapsed="false">
      <c r="A29" s="12" t="s">
        <v>343</v>
      </c>
      <c r="B29" s="12" t="s">
        <v>344</v>
      </c>
      <c r="C29" s="12" t="s">
        <v>361</v>
      </c>
      <c r="D29" s="12" t="s">
        <v>362</v>
      </c>
      <c r="E29" s="22" t="n">
        <v>15395.96</v>
      </c>
      <c r="F29" s="22" t="n">
        <v>15404.27</v>
      </c>
      <c r="G29" s="22" t="n">
        <v>15864.62</v>
      </c>
      <c r="H29" s="22" t="n">
        <v>15767.31</v>
      </c>
      <c r="I29" s="22" t="n">
        <v>15169.7</v>
      </c>
      <c r="J29" s="22" t="n">
        <v>15240.88</v>
      </c>
      <c r="K29" s="22" t="n">
        <v>14971.15</v>
      </c>
      <c r="L29" s="22" t="n">
        <v>15494.52</v>
      </c>
      <c r="M29" s="22" t="n">
        <v>15445.45</v>
      </c>
      <c r="N29" s="22" t="n">
        <v>15527.66</v>
      </c>
      <c r="O29" s="22" t="n">
        <v>15863.27</v>
      </c>
      <c r="P29" s="22" t="n">
        <v>16815.98</v>
      </c>
      <c r="Q29" s="22" t="n">
        <v>17256</v>
      </c>
      <c r="R29" s="22" t="n">
        <v>17435.22</v>
      </c>
      <c r="S29" s="22" t="n">
        <v>18232.24</v>
      </c>
      <c r="T29" s="22" t="n">
        <v>18739.11</v>
      </c>
      <c r="U29" s="22" t="n">
        <v>19479.94</v>
      </c>
      <c r="V29" s="17" t="n">
        <f aca="false">(U29/E29-1)*100</f>
        <v>26.5263094993752</v>
      </c>
      <c r="W29" s="17" t="n">
        <f aca="false">(U29/U$21-1)*100</f>
        <v>-34.056301467895</v>
      </c>
    </row>
    <row r="30" customFormat="false" ht="15" hidden="false" customHeight="false" outlineLevel="0" collapsed="false">
      <c r="A30" s="12" t="s">
        <v>343</v>
      </c>
      <c r="B30" s="12" t="s">
        <v>344</v>
      </c>
      <c r="C30" s="12" t="s">
        <v>363</v>
      </c>
      <c r="D30" s="12" t="s">
        <v>364</v>
      </c>
      <c r="E30" s="22" t="n">
        <v>25881.53</v>
      </c>
      <c r="F30" s="22" t="n">
        <v>26437.94</v>
      </c>
      <c r="G30" s="22" t="n">
        <v>26409.57</v>
      </c>
      <c r="H30" s="22" t="n">
        <v>26474.05</v>
      </c>
      <c r="I30" s="22" t="n">
        <v>25603.83</v>
      </c>
      <c r="J30" s="22" t="n">
        <v>25711.4</v>
      </c>
      <c r="K30" s="22" t="n">
        <v>25727.47</v>
      </c>
      <c r="L30" s="22" t="n">
        <v>27421.15</v>
      </c>
      <c r="M30" s="22" t="n">
        <v>28018.41</v>
      </c>
      <c r="N30" s="22" t="n">
        <v>28228.42</v>
      </c>
      <c r="O30" s="22" t="n">
        <v>28467.92</v>
      </c>
      <c r="P30" s="22" t="n">
        <v>28785.25</v>
      </c>
      <c r="Q30" s="22" t="n">
        <v>30904.89</v>
      </c>
      <c r="R30" s="22" t="n">
        <v>32985.38</v>
      </c>
      <c r="S30" s="22" t="n">
        <v>31896.15</v>
      </c>
      <c r="T30" s="22" t="n">
        <v>35215.11</v>
      </c>
      <c r="U30" s="22" t="n">
        <v>35621.47</v>
      </c>
      <c r="V30" s="17" t="n">
        <f aca="false">(U30/E30-1)*100</f>
        <v>37.632782915075</v>
      </c>
      <c r="W30" s="17" t="n">
        <f aca="false">(U30/U$21-1)*100</f>
        <v>20.586176289579</v>
      </c>
    </row>
    <row r="31" customFormat="false" ht="15" hidden="false" customHeight="false" outlineLevel="0" collapsed="false">
      <c r="A31" s="12" t="s">
        <v>343</v>
      </c>
      <c r="B31" s="12" t="s">
        <v>344</v>
      </c>
      <c r="C31" s="12" t="s">
        <v>365</v>
      </c>
      <c r="D31" s="12" t="s">
        <v>366</v>
      </c>
      <c r="E31" s="22" t="n">
        <v>18032.22</v>
      </c>
      <c r="F31" s="22" t="n">
        <v>19371.77</v>
      </c>
      <c r="G31" s="22" t="n">
        <v>17752.13</v>
      </c>
      <c r="H31" s="22" t="n">
        <v>17935.07</v>
      </c>
      <c r="I31" s="22" t="n">
        <v>17528.06</v>
      </c>
      <c r="J31" s="22" t="n">
        <v>18217.14</v>
      </c>
      <c r="K31" s="22" t="n">
        <v>18273.16</v>
      </c>
      <c r="L31" s="22" t="n">
        <v>18600.98</v>
      </c>
      <c r="M31" s="22" t="n">
        <v>18773.13</v>
      </c>
      <c r="N31" s="22" t="n">
        <v>19783.93</v>
      </c>
      <c r="O31" s="22" t="n">
        <v>19690.87</v>
      </c>
      <c r="P31" s="22" t="n">
        <v>21232.11</v>
      </c>
      <c r="Q31" s="22" t="n">
        <v>22440.93</v>
      </c>
      <c r="R31" s="22" t="n">
        <v>22859.73</v>
      </c>
      <c r="S31" s="22" t="n">
        <v>21383.06</v>
      </c>
      <c r="T31" s="22" t="n">
        <v>24550.71</v>
      </c>
      <c r="U31" s="22" t="n">
        <v>26045.04</v>
      </c>
      <c r="V31" s="17" t="n">
        <f aca="false">(U31/E31-1)*100</f>
        <v>44.4361260011247</v>
      </c>
      <c r="W31" s="17" t="n">
        <f aca="false">(U31/U$21-1)*100</f>
        <v>-11.8320556420289</v>
      </c>
    </row>
    <row r="32" customFormat="false" ht="15" hidden="false" customHeight="false" outlineLevel="0" collapsed="false">
      <c r="A32" s="12" t="s">
        <v>343</v>
      </c>
      <c r="B32" s="12" t="s">
        <v>344</v>
      </c>
      <c r="C32" s="12" t="s">
        <v>367</v>
      </c>
      <c r="D32" s="12" t="s">
        <v>368</v>
      </c>
      <c r="E32" s="22" t="n">
        <v>18857.14</v>
      </c>
      <c r="F32" s="22" t="n">
        <v>19127.85</v>
      </c>
      <c r="G32" s="22" t="n">
        <v>19216.16</v>
      </c>
      <c r="H32" s="22" t="n">
        <v>19253.58</v>
      </c>
      <c r="I32" s="22" t="n">
        <v>19525.05</v>
      </c>
      <c r="J32" s="22" t="n">
        <v>19463.18</v>
      </c>
      <c r="K32" s="22" t="n">
        <v>19347.85</v>
      </c>
      <c r="L32" s="22" t="n">
        <v>20114.27</v>
      </c>
      <c r="M32" s="22" t="n">
        <v>20061.31</v>
      </c>
      <c r="N32" s="22" t="n">
        <v>20123.84</v>
      </c>
      <c r="O32" s="22" t="n">
        <v>20796.74</v>
      </c>
      <c r="P32" s="22" t="n">
        <v>20827.39</v>
      </c>
      <c r="Q32" s="22" t="n">
        <v>21105.93</v>
      </c>
      <c r="R32" s="22" t="n">
        <v>21909.39</v>
      </c>
      <c r="S32" s="22" t="n">
        <v>22273.76</v>
      </c>
      <c r="T32" s="22" t="n">
        <v>23320.75</v>
      </c>
      <c r="U32" s="22" t="n">
        <v>24445.11</v>
      </c>
      <c r="V32" s="17" t="n">
        <f aca="false">(U32/E32-1)*100</f>
        <v>29.6331787322998</v>
      </c>
      <c r="W32" s="17" t="n">
        <f aca="false">(U32/U$21-1)*100</f>
        <v>-17.2481555680282</v>
      </c>
    </row>
    <row r="33" customFormat="false" ht="15" hidden="false" customHeight="false" outlineLevel="0" collapsed="false">
      <c r="A33" s="12" t="s">
        <v>343</v>
      </c>
      <c r="B33" s="12" t="s">
        <v>344</v>
      </c>
      <c r="C33" s="12" t="s">
        <v>369</v>
      </c>
      <c r="D33" s="12" t="s">
        <v>370</v>
      </c>
      <c r="E33" s="22" t="n">
        <v>21027.99</v>
      </c>
      <c r="F33" s="22" t="n">
        <v>20998.27</v>
      </c>
      <c r="G33" s="22" t="n">
        <v>22034.75</v>
      </c>
      <c r="H33" s="22" t="n">
        <v>22029.94</v>
      </c>
      <c r="I33" s="22" t="n">
        <v>21798.65</v>
      </c>
      <c r="J33" s="22" t="n">
        <v>21789.75</v>
      </c>
      <c r="K33" s="22" t="n">
        <v>22539.5</v>
      </c>
      <c r="L33" s="22" t="n">
        <v>22384.48</v>
      </c>
      <c r="M33" s="22" t="n">
        <v>22664.36</v>
      </c>
      <c r="N33" s="22" t="n">
        <v>23474.69</v>
      </c>
      <c r="O33" s="22" t="n">
        <v>23479.29</v>
      </c>
      <c r="P33" s="22" t="n">
        <v>23169.95</v>
      </c>
      <c r="Q33" s="22" t="n">
        <v>23119.86</v>
      </c>
      <c r="R33" s="22" t="n">
        <v>23797.17</v>
      </c>
      <c r="S33" s="22" t="n">
        <v>25304.77</v>
      </c>
      <c r="T33" s="22" t="n">
        <v>26344.74</v>
      </c>
      <c r="U33" s="22" t="n">
        <v>27531.44</v>
      </c>
      <c r="V33" s="17" t="n">
        <f aca="false">(U33/E33-1)*100</f>
        <v>30.9275874679415</v>
      </c>
      <c r="W33" s="17" t="n">
        <f aca="false">(U33/U$21-1)*100</f>
        <v>-6.80027867053303</v>
      </c>
    </row>
    <row r="34" customFormat="false" ht="15" hidden="false" customHeight="false" outlineLevel="0" collapsed="false">
      <c r="A34" s="12" t="s">
        <v>343</v>
      </c>
      <c r="B34" s="12" t="s">
        <v>344</v>
      </c>
      <c r="C34" s="12" t="s">
        <v>371</v>
      </c>
      <c r="D34" s="12" t="s">
        <v>372</v>
      </c>
      <c r="E34" s="22" t="n">
        <v>20768.72</v>
      </c>
      <c r="F34" s="22" t="n">
        <v>20472.24</v>
      </c>
      <c r="G34" s="22" t="n">
        <v>21165.13</v>
      </c>
      <c r="H34" s="22" t="n">
        <v>21707.59</v>
      </c>
      <c r="I34" s="22" t="n">
        <v>21708.19</v>
      </c>
      <c r="J34" s="22" t="n">
        <v>22464.69</v>
      </c>
      <c r="K34" s="22" t="n">
        <v>23404.36</v>
      </c>
      <c r="L34" s="22" t="n">
        <v>23108.95</v>
      </c>
      <c r="M34" s="22" t="n">
        <v>23470.74</v>
      </c>
      <c r="N34" s="22" t="n">
        <v>24194.83</v>
      </c>
      <c r="O34" s="22" t="n">
        <v>26078.13</v>
      </c>
      <c r="P34" s="22" t="n">
        <v>26152.28</v>
      </c>
      <c r="Q34" s="22" t="n">
        <v>26416.53</v>
      </c>
      <c r="R34" s="22" t="n">
        <v>27089.86</v>
      </c>
      <c r="S34" s="22" t="n">
        <v>28251.07</v>
      </c>
      <c r="T34" s="22" t="n">
        <v>28851.99</v>
      </c>
      <c r="U34" s="22" t="n">
        <v>30835.88</v>
      </c>
      <c r="V34" s="17" t="n">
        <f aca="false">(U34/E34-1)*100</f>
        <v>48.4727031805523</v>
      </c>
      <c r="W34" s="17" t="n">
        <f aca="false">(U34/U$21-1)*100</f>
        <v>4.38594650148645</v>
      </c>
    </row>
    <row r="35" customFormat="false" ht="15" hidden="false" customHeight="false" outlineLevel="0" collapsed="false">
      <c r="A35" s="12" t="s">
        <v>343</v>
      </c>
      <c r="B35" s="12" t="s">
        <v>344</v>
      </c>
      <c r="C35" s="12" t="s">
        <v>373</v>
      </c>
      <c r="D35" s="12" t="s">
        <v>374</v>
      </c>
      <c r="E35" s="22" t="n">
        <v>19677.69</v>
      </c>
      <c r="F35" s="22" t="n">
        <v>19971.66</v>
      </c>
      <c r="G35" s="22" t="n">
        <v>19786.19</v>
      </c>
      <c r="H35" s="22" t="n">
        <v>20157.54</v>
      </c>
      <c r="I35" s="22" t="n">
        <v>20051.99</v>
      </c>
      <c r="J35" s="22" t="n">
        <v>19934.16</v>
      </c>
      <c r="K35" s="22" t="n">
        <v>20131.11</v>
      </c>
      <c r="L35" s="22" t="n">
        <v>20048.37</v>
      </c>
      <c r="M35" s="22" t="n">
        <v>20009.83</v>
      </c>
      <c r="N35" s="22" t="n">
        <v>20374.52</v>
      </c>
      <c r="O35" s="22" t="n">
        <v>21359.91</v>
      </c>
      <c r="P35" s="22" t="n">
        <v>20661.53</v>
      </c>
      <c r="Q35" s="22" t="n">
        <v>21078.8</v>
      </c>
      <c r="R35" s="22" t="n">
        <v>21488.35</v>
      </c>
      <c r="S35" s="22" t="n">
        <v>22996.64</v>
      </c>
      <c r="T35" s="22" t="n">
        <v>23536.09</v>
      </c>
      <c r="U35" s="22" t="n">
        <v>24741.48</v>
      </c>
      <c r="V35" s="17" t="n">
        <f aca="false">(U35/E35-1)*100</f>
        <v>25.7336608107964</v>
      </c>
      <c r="W35" s="17" t="n">
        <f aca="false">(U35/U$21-1)*100</f>
        <v>-16.2448807153356</v>
      </c>
    </row>
    <row r="36" customFormat="false" ht="15" hidden="false" customHeight="false" outlineLevel="0" collapsed="false">
      <c r="A36" s="12" t="s">
        <v>343</v>
      </c>
      <c r="B36" s="12" t="s">
        <v>344</v>
      </c>
      <c r="C36" s="12" t="s">
        <v>375</v>
      </c>
      <c r="D36" s="12" t="s">
        <v>376</v>
      </c>
      <c r="E36" s="22" t="n">
        <v>13302.41</v>
      </c>
      <c r="F36" s="22" t="n">
        <v>13454.02</v>
      </c>
      <c r="G36" s="22" t="n">
        <v>12551.5</v>
      </c>
      <c r="H36" s="22" t="n">
        <v>12945.54</v>
      </c>
      <c r="I36" s="22" t="n">
        <v>12819.51</v>
      </c>
      <c r="J36" s="22" t="n">
        <v>12601.53</v>
      </c>
      <c r="K36" s="22" t="n">
        <v>12199.99</v>
      </c>
      <c r="L36" s="22" t="n">
        <v>12700.7</v>
      </c>
      <c r="M36" s="22" t="n">
        <v>12826.4</v>
      </c>
      <c r="N36" s="22" t="n">
        <v>12954.64</v>
      </c>
      <c r="O36" s="22" t="n">
        <v>13065.9</v>
      </c>
      <c r="P36" s="22" t="n">
        <v>13796.53</v>
      </c>
      <c r="Q36" s="22" t="n">
        <v>13765.34</v>
      </c>
      <c r="R36" s="22" t="n">
        <v>13874.28</v>
      </c>
      <c r="S36" s="22" t="n">
        <v>14665.4</v>
      </c>
      <c r="T36" s="22" t="n">
        <v>15276.84</v>
      </c>
      <c r="U36" s="22" t="n">
        <v>16062.57</v>
      </c>
      <c r="V36" s="17" t="n">
        <f aca="false">(U36/E36-1)*100</f>
        <v>20.7493228670594</v>
      </c>
      <c r="W36" s="17" t="n">
        <f aca="false">(U36/U$21-1)*100</f>
        <v>-45.6248184680839</v>
      </c>
    </row>
    <row r="37" customFormat="false" ht="15" hidden="false" customHeight="false" outlineLevel="0" collapsed="false">
      <c r="A37" s="12" t="s">
        <v>343</v>
      </c>
      <c r="B37" s="12" t="s">
        <v>344</v>
      </c>
      <c r="C37" s="12" t="s">
        <v>377</v>
      </c>
      <c r="D37" s="12" t="s">
        <v>378</v>
      </c>
      <c r="E37" s="22" t="n">
        <v>15328.05</v>
      </c>
      <c r="F37" s="22" t="n">
        <v>15343.04</v>
      </c>
      <c r="G37" s="22" t="n">
        <v>16048.15</v>
      </c>
      <c r="H37" s="22" t="n">
        <v>16053.35</v>
      </c>
      <c r="I37" s="22" t="n">
        <v>15939.96</v>
      </c>
      <c r="J37" s="22" t="n">
        <v>15888.96</v>
      </c>
      <c r="K37" s="22" t="n">
        <v>15772.51</v>
      </c>
      <c r="L37" s="22" t="n">
        <v>16209.08</v>
      </c>
      <c r="M37" s="22" t="n">
        <v>15946.65</v>
      </c>
      <c r="N37" s="22" t="n">
        <v>16725.74</v>
      </c>
      <c r="O37" s="22" t="n">
        <v>18280.74</v>
      </c>
      <c r="P37" s="22" t="n">
        <v>18241.14</v>
      </c>
      <c r="Q37" s="22" t="n">
        <v>18521.56</v>
      </c>
      <c r="R37" s="22" t="n">
        <v>18927.93</v>
      </c>
      <c r="S37" s="22" t="n">
        <v>20241.79</v>
      </c>
      <c r="T37" s="22" t="n">
        <v>20817.06</v>
      </c>
      <c r="U37" s="22" t="n">
        <v>22030.03</v>
      </c>
      <c r="V37" s="17" t="n">
        <f aca="false">(U37/E37-1)*100</f>
        <v>43.7236308597636</v>
      </c>
      <c r="W37" s="17" t="n">
        <f aca="false">(U37/U$21-1)*100</f>
        <v>-25.4237098793308</v>
      </c>
    </row>
    <row r="38" customFormat="false" ht="15" hidden="false" customHeight="false" outlineLevel="0" collapsed="false">
      <c r="A38" s="12" t="s">
        <v>379</v>
      </c>
      <c r="B38" s="12" t="s">
        <v>380</v>
      </c>
      <c r="C38" s="12" t="s">
        <v>381</v>
      </c>
      <c r="D38" s="12" t="s">
        <v>306</v>
      </c>
      <c r="E38" s="22" t="n">
        <v>21883.42</v>
      </c>
      <c r="F38" s="22" t="n">
        <v>22511.47</v>
      </c>
      <c r="G38" s="22" t="n">
        <v>22790.2</v>
      </c>
      <c r="H38" s="22" t="n">
        <v>22899.35</v>
      </c>
      <c r="I38" s="22" t="n">
        <v>22726.44</v>
      </c>
      <c r="J38" s="22" t="n">
        <v>22697.86</v>
      </c>
      <c r="K38" s="22" t="n">
        <v>22858.17</v>
      </c>
      <c r="L38" s="22" t="n">
        <v>23106.3</v>
      </c>
      <c r="M38" s="22" t="n">
        <v>23156.34</v>
      </c>
      <c r="N38" s="22" t="n">
        <v>23646.5</v>
      </c>
      <c r="O38" s="22" t="n">
        <v>24009.12</v>
      </c>
      <c r="P38" s="22" t="n">
        <v>24395.98</v>
      </c>
      <c r="Q38" s="22" t="n">
        <v>25165.51</v>
      </c>
      <c r="R38" s="22" t="n">
        <v>25896.82</v>
      </c>
      <c r="S38" s="22" t="n">
        <v>26948.87</v>
      </c>
      <c r="T38" s="22" t="n">
        <v>28049.94</v>
      </c>
      <c r="U38" s="22" t="n">
        <v>29540.26</v>
      </c>
      <c r="V38" s="17" t="n">
        <f aca="false">(U38/E38-1)*100</f>
        <v>34.9892292886578</v>
      </c>
      <c r="W38" s="17" t="n">
        <f aca="false">(U38/U$38-1)*100</f>
        <v>0</v>
      </c>
    </row>
    <row r="39" customFormat="false" ht="15" hidden="false" customHeight="false" outlineLevel="0" collapsed="false">
      <c r="A39" s="12" t="s">
        <v>379</v>
      </c>
      <c r="B39" s="12" t="s">
        <v>380</v>
      </c>
      <c r="C39" s="12" t="s">
        <v>382</v>
      </c>
      <c r="D39" s="12" t="s">
        <v>383</v>
      </c>
      <c r="E39" s="22" t="n">
        <v>23544.24</v>
      </c>
      <c r="F39" s="22" t="n">
        <v>23979.65</v>
      </c>
      <c r="G39" s="22" t="n">
        <v>24564.7</v>
      </c>
      <c r="H39" s="22" t="n">
        <v>24494.96</v>
      </c>
      <c r="I39" s="22" t="n">
        <v>24277.06</v>
      </c>
      <c r="J39" s="22" t="n">
        <v>24333.43</v>
      </c>
      <c r="K39" s="22" t="n">
        <v>24746.47</v>
      </c>
      <c r="L39" s="22" t="n">
        <v>24561.81</v>
      </c>
      <c r="M39" s="22" t="n">
        <v>24516.42</v>
      </c>
      <c r="N39" s="22" t="n">
        <v>25084.76</v>
      </c>
      <c r="O39" s="22" t="n">
        <v>25775.61</v>
      </c>
      <c r="P39" s="22" t="n">
        <v>26459.42</v>
      </c>
      <c r="Q39" s="22" t="n">
        <v>26623.93</v>
      </c>
      <c r="R39" s="22" t="n">
        <v>27228.8</v>
      </c>
      <c r="S39" s="22" t="n">
        <v>27193.32</v>
      </c>
      <c r="T39" s="22" t="n">
        <v>28305.53</v>
      </c>
      <c r="U39" s="22" t="n">
        <v>29745.04</v>
      </c>
      <c r="V39" s="17" t="n">
        <f aca="false">(U39/E39-1)*100</f>
        <v>26.3368025470349</v>
      </c>
      <c r="W39" s="17" t="n">
        <f aca="false">(U39/U$38-1)*100</f>
        <v>0.693223417803379</v>
      </c>
    </row>
    <row r="40" customFormat="false" ht="15" hidden="false" customHeight="false" outlineLevel="0" collapsed="false">
      <c r="A40" s="12" t="s">
        <v>379</v>
      </c>
      <c r="B40" s="12" t="s">
        <v>380</v>
      </c>
      <c r="C40" s="12" t="s">
        <v>384</v>
      </c>
      <c r="D40" s="12" t="s">
        <v>385</v>
      </c>
      <c r="E40" s="22" t="n">
        <v>16204.29</v>
      </c>
      <c r="F40" s="22" t="n">
        <v>16700.92</v>
      </c>
      <c r="G40" s="22" t="n">
        <v>16693.71</v>
      </c>
      <c r="H40" s="22" t="n">
        <v>16463.14</v>
      </c>
      <c r="I40" s="22" t="n">
        <v>15893.55</v>
      </c>
      <c r="J40" s="22" t="n">
        <v>15433.14</v>
      </c>
      <c r="K40" s="22" t="n">
        <v>15680.55</v>
      </c>
      <c r="L40" s="22" t="n">
        <v>16422.5</v>
      </c>
      <c r="M40" s="22" t="n">
        <v>16567.85</v>
      </c>
      <c r="N40" s="22" t="n">
        <v>17033.77</v>
      </c>
      <c r="O40" s="22" t="n">
        <v>18056.18</v>
      </c>
      <c r="P40" s="22" t="n">
        <v>17931.77</v>
      </c>
      <c r="Q40" s="22" t="n">
        <v>19228.47</v>
      </c>
      <c r="R40" s="22" t="n">
        <v>19842.69</v>
      </c>
      <c r="S40" s="22" t="n">
        <v>25096.82</v>
      </c>
      <c r="T40" s="22" t="n">
        <v>25835.44</v>
      </c>
      <c r="U40" s="22" t="n">
        <v>27318.4</v>
      </c>
      <c r="V40" s="17" t="n">
        <f aca="false">(U40/E40-1)*100</f>
        <v>68.5874543099389</v>
      </c>
      <c r="W40" s="17" t="n">
        <f aca="false">(U40/U$38-1)*100</f>
        <v>-7.52146392753482</v>
      </c>
    </row>
    <row r="42" customFormat="false" ht="15" hidden="false" customHeight="false" outlineLevel="0" collapsed="false">
      <c r="A42" s="11" t="s">
        <v>386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1"/>
    <col collapsed="false" customWidth="true" hidden="false" outlineLevel="0" max="3" min="3" style="0" width="13"/>
    <col collapsed="false" customWidth="true" hidden="false" outlineLevel="0" max="4" min="4" style="0" width="66"/>
    <col collapsed="false" customWidth="true" hidden="false" outlineLevel="0" max="5" min="5" style="0" width="16"/>
  </cols>
  <sheetData>
    <row r="1" customFormat="false" ht="15" hidden="false" customHeight="false" outlineLevel="0" collapsed="false">
      <c r="A1" s="4" t="s">
        <v>182</v>
      </c>
      <c r="B1" s="4" t="s">
        <v>93</v>
      </c>
      <c r="C1" s="4" t="s">
        <v>94</v>
      </c>
      <c r="D1" s="4" t="s">
        <v>387</v>
      </c>
      <c r="E1" s="4" t="s">
        <v>95</v>
      </c>
      <c r="F1" s="4" t="s">
        <v>97</v>
      </c>
      <c r="G1" s="4" t="s">
        <v>98</v>
      </c>
      <c r="H1" s="4" t="s">
        <v>99</v>
      </c>
      <c r="I1" s="4" t="s">
        <v>100</v>
      </c>
      <c r="J1" s="4" t="s">
        <v>101</v>
      </c>
      <c r="K1" s="4" t="s">
        <v>102</v>
      </c>
      <c r="L1" s="4" t="s">
        <v>103</v>
      </c>
      <c r="M1" s="4" t="s">
        <v>104</v>
      </c>
      <c r="N1" s="4" t="s">
        <v>105</v>
      </c>
      <c r="O1" s="4" t="s">
        <v>106</v>
      </c>
      <c r="P1" s="4" t="s">
        <v>107</v>
      </c>
      <c r="Q1" s="4" t="s">
        <v>108</v>
      </c>
      <c r="R1" s="4" t="s">
        <v>109</v>
      </c>
      <c r="S1" s="4" t="s">
        <v>110</v>
      </c>
      <c r="T1" s="4" t="s">
        <v>111</v>
      </c>
      <c r="U1" s="4" t="s">
        <v>112</v>
      </c>
      <c r="V1" s="4" t="s">
        <v>10</v>
      </c>
    </row>
    <row r="2" customFormat="false" ht="15" hidden="false" customHeight="false" outlineLevel="0" collapsed="false">
      <c r="A2" s="12" t="s">
        <v>388</v>
      </c>
      <c r="B2" s="12" t="s">
        <v>389</v>
      </c>
      <c r="C2" s="12" t="s">
        <v>114</v>
      </c>
      <c r="D2" s="12" t="s">
        <v>390</v>
      </c>
      <c r="E2" s="12" t="s">
        <v>83</v>
      </c>
      <c r="F2" s="31" t="n">
        <v>32.2</v>
      </c>
      <c r="G2" s="31" t="n">
        <v>32.8</v>
      </c>
      <c r="H2" s="31" t="n">
        <v>33.4</v>
      </c>
      <c r="I2" s="31" t="n">
        <v>33.3</v>
      </c>
      <c r="J2" s="31" t="n">
        <v>34</v>
      </c>
      <c r="K2" s="31" t="n">
        <v>34.6</v>
      </c>
      <c r="L2" s="31" t="n">
        <v>34.7</v>
      </c>
      <c r="M2" s="31" t="n">
        <v>34.3</v>
      </c>
      <c r="N2" s="31" t="n">
        <v>34.3</v>
      </c>
      <c r="O2" s="31" t="n">
        <v>33.9</v>
      </c>
      <c r="P2" s="31" t="n">
        <v>34.3</v>
      </c>
      <c r="Q2" s="31" t="n">
        <v>33.8</v>
      </c>
      <c r="R2" s="31" t="n">
        <v>33.5</v>
      </c>
      <c r="S2" s="31" t="n">
        <v>33.1</v>
      </c>
      <c r="T2" s="31" t="n">
        <v>33.1</v>
      </c>
      <c r="U2" s="31" t="n">
        <v>32.6</v>
      </c>
      <c r="V2" s="31" t="n">
        <v>32.9</v>
      </c>
    </row>
    <row r="3" customFormat="false" ht="15" hidden="false" customHeight="false" outlineLevel="0" collapsed="false">
      <c r="A3" s="12" t="s">
        <v>388</v>
      </c>
      <c r="B3" s="12" t="s">
        <v>391</v>
      </c>
      <c r="C3" s="12" t="s">
        <v>114</v>
      </c>
      <c r="D3" s="12" t="s">
        <v>392</v>
      </c>
      <c r="E3" s="12" t="s">
        <v>83</v>
      </c>
      <c r="F3" s="31" t="n">
        <v>17.6</v>
      </c>
      <c r="G3" s="31" t="n">
        <v>18</v>
      </c>
      <c r="H3" s="31" t="n">
        <v>13.42</v>
      </c>
      <c r="I3" s="31" t="n">
        <v>18.9</v>
      </c>
      <c r="J3" s="31" t="n">
        <v>17.24</v>
      </c>
      <c r="K3" s="31" t="n">
        <v>17.85</v>
      </c>
      <c r="L3" s="31" t="n">
        <v>12.91</v>
      </c>
      <c r="M3" s="31" t="n">
        <v>16.72</v>
      </c>
      <c r="N3" s="31" t="n">
        <v>16.81</v>
      </c>
      <c r="O3" s="31" t="n">
        <v>16.2</v>
      </c>
      <c r="P3" s="31" t="n">
        <v>13.12</v>
      </c>
      <c r="Q3" s="31" t="n">
        <v>14.96</v>
      </c>
      <c r="R3" s="31" t="n">
        <v>16.61</v>
      </c>
      <c r="S3" s="31" t="n">
        <v>16.73</v>
      </c>
      <c r="T3" s="31" t="n">
        <v>11.58</v>
      </c>
      <c r="U3" s="31" t="n">
        <v>16.23</v>
      </c>
      <c r="V3" s="31" t="n">
        <v>16.37</v>
      </c>
    </row>
    <row r="4" customFormat="false" ht="15" hidden="false" customHeight="false" outlineLevel="0" collapsed="false">
      <c r="A4" s="12" t="s">
        <v>388</v>
      </c>
      <c r="B4" s="12" t="s">
        <v>393</v>
      </c>
      <c r="C4" s="12" t="s">
        <v>121</v>
      </c>
      <c r="D4" s="12" t="s">
        <v>394</v>
      </c>
      <c r="E4" s="12" t="s">
        <v>83</v>
      </c>
      <c r="F4" s="31" t="n">
        <v>64</v>
      </c>
      <c r="G4" s="31" t="n">
        <v>64.25</v>
      </c>
      <c r="H4" s="31" t="n">
        <v>66</v>
      </c>
      <c r="I4" s="31" t="n">
        <v>64.1</v>
      </c>
      <c r="J4" s="31" t="n">
        <v>64.89</v>
      </c>
      <c r="K4" s="31" t="n">
        <v>64.4</v>
      </c>
      <c r="L4" s="31" t="n">
        <v>63.79</v>
      </c>
      <c r="M4" s="31" t="n">
        <v>65.52</v>
      </c>
      <c r="N4" s="31" t="n">
        <v>64.25</v>
      </c>
      <c r="O4" s="31" t="n">
        <v>63.86</v>
      </c>
      <c r="P4" s="31" t="n">
        <v>62.18</v>
      </c>
      <c r="Q4" s="31" t="n">
        <v>63.93</v>
      </c>
      <c r="R4" s="31" t="n">
        <v>62.96</v>
      </c>
      <c r="S4" s="31" t="n">
        <v>62.51</v>
      </c>
      <c r="T4" s="31" t="n">
        <v>63.72</v>
      </c>
      <c r="U4" s="31" t="n">
        <v>61.61</v>
      </c>
      <c r="V4" s="31" t="n">
        <v>62.99</v>
      </c>
    </row>
    <row r="5" customFormat="false" ht="15" hidden="false" customHeight="false" outlineLevel="0" collapsed="false">
      <c r="A5" s="12" t="s">
        <v>388</v>
      </c>
      <c r="B5" s="12" t="s">
        <v>395</v>
      </c>
      <c r="C5" s="12" t="s">
        <v>114</v>
      </c>
      <c r="D5" s="12" t="s">
        <v>396</v>
      </c>
      <c r="E5" s="12" t="s">
        <v>83</v>
      </c>
      <c r="F5" s="31" t="n">
        <v>2.2</v>
      </c>
      <c r="G5" s="31" t="n">
        <v>2.22</v>
      </c>
      <c r="H5" s="31" t="n">
        <v>2.12</v>
      </c>
      <c r="I5" s="31" t="n">
        <v>2.15</v>
      </c>
      <c r="J5" s="31" t="n">
        <v>2.18</v>
      </c>
      <c r="K5" s="31" t="n">
        <v>2.17</v>
      </c>
      <c r="L5" s="31" t="n">
        <v>2.07</v>
      </c>
      <c r="M5" s="31" t="n">
        <v>2.15</v>
      </c>
      <c r="N5" s="31" t="n">
        <v>2.16</v>
      </c>
      <c r="O5" s="31" t="n">
        <v>2.14</v>
      </c>
      <c r="P5" s="31" t="n">
        <v>2.08</v>
      </c>
      <c r="Q5" s="31" t="n">
        <v>2.18</v>
      </c>
      <c r="R5" s="31" t="n">
        <v>2.2</v>
      </c>
      <c r="S5" s="31" t="n">
        <v>2.18</v>
      </c>
      <c r="T5" s="31" t="n">
        <v>2.11</v>
      </c>
      <c r="U5" s="31" t="n">
        <v>2.18</v>
      </c>
      <c r="V5" s="31" t="n">
        <v>2.18</v>
      </c>
    </row>
    <row r="6" customFormat="false" ht="15" hidden="false" customHeight="false" outlineLevel="0" collapsed="false">
      <c r="A6" s="12" t="s">
        <v>388</v>
      </c>
      <c r="B6" s="12" t="s">
        <v>397</v>
      </c>
      <c r="C6" s="12" t="s">
        <v>114</v>
      </c>
      <c r="D6" s="12" t="s">
        <v>398</v>
      </c>
      <c r="E6" s="12" t="s">
        <v>83</v>
      </c>
      <c r="F6" s="31" t="n">
        <v>1.7</v>
      </c>
      <c r="G6" s="31" t="n">
        <v>1.76</v>
      </c>
      <c r="H6" s="31" t="n">
        <v>1.58</v>
      </c>
      <c r="I6" s="31" t="n">
        <v>1.78</v>
      </c>
      <c r="J6" s="31" t="n">
        <v>1.73</v>
      </c>
      <c r="K6" s="31" t="n">
        <v>1.75</v>
      </c>
      <c r="L6" s="31" t="n">
        <v>1.57</v>
      </c>
      <c r="M6" s="31" t="n">
        <v>1.68</v>
      </c>
      <c r="N6" s="31" t="n">
        <v>1.68</v>
      </c>
      <c r="O6" s="31" t="n">
        <v>1.66</v>
      </c>
      <c r="P6" s="31" t="n">
        <v>1.58</v>
      </c>
      <c r="Q6" s="31" t="n">
        <v>1.61</v>
      </c>
      <c r="R6" s="31" t="n">
        <v>1.64</v>
      </c>
      <c r="S6" s="31" t="n">
        <v>1.64</v>
      </c>
      <c r="T6" s="31" t="n">
        <v>1.53</v>
      </c>
      <c r="U6" s="31" t="n">
        <v>1.62</v>
      </c>
      <c r="V6" s="31" t="n">
        <v>1.62</v>
      </c>
    </row>
    <row r="7" customFormat="false" ht="15" hidden="false" customHeight="false" outlineLevel="0" collapsed="false">
      <c r="A7" s="12" t="s">
        <v>388</v>
      </c>
      <c r="B7" s="12" t="s">
        <v>399</v>
      </c>
      <c r="C7" s="12" t="s">
        <v>114</v>
      </c>
      <c r="D7" s="12" t="s">
        <v>400</v>
      </c>
      <c r="E7" s="12" t="s">
        <v>83</v>
      </c>
      <c r="F7" s="31" t="n">
        <v>3.8</v>
      </c>
      <c r="G7" s="31" t="n">
        <v>3.91</v>
      </c>
      <c r="H7" s="31" t="n">
        <v>3.34</v>
      </c>
      <c r="I7" s="31" t="n">
        <v>3.84</v>
      </c>
      <c r="J7" s="31" t="n">
        <v>3.77</v>
      </c>
      <c r="K7" s="31" t="n">
        <v>3.8</v>
      </c>
      <c r="L7" s="31" t="n">
        <v>3.25</v>
      </c>
      <c r="M7" s="31" t="n">
        <v>3.61</v>
      </c>
      <c r="N7" s="31" t="n">
        <v>3.64</v>
      </c>
      <c r="O7" s="31" t="n">
        <v>3.56</v>
      </c>
      <c r="P7" s="31" t="n">
        <v>3.28</v>
      </c>
      <c r="Q7" s="31" t="n">
        <v>3.52</v>
      </c>
      <c r="R7" s="31" t="n">
        <v>3.61</v>
      </c>
      <c r="S7" s="31" t="n">
        <v>3.58</v>
      </c>
      <c r="T7" s="31" t="n">
        <v>3.22</v>
      </c>
      <c r="U7" s="31" t="n">
        <v>3.53</v>
      </c>
      <c r="V7" s="31" t="n">
        <v>3.53</v>
      </c>
    </row>
    <row r="8" customFormat="false" ht="15" hidden="false" customHeight="false" outlineLevel="0" collapsed="false">
      <c r="A8" s="12" t="s">
        <v>401</v>
      </c>
      <c r="B8" s="12" t="s">
        <v>402</v>
      </c>
      <c r="C8" s="12" t="s">
        <v>114</v>
      </c>
      <c r="D8" s="12" t="s">
        <v>403</v>
      </c>
      <c r="E8" s="12" t="s">
        <v>83</v>
      </c>
      <c r="F8" s="31" t="n">
        <v>8.86</v>
      </c>
      <c r="G8" s="31" t="n">
        <v>10.02</v>
      </c>
      <c r="H8" s="31" t="n">
        <v>10.46</v>
      </c>
      <c r="I8" s="31" t="n">
        <v>11.3</v>
      </c>
      <c r="J8" s="31" t="n">
        <v>12.25</v>
      </c>
      <c r="K8" s="31" t="n">
        <v>13.28</v>
      </c>
      <c r="L8" s="31" t="n">
        <v>12.98</v>
      </c>
      <c r="M8" s="31" t="n">
        <v>12.62</v>
      </c>
      <c r="N8" s="31" t="n">
        <v>12.56</v>
      </c>
      <c r="O8" s="31" t="n">
        <v>13.06</v>
      </c>
      <c r="P8" s="31" t="n">
        <v>14.1</v>
      </c>
      <c r="Q8" s="31" t="n">
        <v>18.18</v>
      </c>
      <c r="R8" s="31" t="n">
        <v>19.36</v>
      </c>
      <c r="S8" s="31" t="n">
        <v>17.53</v>
      </c>
      <c r="T8" s="31" t="n">
        <v>17.1</v>
      </c>
      <c r="U8" s="31" t="n">
        <v>18.51</v>
      </c>
      <c r="V8" s="31" t="n">
        <v>18.32</v>
      </c>
    </row>
    <row r="9" customFormat="false" ht="15" hidden="false" customHeight="false" outlineLevel="0" collapsed="false">
      <c r="A9" s="12" t="s">
        <v>401</v>
      </c>
      <c r="B9" s="12" t="s">
        <v>404</v>
      </c>
      <c r="C9" s="12" t="s">
        <v>121</v>
      </c>
      <c r="D9" s="12" t="s">
        <v>403</v>
      </c>
      <c r="E9" s="12" t="s">
        <v>83</v>
      </c>
      <c r="F9" s="31" t="n">
        <v>14.12</v>
      </c>
      <c r="G9" s="31" t="n">
        <v>15.25</v>
      </c>
      <c r="H9" s="31" t="n">
        <v>15.53</v>
      </c>
      <c r="I9" s="31" t="n">
        <v>16.38</v>
      </c>
      <c r="J9" s="31" t="n">
        <v>17.36</v>
      </c>
      <c r="K9" s="31" t="n">
        <v>18.62</v>
      </c>
      <c r="L9" s="31" t="n">
        <v>18.57</v>
      </c>
      <c r="M9" s="31" t="n">
        <v>18.19</v>
      </c>
      <c r="N9" s="31" t="n">
        <v>17.79</v>
      </c>
      <c r="O9" s="31" t="n">
        <v>18.84</v>
      </c>
      <c r="P9" s="31" t="n">
        <v>20.56</v>
      </c>
      <c r="Q9" s="31" t="n">
        <v>25.72</v>
      </c>
      <c r="R9" s="31" t="n">
        <v>27.49</v>
      </c>
      <c r="S9" s="31" t="n">
        <v>25</v>
      </c>
      <c r="T9" s="31" t="n">
        <v>24.28</v>
      </c>
      <c r="U9" s="31" t="n">
        <v>25.78</v>
      </c>
      <c r="V9" s="31" t="n">
        <v>25.64</v>
      </c>
    </row>
    <row r="10" customFormat="false" ht="15" hidden="false" customHeight="false" outlineLevel="0" collapsed="false">
      <c r="A10" s="12" t="s">
        <v>401</v>
      </c>
      <c r="B10" s="12" t="s">
        <v>405</v>
      </c>
      <c r="C10" s="12" t="s">
        <v>128</v>
      </c>
      <c r="D10" s="12" t="s">
        <v>403</v>
      </c>
      <c r="E10" s="12" t="s">
        <v>83</v>
      </c>
      <c r="F10" s="31" t="n">
        <v>4.76</v>
      </c>
      <c r="G10" s="31" t="n">
        <v>5.69</v>
      </c>
      <c r="H10" s="31" t="n">
        <v>5.99</v>
      </c>
      <c r="I10" s="31" t="n">
        <v>6.8</v>
      </c>
      <c r="J10" s="31" t="n">
        <v>7.52</v>
      </c>
      <c r="K10" s="31" t="n">
        <v>8.29</v>
      </c>
      <c r="L10" s="31" t="n">
        <v>7.83</v>
      </c>
      <c r="M10" s="31" t="n">
        <v>7.36</v>
      </c>
      <c r="N10" s="31" t="n">
        <v>7.78</v>
      </c>
      <c r="O10" s="31" t="n">
        <v>7.83</v>
      </c>
      <c r="P10" s="31" t="n">
        <v>8.22</v>
      </c>
      <c r="Q10" s="31" t="n">
        <v>11.12</v>
      </c>
      <c r="R10" s="31" t="n">
        <v>11.9</v>
      </c>
      <c r="S10" s="31" t="n">
        <v>10.69</v>
      </c>
      <c r="T10" s="31" t="n">
        <v>10.34</v>
      </c>
      <c r="U10" s="31" t="n">
        <v>11.64</v>
      </c>
      <c r="V10" s="31" t="n">
        <v>11.33</v>
      </c>
    </row>
    <row r="11" customFormat="false" ht="15" hidden="false" customHeight="false" outlineLevel="0" collapsed="false">
      <c r="A11" s="12" t="s">
        <v>401</v>
      </c>
      <c r="B11" s="12" t="s">
        <v>406</v>
      </c>
      <c r="C11" s="12" t="s">
        <v>114</v>
      </c>
      <c r="D11" s="12" t="s">
        <v>407</v>
      </c>
      <c r="E11" s="12" t="s">
        <v>83</v>
      </c>
      <c r="F11" s="31" t="n">
        <v>34.4</v>
      </c>
      <c r="G11" s="31" t="n">
        <v>34.19</v>
      </c>
      <c r="H11" s="31" t="n">
        <v>33.9</v>
      </c>
      <c r="I11" s="31" t="n">
        <v>33.16</v>
      </c>
      <c r="J11" s="31" t="n">
        <v>33.15</v>
      </c>
      <c r="K11" s="31" t="n">
        <v>32.96</v>
      </c>
      <c r="L11" s="31" t="n">
        <v>32.11</v>
      </c>
      <c r="M11" s="31" t="n">
        <v>32.34</v>
      </c>
      <c r="N11" s="31" t="n">
        <v>33.15</v>
      </c>
      <c r="O11" s="31" t="n">
        <v>36.9</v>
      </c>
      <c r="P11" s="31" t="n">
        <v>37.81</v>
      </c>
      <c r="Q11" s="31" t="n">
        <v>46.35</v>
      </c>
      <c r="R11" s="31" t="n">
        <v>46.65</v>
      </c>
      <c r="S11" s="31" t="n">
        <v>46.84</v>
      </c>
      <c r="T11" s="31" t="n">
        <v>48.16</v>
      </c>
      <c r="U11" s="31" t="n">
        <v>48.65</v>
      </c>
      <c r="V11" s="31" t="n">
        <v>48.69</v>
      </c>
    </row>
    <row r="12" customFormat="false" ht="15" hidden="false" customHeight="false" outlineLevel="0" collapsed="false">
      <c r="A12" s="12" t="s">
        <v>401</v>
      </c>
      <c r="B12" s="12" t="s">
        <v>408</v>
      </c>
      <c r="C12" s="12" t="s">
        <v>121</v>
      </c>
      <c r="D12" s="12" t="s">
        <v>407</v>
      </c>
      <c r="E12" s="12" t="s">
        <v>83</v>
      </c>
      <c r="F12" s="31" t="n">
        <v>39.97</v>
      </c>
      <c r="G12" s="31" t="n">
        <v>39.21</v>
      </c>
      <c r="H12" s="31" t="n">
        <v>39.3</v>
      </c>
      <c r="I12" s="31" t="n">
        <v>38.19</v>
      </c>
      <c r="J12" s="31" t="n">
        <v>38.64</v>
      </c>
      <c r="K12" s="31" t="n">
        <v>37.85</v>
      </c>
      <c r="L12" s="31" t="n">
        <v>36.38</v>
      </c>
      <c r="M12" s="31" t="n">
        <v>36.86</v>
      </c>
      <c r="N12" s="31" t="n">
        <v>37.7</v>
      </c>
      <c r="O12" s="31" t="n">
        <v>40.37</v>
      </c>
      <c r="P12" s="31" t="n">
        <v>40.14</v>
      </c>
      <c r="Q12" s="31" t="n">
        <v>44.78</v>
      </c>
      <c r="R12" s="31" t="n">
        <v>43.8</v>
      </c>
      <c r="S12" s="31" t="n">
        <v>44.85</v>
      </c>
      <c r="T12" s="31" t="n">
        <v>45.95</v>
      </c>
      <c r="U12" s="31" t="n">
        <v>45.38</v>
      </c>
      <c r="V12" s="31" t="n">
        <v>45.47</v>
      </c>
    </row>
    <row r="13" customFormat="false" ht="15" hidden="false" customHeight="false" outlineLevel="0" collapsed="false">
      <c r="A13" s="12" t="s">
        <v>401</v>
      </c>
      <c r="B13" s="12" t="s">
        <v>409</v>
      </c>
      <c r="C13" s="12" t="s">
        <v>128</v>
      </c>
      <c r="D13" s="12" t="s">
        <v>407</v>
      </c>
      <c r="E13" s="12" t="s">
        <v>83</v>
      </c>
      <c r="F13" s="31" t="n">
        <v>30.06</v>
      </c>
      <c r="G13" s="31" t="n">
        <v>30.04</v>
      </c>
      <c r="H13" s="31" t="n">
        <v>29.15</v>
      </c>
      <c r="I13" s="31" t="n">
        <v>28.73</v>
      </c>
      <c r="J13" s="31" t="n">
        <v>28.07</v>
      </c>
      <c r="K13" s="31" t="n">
        <v>28.38</v>
      </c>
      <c r="L13" s="31" t="n">
        <v>28.18</v>
      </c>
      <c r="M13" s="31" t="n">
        <v>28.07</v>
      </c>
      <c r="N13" s="31" t="n">
        <v>29</v>
      </c>
      <c r="O13" s="31" t="n">
        <v>33.76</v>
      </c>
      <c r="P13" s="31" t="n">
        <v>35.69</v>
      </c>
      <c r="Q13" s="31" t="n">
        <v>47.81</v>
      </c>
      <c r="R13" s="31" t="n">
        <v>49.27</v>
      </c>
      <c r="S13" s="31" t="n">
        <v>48.67</v>
      </c>
      <c r="T13" s="31" t="n">
        <v>50.24</v>
      </c>
      <c r="U13" s="31" t="n">
        <v>51.75</v>
      </c>
      <c r="V13" s="31" t="n">
        <v>51.77</v>
      </c>
    </row>
    <row r="14" customFormat="false" ht="15" hidden="false" customHeight="false" outlineLevel="0" collapsed="false">
      <c r="A14" s="12" t="s">
        <v>401</v>
      </c>
      <c r="B14" s="12" t="s">
        <v>410</v>
      </c>
      <c r="C14" s="12" t="s">
        <v>114</v>
      </c>
      <c r="D14" s="12" t="s">
        <v>411</v>
      </c>
      <c r="E14" s="12" t="s">
        <v>83</v>
      </c>
      <c r="F14" s="31" t="n">
        <v>28.31</v>
      </c>
      <c r="G14" s="31" t="n">
        <v>27.42</v>
      </c>
      <c r="H14" s="31" t="n">
        <v>27.4</v>
      </c>
      <c r="I14" s="31" t="n">
        <v>27.17</v>
      </c>
      <c r="J14" s="31" t="n">
        <v>26.88</v>
      </c>
      <c r="K14" s="31" t="n">
        <v>26.08</v>
      </c>
      <c r="L14" s="31" t="n">
        <v>26.77</v>
      </c>
      <c r="M14" s="31" t="n">
        <v>26.54</v>
      </c>
      <c r="N14" s="31" t="n">
        <v>26.3</v>
      </c>
      <c r="O14" s="31" t="n">
        <v>25.19</v>
      </c>
      <c r="P14" s="31" t="n">
        <v>24.5</v>
      </c>
      <c r="Q14" s="31" t="n">
        <v>20.13</v>
      </c>
      <c r="R14" s="31" t="n">
        <v>19.58</v>
      </c>
      <c r="S14" s="31" t="n">
        <v>20.49</v>
      </c>
      <c r="T14" s="31" t="n">
        <v>20</v>
      </c>
      <c r="U14" s="31" t="n">
        <v>19.52</v>
      </c>
      <c r="V14" s="31" t="n">
        <v>19.62</v>
      </c>
    </row>
    <row r="15" customFormat="false" ht="15" hidden="false" customHeight="false" outlineLevel="0" collapsed="false">
      <c r="A15" s="12" t="s">
        <v>401</v>
      </c>
      <c r="B15" s="12" t="s">
        <v>412</v>
      </c>
      <c r="C15" s="12" t="s">
        <v>121</v>
      </c>
      <c r="D15" s="12" t="s">
        <v>411</v>
      </c>
      <c r="E15" s="12" t="s">
        <v>83</v>
      </c>
      <c r="F15" s="31" t="n">
        <v>24.2</v>
      </c>
      <c r="G15" s="31" t="n">
        <v>23.75</v>
      </c>
      <c r="H15" s="31" t="n">
        <v>23.6</v>
      </c>
      <c r="I15" s="31" t="n">
        <v>24.07</v>
      </c>
      <c r="J15" s="31" t="n">
        <v>23.59</v>
      </c>
      <c r="K15" s="31" t="n">
        <v>23.09</v>
      </c>
      <c r="L15" s="31" t="n">
        <v>23.57</v>
      </c>
      <c r="M15" s="31" t="n">
        <v>22.78</v>
      </c>
      <c r="N15" s="31" t="n">
        <v>22.57</v>
      </c>
      <c r="O15" s="31" t="n">
        <v>21.54</v>
      </c>
      <c r="P15" s="31" t="n">
        <v>20.7</v>
      </c>
      <c r="Q15" s="31" t="n">
        <v>17.66</v>
      </c>
      <c r="R15" s="31" t="n">
        <v>17.58</v>
      </c>
      <c r="S15" s="31" t="n">
        <v>18.53</v>
      </c>
      <c r="T15" s="31" t="n">
        <v>17.88</v>
      </c>
      <c r="U15" s="31" t="n">
        <v>18.09</v>
      </c>
      <c r="V15" s="31" t="n">
        <v>18.13</v>
      </c>
    </row>
    <row r="16" customFormat="false" ht="15" hidden="false" customHeight="false" outlineLevel="0" collapsed="false">
      <c r="A16" s="12" t="s">
        <v>401</v>
      </c>
      <c r="B16" s="12" t="s">
        <v>413</v>
      </c>
      <c r="C16" s="12" t="s">
        <v>128</v>
      </c>
      <c r="D16" s="12" t="s">
        <v>411</v>
      </c>
      <c r="E16" s="12" t="s">
        <v>83</v>
      </c>
      <c r="F16" s="31" t="n">
        <v>31.51</v>
      </c>
      <c r="G16" s="31" t="n">
        <v>30.46</v>
      </c>
      <c r="H16" s="31" t="n">
        <v>30.74</v>
      </c>
      <c r="I16" s="31" t="n">
        <v>29.92</v>
      </c>
      <c r="J16" s="31" t="n">
        <v>29.92</v>
      </c>
      <c r="K16" s="31" t="n">
        <v>28.89</v>
      </c>
      <c r="L16" s="31" t="n">
        <v>29.71</v>
      </c>
      <c r="M16" s="31" t="n">
        <v>30.09</v>
      </c>
      <c r="N16" s="31" t="n">
        <v>29.72</v>
      </c>
      <c r="O16" s="31" t="n">
        <v>28.49</v>
      </c>
      <c r="P16" s="31" t="n">
        <v>27.96</v>
      </c>
      <c r="Q16" s="31" t="n">
        <v>22.44</v>
      </c>
      <c r="R16" s="31" t="n">
        <v>21.42</v>
      </c>
      <c r="S16" s="31" t="n">
        <v>22.29</v>
      </c>
      <c r="T16" s="31" t="n">
        <v>21.99</v>
      </c>
      <c r="U16" s="31" t="n">
        <v>20.88</v>
      </c>
      <c r="V16" s="31" t="n">
        <v>21.03</v>
      </c>
    </row>
    <row r="17" customFormat="false" ht="15" hidden="false" customHeight="false" outlineLevel="0" collapsed="false">
      <c r="A17" s="12" t="s">
        <v>401</v>
      </c>
      <c r="B17" s="12" t="s">
        <v>414</v>
      </c>
      <c r="C17" s="12" t="s">
        <v>114</v>
      </c>
      <c r="D17" s="12" t="s">
        <v>415</v>
      </c>
      <c r="E17" s="12" t="s">
        <v>83</v>
      </c>
      <c r="F17" s="31" t="n">
        <v>13.33</v>
      </c>
      <c r="G17" s="31" t="n">
        <v>13.1</v>
      </c>
      <c r="H17" s="31" t="n">
        <v>13.32</v>
      </c>
      <c r="I17" s="31" t="n">
        <v>13.6</v>
      </c>
      <c r="J17" s="31" t="n">
        <v>13.25</v>
      </c>
      <c r="K17" s="31" t="n">
        <v>13</v>
      </c>
      <c r="L17" s="31" t="n">
        <v>13.42</v>
      </c>
      <c r="M17" s="31" t="n">
        <v>13.45</v>
      </c>
      <c r="N17" s="31" t="n">
        <v>13.28</v>
      </c>
      <c r="O17" s="31" t="n">
        <v>12.46</v>
      </c>
      <c r="P17" s="31" t="n">
        <v>11.97</v>
      </c>
      <c r="Q17" s="31" t="n">
        <v>8.87</v>
      </c>
      <c r="R17" s="31" t="n">
        <v>8.35</v>
      </c>
      <c r="S17" s="31" t="n">
        <v>8.76</v>
      </c>
      <c r="T17" s="31" t="n">
        <v>8.29</v>
      </c>
      <c r="U17" s="31" t="n">
        <v>7.79</v>
      </c>
      <c r="V17" s="31" t="n">
        <v>7.72</v>
      </c>
    </row>
    <row r="18" customFormat="false" ht="15" hidden="false" customHeight="false" outlineLevel="0" collapsed="false">
      <c r="A18" s="12" t="s">
        <v>401</v>
      </c>
      <c r="B18" s="12" t="s">
        <v>416</v>
      </c>
      <c r="C18" s="12" t="s">
        <v>121</v>
      </c>
      <c r="D18" s="12" t="s">
        <v>415</v>
      </c>
      <c r="E18" s="12" t="s">
        <v>83</v>
      </c>
      <c r="F18" s="31" t="n">
        <v>10.98</v>
      </c>
      <c r="G18" s="31" t="n">
        <v>10.75</v>
      </c>
      <c r="H18" s="31" t="n">
        <v>10.94</v>
      </c>
      <c r="I18" s="31" t="n">
        <v>11.4</v>
      </c>
      <c r="J18" s="31" t="n">
        <v>10.77</v>
      </c>
      <c r="K18" s="31" t="n">
        <v>10.52</v>
      </c>
      <c r="L18" s="31" t="n">
        <v>11.08</v>
      </c>
      <c r="M18" s="31" t="n">
        <v>11.45</v>
      </c>
      <c r="N18" s="31" t="n">
        <v>11.54</v>
      </c>
      <c r="O18" s="31" t="n">
        <v>10.51</v>
      </c>
      <c r="P18" s="31" t="n">
        <v>10.11</v>
      </c>
      <c r="Q18" s="31" t="n">
        <v>7.14</v>
      </c>
      <c r="R18" s="31" t="n">
        <v>6.78</v>
      </c>
      <c r="S18" s="31" t="n">
        <v>7.03</v>
      </c>
      <c r="T18" s="31" t="n">
        <v>7</v>
      </c>
      <c r="U18" s="31" t="n">
        <v>6.55</v>
      </c>
      <c r="V18" s="31" t="n">
        <v>6.34</v>
      </c>
    </row>
    <row r="19" customFormat="false" ht="15" hidden="false" customHeight="false" outlineLevel="0" collapsed="false">
      <c r="A19" s="12" t="s">
        <v>401</v>
      </c>
      <c r="B19" s="12" t="s">
        <v>417</v>
      </c>
      <c r="C19" s="12" t="s">
        <v>128</v>
      </c>
      <c r="D19" s="12" t="s">
        <v>415</v>
      </c>
      <c r="E19" s="12" t="s">
        <v>83</v>
      </c>
      <c r="F19" s="31" t="n">
        <v>15.17</v>
      </c>
      <c r="G19" s="31" t="n">
        <v>15.04</v>
      </c>
      <c r="H19" s="31" t="n">
        <v>15.42</v>
      </c>
      <c r="I19" s="31" t="n">
        <v>15.54</v>
      </c>
      <c r="J19" s="31" t="n">
        <v>15.55</v>
      </c>
      <c r="K19" s="31" t="n">
        <v>15.32</v>
      </c>
      <c r="L19" s="31" t="n">
        <v>15.56</v>
      </c>
      <c r="M19" s="31" t="n">
        <v>15.33</v>
      </c>
      <c r="N19" s="31" t="n">
        <v>14.87</v>
      </c>
      <c r="O19" s="31" t="n">
        <v>14.22</v>
      </c>
      <c r="P19" s="31" t="n">
        <v>13.66</v>
      </c>
      <c r="Q19" s="31" t="n">
        <v>10.49</v>
      </c>
      <c r="R19" s="31" t="n">
        <v>9.79</v>
      </c>
      <c r="S19" s="31" t="n">
        <v>10.34</v>
      </c>
      <c r="T19" s="31" t="n">
        <v>9.49</v>
      </c>
      <c r="U19" s="31" t="n">
        <v>8.96</v>
      </c>
      <c r="V19" s="31" t="n">
        <v>9.03</v>
      </c>
    </row>
    <row r="20" customFormat="false" ht="15" hidden="false" customHeight="false" outlineLevel="0" collapsed="false">
      <c r="A20" s="12" t="s">
        <v>401</v>
      </c>
      <c r="B20" s="12" t="s">
        <v>418</v>
      </c>
      <c r="C20" s="12" t="s">
        <v>114</v>
      </c>
      <c r="D20" s="12" t="s">
        <v>419</v>
      </c>
      <c r="E20" s="12" t="s">
        <v>83</v>
      </c>
      <c r="F20" s="31" t="n">
        <v>7.37</v>
      </c>
      <c r="G20" s="31" t="n">
        <v>7.73</v>
      </c>
      <c r="H20" s="31" t="n">
        <v>7.11</v>
      </c>
      <c r="I20" s="31" t="n">
        <v>7.4</v>
      </c>
      <c r="J20" s="31" t="n">
        <v>6.79</v>
      </c>
      <c r="K20" s="31" t="n">
        <v>7.11</v>
      </c>
      <c r="L20" s="31" t="n">
        <v>7.08</v>
      </c>
      <c r="M20" s="31" t="n">
        <v>7.57</v>
      </c>
      <c r="N20" s="31" t="n">
        <v>7.24</v>
      </c>
      <c r="O20" s="31" t="n">
        <v>6.22</v>
      </c>
      <c r="P20" s="31" t="n">
        <v>5.55</v>
      </c>
      <c r="Q20" s="31" t="n">
        <v>3.32</v>
      </c>
      <c r="R20" s="31" t="n">
        <v>3.21</v>
      </c>
      <c r="S20" s="31" t="n">
        <v>3.28</v>
      </c>
      <c r="T20" s="31" t="n">
        <v>3.4</v>
      </c>
      <c r="U20" s="31" t="n">
        <v>2.99</v>
      </c>
      <c r="V20" s="31" t="n">
        <v>2.98</v>
      </c>
    </row>
    <row r="21" customFormat="false" ht="15" hidden="false" customHeight="false" outlineLevel="0" collapsed="false">
      <c r="A21" s="12" t="s">
        <v>401</v>
      </c>
      <c r="B21" s="12" t="s">
        <v>420</v>
      </c>
      <c r="C21" s="12" t="s">
        <v>121</v>
      </c>
      <c r="D21" s="12" t="s">
        <v>419</v>
      </c>
      <c r="E21" s="12" t="s">
        <v>83</v>
      </c>
      <c r="F21" s="31" t="n">
        <v>5.77</v>
      </c>
      <c r="G21" s="31" t="n">
        <v>6.26</v>
      </c>
      <c r="H21" s="31" t="n">
        <v>5.56</v>
      </c>
      <c r="I21" s="31" t="n">
        <v>5.56</v>
      </c>
      <c r="J21" s="31" t="n">
        <v>4.92</v>
      </c>
      <c r="K21" s="31" t="n">
        <v>5.19</v>
      </c>
      <c r="L21" s="31" t="n">
        <v>5.39</v>
      </c>
      <c r="M21" s="31" t="n">
        <v>5.7</v>
      </c>
      <c r="N21" s="31" t="n">
        <v>5.52</v>
      </c>
      <c r="O21" s="31" t="n">
        <v>4.56</v>
      </c>
      <c r="P21" s="31" t="n">
        <v>4.35</v>
      </c>
      <c r="Q21" s="31" t="n">
        <v>2.57</v>
      </c>
      <c r="R21" s="31" t="n">
        <v>2.43</v>
      </c>
      <c r="S21" s="31" t="n">
        <v>2.43</v>
      </c>
      <c r="T21" s="31" t="n">
        <v>2.68</v>
      </c>
      <c r="U21" s="31" t="n">
        <v>2.31</v>
      </c>
      <c r="V21" s="31" t="n">
        <v>2.37</v>
      </c>
    </row>
    <row r="22" customFormat="false" ht="15" hidden="false" customHeight="false" outlineLevel="0" collapsed="false">
      <c r="A22" s="12" t="s">
        <v>401</v>
      </c>
      <c r="B22" s="12" t="s">
        <v>421</v>
      </c>
      <c r="C22" s="12" t="s">
        <v>128</v>
      </c>
      <c r="D22" s="12" t="s">
        <v>419</v>
      </c>
      <c r="E22" s="12" t="s">
        <v>83</v>
      </c>
      <c r="F22" s="31" t="n">
        <v>8.61</v>
      </c>
      <c r="G22" s="31" t="n">
        <v>8.95</v>
      </c>
      <c r="H22" s="31" t="n">
        <v>8.48</v>
      </c>
      <c r="I22" s="31" t="n">
        <v>9.03</v>
      </c>
      <c r="J22" s="31" t="n">
        <v>8.53</v>
      </c>
      <c r="K22" s="31" t="n">
        <v>8.9</v>
      </c>
      <c r="L22" s="31" t="n">
        <v>8.64</v>
      </c>
      <c r="M22" s="31" t="n">
        <v>9.33</v>
      </c>
      <c r="N22" s="31" t="n">
        <v>8.8</v>
      </c>
      <c r="O22" s="31" t="n">
        <v>7.71</v>
      </c>
      <c r="P22" s="31" t="n">
        <v>6.63</v>
      </c>
      <c r="Q22" s="31" t="n">
        <v>4.03</v>
      </c>
      <c r="R22" s="31" t="n">
        <v>3.92</v>
      </c>
      <c r="S22" s="31" t="n">
        <v>4.07</v>
      </c>
      <c r="T22" s="31" t="n">
        <v>4.08</v>
      </c>
      <c r="U22" s="31" t="n">
        <v>3.63</v>
      </c>
      <c r="V22" s="31" t="n">
        <v>3.55</v>
      </c>
    </row>
    <row r="23" customFormat="false" ht="15" hidden="false" customHeight="false" outlineLevel="0" collapsed="false">
      <c r="A23" s="12" t="s">
        <v>401</v>
      </c>
      <c r="B23" s="12" t="s">
        <v>422</v>
      </c>
      <c r="C23" s="12" t="s">
        <v>114</v>
      </c>
      <c r="D23" s="12" t="s">
        <v>423</v>
      </c>
      <c r="E23" s="12" t="s">
        <v>83</v>
      </c>
      <c r="F23" s="31" t="n">
        <v>3.37</v>
      </c>
      <c r="G23" s="31" t="n">
        <v>3.4</v>
      </c>
      <c r="H23" s="31" t="n">
        <v>3.32</v>
      </c>
      <c r="I23" s="31" t="n">
        <v>3.14</v>
      </c>
      <c r="J23" s="31" t="n">
        <v>3.22</v>
      </c>
      <c r="K23" s="31" t="n">
        <v>3.18</v>
      </c>
      <c r="L23" s="31" t="n">
        <v>3.31</v>
      </c>
      <c r="M23" s="31" t="n">
        <v>3.15</v>
      </c>
      <c r="N23" s="31" t="n">
        <v>3.14</v>
      </c>
      <c r="O23" s="31" t="n">
        <v>2.68</v>
      </c>
      <c r="P23" s="31" t="n">
        <v>2.77</v>
      </c>
      <c r="Q23" s="31" t="n">
        <v>1.76</v>
      </c>
      <c r="R23" s="31" t="n">
        <v>1.66</v>
      </c>
      <c r="S23" s="31" t="n">
        <v>1.71</v>
      </c>
      <c r="T23" s="31" t="n">
        <v>1.68</v>
      </c>
      <c r="U23" s="31" t="n">
        <v>1.52</v>
      </c>
      <c r="V23" s="31" t="n">
        <v>1.54</v>
      </c>
    </row>
    <row r="24" customFormat="false" ht="15" hidden="false" customHeight="false" outlineLevel="0" collapsed="false">
      <c r="A24" s="12" t="s">
        <v>401</v>
      </c>
      <c r="B24" s="12" t="s">
        <v>424</v>
      </c>
      <c r="C24" s="12" t="s">
        <v>121</v>
      </c>
      <c r="D24" s="12" t="s">
        <v>423</v>
      </c>
      <c r="E24" s="12" t="s">
        <v>83</v>
      </c>
      <c r="F24" s="31" t="n">
        <v>2.41</v>
      </c>
      <c r="G24" s="31" t="n">
        <v>2.48</v>
      </c>
      <c r="H24" s="31" t="n">
        <v>2.31</v>
      </c>
      <c r="I24" s="31" t="n">
        <v>2.02</v>
      </c>
      <c r="J24" s="31" t="n">
        <v>2.14</v>
      </c>
      <c r="K24" s="31" t="n">
        <v>2.18</v>
      </c>
      <c r="L24" s="31" t="n">
        <v>2.35</v>
      </c>
      <c r="M24" s="31" t="n">
        <v>2.23</v>
      </c>
      <c r="N24" s="31" t="n">
        <v>2.22</v>
      </c>
      <c r="O24" s="31" t="n">
        <v>1.92</v>
      </c>
      <c r="P24" s="31" t="n">
        <v>1.94</v>
      </c>
      <c r="Q24" s="31" t="n">
        <v>1.24</v>
      </c>
      <c r="R24" s="31" t="n">
        <v>1.15</v>
      </c>
      <c r="S24" s="31" t="n">
        <v>1.27</v>
      </c>
      <c r="T24" s="31" t="n">
        <v>1.27</v>
      </c>
      <c r="U24" s="31" t="n">
        <v>1.22</v>
      </c>
      <c r="V24" s="31" t="n">
        <v>1.27</v>
      </c>
    </row>
    <row r="25" customFormat="false" ht="15" hidden="false" customHeight="false" outlineLevel="0" collapsed="false">
      <c r="A25" s="12" t="s">
        <v>401</v>
      </c>
      <c r="B25" s="12" t="s">
        <v>425</v>
      </c>
      <c r="C25" s="12" t="s">
        <v>128</v>
      </c>
      <c r="D25" s="12" t="s">
        <v>423</v>
      </c>
      <c r="E25" s="12" t="s">
        <v>83</v>
      </c>
      <c r="F25" s="31" t="n">
        <v>4.11</v>
      </c>
      <c r="G25" s="31" t="n">
        <v>4.16</v>
      </c>
      <c r="H25" s="31" t="n">
        <v>4.2</v>
      </c>
      <c r="I25" s="31" t="n">
        <v>4.13</v>
      </c>
      <c r="J25" s="31" t="n">
        <v>4.22</v>
      </c>
      <c r="K25" s="31" t="n">
        <v>4.11</v>
      </c>
      <c r="L25" s="31" t="n">
        <v>4.2</v>
      </c>
      <c r="M25" s="31" t="n">
        <v>4.03</v>
      </c>
      <c r="N25" s="31" t="n">
        <v>3.99</v>
      </c>
      <c r="O25" s="31" t="n">
        <v>3.37</v>
      </c>
      <c r="P25" s="31" t="n">
        <v>3.53</v>
      </c>
      <c r="Q25" s="31" t="n">
        <v>2.25</v>
      </c>
      <c r="R25" s="31" t="n">
        <v>2.13</v>
      </c>
      <c r="S25" s="31" t="n">
        <v>2.12</v>
      </c>
      <c r="T25" s="31" t="n">
        <v>2.06</v>
      </c>
      <c r="U25" s="31" t="n">
        <v>1.81</v>
      </c>
      <c r="V25" s="31" t="n">
        <v>1.79</v>
      </c>
    </row>
    <row r="26" customFormat="false" ht="15" hidden="false" customHeight="false" outlineLevel="0" collapsed="false">
      <c r="A26" s="12" t="s">
        <v>401</v>
      </c>
      <c r="B26" s="12" t="s">
        <v>426</v>
      </c>
      <c r="C26" s="12" t="s">
        <v>114</v>
      </c>
      <c r="D26" s="12" t="s">
        <v>427</v>
      </c>
      <c r="E26" s="12" t="s">
        <v>83</v>
      </c>
      <c r="F26" s="31" t="n">
        <v>1.79</v>
      </c>
      <c r="G26" s="31" t="n">
        <v>1.85</v>
      </c>
      <c r="H26" s="31" t="n">
        <v>1.93</v>
      </c>
      <c r="I26" s="31" t="n">
        <v>1.92</v>
      </c>
      <c r="J26" s="31" t="n">
        <v>1.92</v>
      </c>
      <c r="K26" s="31" t="n">
        <v>1.89</v>
      </c>
      <c r="L26" s="31" t="n">
        <v>1.91</v>
      </c>
      <c r="M26" s="31" t="n">
        <v>1.82</v>
      </c>
      <c r="N26" s="31" t="n">
        <v>1.87</v>
      </c>
      <c r="O26" s="31" t="n">
        <v>1.64</v>
      </c>
      <c r="P26" s="31" t="n">
        <v>1.57</v>
      </c>
      <c r="Q26" s="31" t="n">
        <v>0.86</v>
      </c>
      <c r="R26" s="31" t="n">
        <v>0.81</v>
      </c>
      <c r="S26" s="31" t="n">
        <v>0.92</v>
      </c>
      <c r="T26" s="31" t="n">
        <v>0.84</v>
      </c>
      <c r="U26" s="31" t="n">
        <v>0.78</v>
      </c>
      <c r="V26" s="31" t="n">
        <v>0.81</v>
      </c>
    </row>
    <row r="27" customFormat="false" ht="15" hidden="false" customHeight="false" outlineLevel="0" collapsed="false">
      <c r="A27" s="12" t="s">
        <v>401</v>
      </c>
      <c r="B27" s="12" t="s">
        <v>428</v>
      </c>
      <c r="C27" s="12" t="s">
        <v>121</v>
      </c>
      <c r="D27" s="12" t="s">
        <v>427</v>
      </c>
      <c r="E27" s="12" t="s">
        <v>83</v>
      </c>
      <c r="F27" s="31" t="n">
        <v>1.07</v>
      </c>
      <c r="G27" s="31" t="n">
        <v>1.13</v>
      </c>
      <c r="H27" s="31" t="n">
        <v>1.26</v>
      </c>
      <c r="I27" s="31" t="n">
        <v>1.21</v>
      </c>
      <c r="J27" s="31" t="n">
        <v>1.19</v>
      </c>
      <c r="K27" s="31" t="n">
        <v>1.14</v>
      </c>
      <c r="L27" s="31" t="n">
        <v>1.29</v>
      </c>
      <c r="M27" s="31" t="n">
        <v>1.26</v>
      </c>
      <c r="N27" s="31" t="n">
        <v>1.26</v>
      </c>
      <c r="O27" s="31" t="n">
        <v>1.16</v>
      </c>
      <c r="P27" s="31" t="n">
        <v>1.11</v>
      </c>
      <c r="Q27" s="31" t="n">
        <v>0.6</v>
      </c>
      <c r="R27" s="31" t="n">
        <v>0.56</v>
      </c>
      <c r="S27" s="31" t="n">
        <v>0.66</v>
      </c>
      <c r="T27" s="31" t="n">
        <v>0.62</v>
      </c>
      <c r="U27" s="31" t="n">
        <v>0.56</v>
      </c>
      <c r="V27" s="31" t="n">
        <v>0.59</v>
      </c>
    </row>
    <row r="28" customFormat="false" ht="15" hidden="false" customHeight="false" outlineLevel="0" collapsed="false">
      <c r="A28" s="12" t="s">
        <v>401</v>
      </c>
      <c r="B28" s="12" t="s">
        <v>429</v>
      </c>
      <c r="C28" s="12" t="s">
        <v>128</v>
      </c>
      <c r="D28" s="12" t="s">
        <v>427</v>
      </c>
      <c r="E28" s="12" t="s">
        <v>83</v>
      </c>
      <c r="F28" s="31" t="n">
        <v>2.34</v>
      </c>
      <c r="G28" s="31" t="n">
        <v>2.44</v>
      </c>
      <c r="H28" s="31" t="n">
        <v>2.53</v>
      </c>
      <c r="I28" s="31" t="n">
        <v>2.54</v>
      </c>
      <c r="J28" s="31" t="n">
        <v>2.59</v>
      </c>
      <c r="K28" s="31" t="n">
        <v>2.6</v>
      </c>
      <c r="L28" s="31" t="n">
        <v>2.48</v>
      </c>
      <c r="M28" s="31" t="n">
        <v>2.34</v>
      </c>
      <c r="N28" s="31" t="n">
        <v>2.43</v>
      </c>
      <c r="O28" s="31" t="n">
        <v>2.08</v>
      </c>
      <c r="P28" s="31" t="n">
        <v>1.98</v>
      </c>
      <c r="Q28" s="31" t="n">
        <v>1.12</v>
      </c>
      <c r="R28" s="31" t="n">
        <v>1.03</v>
      </c>
      <c r="S28" s="31" t="n">
        <v>1.15</v>
      </c>
      <c r="T28" s="31" t="n">
        <v>1.04</v>
      </c>
      <c r="U28" s="31" t="n">
        <v>1</v>
      </c>
      <c r="V28" s="31" t="n">
        <v>1.01</v>
      </c>
    </row>
    <row r="29" customFormat="false" ht="15" hidden="false" customHeight="false" outlineLevel="0" collapsed="false">
      <c r="A29" s="12" t="s">
        <v>401</v>
      </c>
      <c r="B29" s="12" t="s">
        <v>430</v>
      </c>
      <c r="C29" s="12" t="s">
        <v>114</v>
      </c>
      <c r="D29" s="12" t="s">
        <v>431</v>
      </c>
      <c r="E29" s="12" t="s">
        <v>83</v>
      </c>
      <c r="F29" s="31" t="n">
        <v>1.16</v>
      </c>
      <c r="G29" s="31" t="n">
        <v>1.15</v>
      </c>
      <c r="H29" s="31" t="n">
        <v>1.16</v>
      </c>
      <c r="I29" s="31" t="n">
        <v>1.05</v>
      </c>
      <c r="J29" s="31" t="n">
        <v>1.16</v>
      </c>
      <c r="K29" s="31" t="n">
        <v>1.12</v>
      </c>
      <c r="L29" s="31" t="n">
        <v>1.11</v>
      </c>
      <c r="M29" s="31" t="n">
        <v>1.22</v>
      </c>
      <c r="N29" s="31" t="n">
        <v>1.13</v>
      </c>
      <c r="O29" s="31" t="n">
        <v>0.94</v>
      </c>
      <c r="P29" s="31" t="n">
        <v>0.89</v>
      </c>
      <c r="Q29" s="31" t="n">
        <v>0.37</v>
      </c>
      <c r="R29" s="31" t="n">
        <v>0.24</v>
      </c>
      <c r="S29" s="31" t="n">
        <v>0.32</v>
      </c>
      <c r="T29" s="31" t="n">
        <v>0.4</v>
      </c>
      <c r="U29" s="31" t="n">
        <v>0.12</v>
      </c>
      <c r="V29" s="31" t="n">
        <v>0.21</v>
      </c>
    </row>
    <row r="30" customFormat="false" ht="15" hidden="false" customHeight="false" outlineLevel="0" collapsed="false">
      <c r="A30" s="12" t="s">
        <v>401</v>
      </c>
      <c r="B30" s="12" t="s">
        <v>432</v>
      </c>
      <c r="C30" s="12" t="s">
        <v>121</v>
      </c>
      <c r="D30" s="12" t="s">
        <v>431</v>
      </c>
      <c r="E30" s="12" t="s">
        <v>83</v>
      </c>
      <c r="F30" s="31" t="n">
        <v>0.74</v>
      </c>
      <c r="G30" s="31" t="n">
        <v>0.69</v>
      </c>
      <c r="H30" s="31" t="n">
        <v>0.72</v>
      </c>
      <c r="I30" s="31" t="n">
        <v>0.55</v>
      </c>
      <c r="J30" s="31" t="n">
        <v>0.66</v>
      </c>
      <c r="K30" s="31" t="n">
        <v>0.72</v>
      </c>
      <c r="L30" s="31" t="n">
        <v>0.71</v>
      </c>
      <c r="M30" s="31" t="n">
        <v>0.79</v>
      </c>
      <c r="N30" s="31" t="n">
        <v>0.68</v>
      </c>
      <c r="O30" s="31" t="n">
        <v>0.61</v>
      </c>
      <c r="P30" s="31" t="n">
        <v>0.65</v>
      </c>
      <c r="Q30" s="31" t="n">
        <v>0.24</v>
      </c>
      <c r="R30" s="31" t="n">
        <v>0.15</v>
      </c>
      <c r="S30" s="31" t="n">
        <v>0.18</v>
      </c>
      <c r="T30" s="31" t="n">
        <v>0.26</v>
      </c>
      <c r="U30" s="31" t="n">
        <v>0.07</v>
      </c>
      <c r="V30" s="31" t="n">
        <v>0.12</v>
      </c>
    </row>
    <row r="31" customFormat="false" ht="15" hidden="false" customHeight="false" outlineLevel="0" collapsed="false">
      <c r="A31" s="12" t="s">
        <v>401</v>
      </c>
      <c r="B31" s="12" t="s">
        <v>433</v>
      </c>
      <c r="C31" s="12" t="s">
        <v>128</v>
      </c>
      <c r="D31" s="12" t="s">
        <v>431</v>
      </c>
      <c r="E31" s="12" t="s">
        <v>83</v>
      </c>
      <c r="F31" s="31" t="n">
        <v>1.49</v>
      </c>
      <c r="G31" s="31" t="n">
        <v>1.53</v>
      </c>
      <c r="H31" s="31" t="n">
        <v>1.55</v>
      </c>
      <c r="I31" s="31" t="n">
        <v>1.49</v>
      </c>
      <c r="J31" s="31" t="n">
        <v>1.61</v>
      </c>
      <c r="K31" s="31" t="n">
        <v>1.49</v>
      </c>
      <c r="L31" s="31" t="n">
        <v>1.48</v>
      </c>
      <c r="M31" s="31" t="n">
        <v>1.62</v>
      </c>
      <c r="N31" s="31" t="n">
        <v>1.54</v>
      </c>
      <c r="O31" s="31" t="n">
        <v>1.24</v>
      </c>
      <c r="P31" s="31" t="n">
        <v>1.1</v>
      </c>
      <c r="Q31" s="31" t="n">
        <v>0.48</v>
      </c>
      <c r="R31" s="31" t="n">
        <v>0.33</v>
      </c>
      <c r="S31" s="31" t="n">
        <v>0.44</v>
      </c>
      <c r="T31" s="31" t="n">
        <v>0.54</v>
      </c>
      <c r="U31" s="31" t="n">
        <v>0.17</v>
      </c>
      <c r="V31" s="31" t="n">
        <v>0.3</v>
      </c>
    </row>
    <row r="32" customFormat="false" ht="15" hidden="false" customHeight="false" outlineLevel="0" collapsed="false">
      <c r="A32" s="12" t="s">
        <v>401</v>
      </c>
      <c r="B32" s="12" t="s">
        <v>434</v>
      </c>
      <c r="C32" s="12" t="s">
        <v>114</v>
      </c>
      <c r="D32" s="12" t="s">
        <v>435</v>
      </c>
      <c r="E32" s="12" t="s">
        <v>83</v>
      </c>
      <c r="F32" s="31" t="n">
        <v>1.42</v>
      </c>
      <c r="G32" s="31" t="n">
        <v>1.14</v>
      </c>
      <c r="H32" s="31" t="n">
        <v>1.39</v>
      </c>
      <c r="I32" s="31" t="n">
        <v>1.25</v>
      </c>
      <c r="J32" s="31" t="n">
        <v>1.38</v>
      </c>
      <c r="K32" s="31" t="n">
        <v>1.38</v>
      </c>
      <c r="L32" s="31" t="n">
        <v>1.31</v>
      </c>
      <c r="M32" s="31" t="n">
        <v>1.3</v>
      </c>
      <c r="N32" s="31" t="n">
        <v>1.33</v>
      </c>
      <c r="O32" s="31" t="n">
        <v>0.91</v>
      </c>
      <c r="P32" s="31" t="n">
        <v>0.85</v>
      </c>
      <c r="Q32" s="31" t="n">
        <v>0.16</v>
      </c>
      <c r="R32" s="31" t="n">
        <v>0.14</v>
      </c>
      <c r="S32" s="31" t="n">
        <v>0.15</v>
      </c>
      <c r="T32" s="31" t="n">
        <v>0.14</v>
      </c>
      <c r="U32" s="31" t="n">
        <v>0.11</v>
      </c>
      <c r="V32" s="31" t="n">
        <v>0.12</v>
      </c>
    </row>
    <row r="33" customFormat="false" ht="15" hidden="false" customHeight="false" outlineLevel="0" collapsed="false">
      <c r="A33" s="12" t="s">
        <v>401</v>
      </c>
      <c r="B33" s="12" t="s">
        <v>436</v>
      </c>
      <c r="C33" s="12" t="s">
        <v>121</v>
      </c>
      <c r="D33" s="12" t="s">
        <v>435</v>
      </c>
      <c r="E33" s="12" t="s">
        <v>83</v>
      </c>
      <c r="F33" s="31" t="n">
        <v>0.73</v>
      </c>
      <c r="G33" s="31" t="n">
        <v>0.47</v>
      </c>
      <c r="H33" s="31" t="n">
        <v>0.77</v>
      </c>
      <c r="I33" s="31" t="n">
        <v>0.63</v>
      </c>
      <c r="J33" s="31" t="n">
        <v>0.73</v>
      </c>
      <c r="K33" s="31" t="n">
        <v>0.69</v>
      </c>
      <c r="L33" s="31" t="n">
        <v>0.66</v>
      </c>
      <c r="M33" s="31" t="n">
        <v>0.74</v>
      </c>
      <c r="N33" s="31" t="n">
        <v>0.73</v>
      </c>
      <c r="O33" s="31" t="n">
        <v>0.49</v>
      </c>
      <c r="P33" s="31" t="n">
        <v>0.45</v>
      </c>
      <c r="Q33" s="31" t="n">
        <v>0.06</v>
      </c>
      <c r="R33" s="31" t="n">
        <v>0.05</v>
      </c>
      <c r="S33" s="31" t="n">
        <v>0.07</v>
      </c>
      <c r="T33" s="31" t="n">
        <v>0.07</v>
      </c>
      <c r="U33" s="31" t="n">
        <v>0.06</v>
      </c>
      <c r="V33" s="31" t="n">
        <v>0.05</v>
      </c>
    </row>
    <row r="34" customFormat="false" ht="15" hidden="false" customHeight="false" outlineLevel="0" collapsed="false">
      <c r="A34" s="12" t="s">
        <v>401</v>
      </c>
      <c r="B34" s="12" t="s">
        <v>437</v>
      </c>
      <c r="C34" s="12" t="s">
        <v>128</v>
      </c>
      <c r="D34" s="12" t="s">
        <v>435</v>
      </c>
      <c r="E34" s="12" t="s">
        <v>83</v>
      </c>
      <c r="F34" s="31" t="n">
        <v>1.95</v>
      </c>
      <c r="G34" s="31" t="n">
        <v>1.68</v>
      </c>
      <c r="H34" s="31" t="n">
        <v>1.94</v>
      </c>
      <c r="I34" s="31" t="n">
        <v>1.81</v>
      </c>
      <c r="J34" s="31" t="n">
        <v>1.98</v>
      </c>
      <c r="K34" s="31" t="n">
        <v>2.02</v>
      </c>
      <c r="L34" s="31" t="n">
        <v>1.91</v>
      </c>
      <c r="M34" s="31" t="n">
        <v>1.83</v>
      </c>
      <c r="N34" s="31" t="n">
        <v>1.87</v>
      </c>
      <c r="O34" s="31" t="n">
        <v>1.29</v>
      </c>
      <c r="P34" s="31" t="n">
        <v>1.22</v>
      </c>
      <c r="Q34" s="31" t="n">
        <v>0.25</v>
      </c>
      <c r="R34" s="31" t="n">
        <v>0.21</v>
      </c>
      <c r="S34" s="31" t="n">
        <v>0.22</v>
      </c>
      <c r="T34" s="31" t="n">
        <v>0.21</v>
      </c>
      <c r="U34" s="31" t="n">
        <v>0.16</v>
      </c>
      <c r="V34" s="31" t="n">
        <v>0.18</v>
      </c>
    </row>
    <row r="35" customFormat="false" ht="15" hidden="false" customHeight="false" outlineLevel="0" collapsed="false">
      <c r="A35" s="12" t="s">
        <v>401</v>
      </c>
      <c r="B35" s="12" t="s">
        <v>438</v>
      </c>
      <c r="C35" s="12" t="s">
        <v>114</v>
      </c>
      <c r="D35" s="12" t="s">
        <v>439</v>
      </c>
      <c r="E35" s="12" t="s">
        <v>83</v>
      </c>
      <c r="F35" s="31" t="n">
        <v>1.35</v>
      </c>
      <c r="G35" s="31" t="n">
        <v>1.34</v>
      </c>
      <c r="H35" s="31" t="n">
        <v>0.3</v>
      </c>
      <c r="I35" s="31" t="n">
        <v>1.38</v>
      </c>
      <c r="J35" s="31" t="n">
        <v>1.52</v>
      </c>
      <c r="K35" s="31" t="n">
        <v>1.7</v>
      </c>
      <c r="L35" s="31" t="n">
        <v>0.23</v>
      </c>
      <c r="M35" s="31" t="n">
        <v>0.91</v>
      </c>
      <c r="N35" s="31" t="n">
        <v>1.5</v>
      </c>
      <c r="O35" s="31" t="n">
        <v>1.27</v>
      </c>
      <c r="P35" s="31" t="n">
        <v>0.82</v>
      </c>
      <c r="Q35" s="31" t="n">
        <v>3.19</v>
      </c>
      <c r="R35" s="31" t="n">
        <v>5.57</v>
      </c>
      <c r="S35" s="31" t="n">
        <v>4.15</v>
      </c>
      <c r="T35" s="31" t="n">
        <v>3.35</v>
      </c>
      <c r="U35" s="31" t="n">
        <v>4.77</v>
      </c>
      <c r="V35" s="31" t="n">
        <v>4.42</v>
      </c>
    </row>
    <row r="36" customFormat="false" ht="15" hidden="false" customHeight="false" outlineLevel="0" collapsed="false">
      <c r="A36" s="12" t="s">
        <v>401</v>
      </c>
      <c r="B36" s="12" t="s">
        <v>440</v>
      </c>
      <c r="C36" s="12" t="s">
        <v>121</v>
      </c>
      <c r="D36" s="12" t="s">
        <v>439</v>
      </c>
      <c r="E36" s="12" t="s">
        <v>83</v>
      </c>
      <c r="F36" s="31" t="n">
        <v>2.32</v>
      </c>
      <c r="G36" s="31" t="n">
        <v>2.4</v>
      </c>
      <c r="H36" s="31" t="n">
        <v>0.44</v>
      </c>
      <c r="I36" s="31" t="n">
        <v>2.22</v>
      </c>
      <c r="J36" s="31" t="n">
        <v>2.45</v>
      </c>
      <c r="K36" s="31" t="n">
        <v>2.63</v>
      </c>
      <c r="L36" s="31" t="n">
        <v>0.32</v>
      </c>
      <c r="M36" s="31" t="n">
        <v>1.94</v>
      </c>
      <c r="N36" s="31" t="n">
        <v>2.59</v>
      </c>
      <c r="O36" s="31" t="n">
        <v>1.95</v>
      </c>
      <c r="P36" s="31" t="n">
        <v>1.3</v>
      </c>
      <c r="Q36" s="31" t="n">
        <v>4.82</v>
      </c>
      <c r="R36" s="31" t="n">
        <v>7.96</v>
      </c>
      <c r="S36" s="31" t="n">
        <v>6.03</v>
      </c>
      <c r="T36" s="31" t="n">
        <v>4.3</v>
      </c>
      <c r="U36" s="31" t="n">
        <v>5.96</v>
      </c>
      <c r="V36" s="31" t="n">
        <v>5.78</v>
      </c>
    </row>
    <row r="37" customFormat="false" ht="15" hidden="false" customHeight="false" outlineLevel="0" collapsed="false">
      <c r="A37" s="12" t="s">
        <v>401</v>
      </c>
      <c r="B37" s="12" t="s">
        <v>441</v>
      </c>
      <c r="C37" s="12" t="s">
        <v>128</v>
      </c>
      <c r="D37" s="12" t="s">
        <v>439</v>
      </c>
      <c r="E37" s="12" t="s">
        <v>83</v>
      </c>
      <c r="F37" s="31" t="n">
        <v>0.72</v>
      </c>
      <c r="G37" s="31" t="n">
        <v>0.62</v>
      </c>
      <c r="H37" s="31" t="n">
        <v>0.2</v>
      </c>
      <c r="I37" s="31" t="n">
        <v>0.79</v>
      </c>
      <c r="J37" s="31" t="n">
        <v>0.82</v>
      </c>
      <c r="K37" s="31" t="n">
        <v>1</v>
      </c>
      <c r="L37" s="31" t="n">
        <v>0.17</v>
      </c>
      <c r="M37" s="31" t="n">
        <v>0.15</v>
      </c>
      <c r="N37" s="31" t="n">
        <v>0.7</v>
      </c>
      <c r="O37" s="31" t="n">
        <v>0.79</v>
      </c>
      <c r="P37" s="31" t="n">
        <v>0.48</v>
      </c>
      <c r="Q37" s="31" t="n">
        <v>1.99</v>
      </c>
      <c r="R37" s="31" t="n">
        <v>3.82</v>
      </c>
      <c r="S37" s="31" t="n">
        <v>2.76</v>
      </c>
      <c r="T37" s="31" t="n">
        <v>2.65</v>
      </c>
      <c r="U37" s="31" t="n">
        <v>3.88</v>
      </c>
      <c r="V37" s="31" t="n">
        <v>3.37</v>
      </c>
    </row>
    <row r="38" customFormat="false" ht="15" hidden="false" customHeight="false" outlineLevel="0" collapsed="false">
      <c r="A38" s="12" t="s">
        <v>401</v>
      </c>
      <c r="B38" s="12" t="s">
        <v>442</v>
      </c>
      <c r="C38" s="12" t="s">
        <v>114</v>
      </c>
      <c r="D38" s="12" t="s">
        <v>443</v>
      </c>
      <c r="E38" s="12" t="s">
        <v>83</v>
      </c>
      <c r="F38" s="31" t="n">
        <v>33.49</v>
      </c>
      <c r="G38" s="31" t="n">
        <v>33.48</v>
      </c>
      <c r="H38" s="31" t="n">
        <v>32.69</v>
      </c>
      <c r="I38" s="31" t="n">
        <v>31.95</v>
      </c>
      <c r="J38" s="31" t="n">
        <v>31.79</v>
      </c>
      <c r="K38" s="31" t="n">
        <v>31.68</v>
      </c>
      <c r="L38" s="31" t="n">
        <v>30.25</v>
      </c>
      <c r="M38" s="31" t="n">
        <v>29.96</v>
      </c>
      <c r="N38" s="31" t="n">
        <v>31.12</v>
      </c>
      <c r="O38" s="31" t="n">
        <v>36.56</v>
      </c>
      <c r="P38" s="31" t="n">
        <v>38.76</v>
      </c>
      <c r="Q38" s="31" t="n">
        <v>51.85</v>
      </c>
      <c r="R38" s="31" t="n">
        <v>52.27</v>
      </c>
      <c r="S38" s="31" t="n">
        <v>51.69</v>
      </c>
      <c r="T38" s="31" t="n">
        <v>53.16</v>
      </c>
      <c r="U38" s="31" t="n">
        <v>54.08</v>
      </c>
      <c r="V38" s="31" t="n">
        <v>54.46</v>
      </c>
    </row>
    <row r="39" customFormat="false" ht="15" hidden="false" customHeight="false" outlineLevel="0" collapsed="false">
      <c r="A39" s="12" t="s">
        <v>401</v>
      </c>
      <c r="B39" s="12" t="s">
        <v>444</v>
      </c>
      <c r="C39" s="12" t="s">
        <v>121</v>
      </c>
      <c r="D39" s="12" t="s">
        <v>443</v>
      </c>
      <c r="E39" s="12" t="s">
        <v>83</v>
      </c>
      <c r="F39" s="31" t="n">
        <v>39.55</v>
      </c>
      <c r="G39" s="31" t="n">
        <v>39</v>
      </c>
      <c r="H39" s="31" t="n">
        <v>38.74</v>
      </c>
      <c r="I39" s="31" t="n">
        <v>37.37</v>
      </c>
      <c r="J39" s="31" t="n">
        <v>38.1</v>
      </c>
      <c r="K39" s="31" t="n">
        <v>37.39</v>
      </c>
      <c r="L39" s="31" t="n">
        <v>35.02</v>
      </c>
      <c r="M39" s="31" t="n">
        <v>34.59</v>
      </c>
      <c r="N39" s="31" t="n">
        <v>35.75</v>
      </c>
      <c r="O39" s="31" t="n">
        <v>41.12</v>
      </c>
      <c r="P39" s="31" t="n">
        <v>43.12</v>
      </c>
      <c r="Q39" s="31" t="n">
        <v>52.93</v>
      </c>
      <c r="R39" s="31" t="n">
        <v>51.95</v>
      </c>
      <c r="S39" s="31" t="n">
        <v>52.07</v>
      </c>
      <c r="T39" s="31" t="n">
        <v>53.59</v>
      </c>
      <c r="U39" s="31" t="n">
        <v>53.43</v>
      </c>
      <c r="V39" s="31" t="n">
        <v>53.99</v>
      </c>
    </row>
    <row r="40" customFormat="false" ht="15" hidden="false" customHeight="false" outlineLevel="0" collapsed="false">
      <c r="A40" s="12" t="s">
        <v>401</v>
      </c>
      <c r="B40" s="12" t="s">
        <v>445</v>
      </c>
      <c r="C40" s="12" t="s">
        <v>128</v>
      </c>
      <c r="D40" s="12" t="s">
        <v>443</v>
      </c>
      <c r="E40" s="12" t="s">
        <v>83</v>
      </c>
      <c r="F40" s="31" t="n">
        <v>29.59</v>
      </c>
      <c r="G40" s="31" t="n">
        <v>29.73</v>
      </c>
      <c r="H40" s="31" t="n">
        <v>28.52</v>
      </c>
      <c r="I40" s="31" t="n">
        <v>28.09</v>
      </c>
      <c r="J40" s="31" t="n">
        <v>27.09</v>
      </c>
      <c r="K40" s="31" t="n">
        <v>27.44</v>
      </c>
      <c r="L40" s="31" t="n">
        <v>26.9</v>
      </c>
      <c r="M40" s="31" t="n">
        <v>26.55</v>
      </c>
      <c r="N40" s="31" t="n">
        <v>27.75</v>
      </c>
      <c r="O40" s="31" t="n">
        <v>33.33</v>
      </c>
      <c r="P40" s="31" t="n">
        <v>35.63</v>
      </c>
      <c r="Q40" s="31" t="n">
        <v>51.05</v>
      </c>
      <c r="R40" s="31" t="n">
        <v>52.5</v>
      </c>
      <c r="S40" s="31" t="n">
        <v>51.41</v>
      </c>
      <c r="T40" s="31" t="n">
        <v>52.84</v>
      </c>
      <c r="U40" s="31" t="n">
        <v>54.57</v>
      </c>
      <c r="V40" s="31" t="n">
        <v>54.81</v>
      </c>
    </row>
    <row r="41" customFormat="false" ht="15" hidden="false" customHeight="false" outlineLevel="0" collapsed="false">
      <c r="A41" s="12" t="s">
        <v>401</v>
      </c>
      <c r="B41" s="12" t="s">
        <v>446</v>
      </c>
      <c r="C41" s="12" t="s">
        <v>114</v>
      </c>
      <c r="D41" s="12" t="s">
        <v>447</v>
      </c>
      <c r="E41" s="12" t="s">
        <v>83</v>
      </c>
      <c r="F41" s="31" t="n">
        <v>32.16</v>
      </c>
      <c r="G41" s="31" t="n">
        <v>31.64</v>
      </c>
      <c r="H41" s="31" t="n">
        <v>32.42</v>
      </c>
      <c r="I41" s="31" t="n">
        <v>32.04</v>
      </c>
      <c r="J41" s="31" t="n">
        <v>32.25</v>
      </c>
      <c r="K41" s="31" t="n">
        <v>31.72</v>
      </c>
      <c r="L41" s="31" t="n">
        <v>33.07</v>
      </c>
      <c r="M41" s="31" t="n">
        <v>32.62</v>
      </c>
      <c r="N41" s="31" t="n">
        <v>31.99</v>
      </c>
      <c r="O41" s="31" t="n">
        <v>30.84</v>
      </c>
      <c r="P41" s="31" t="n">
        <v>30.16</v>
      </c>
      <c r="Q41" s="31" t="n">
        <v>25.21</v>
      </c>
      <c r="R41" s="31" t="n">
        <v>24.08</v>
      </c>
      <c r="S41" s="31" t="n">
        <v>25.16</v>
      </c>
      <c r="T41" s="31" t="n">
        <v>24.74</v>
      </c>
      <c r="U41" s="31" t="n">
        <v>24.21</v>
      </c>
      <c r="V41" s="31" t="n">
        <v>24.25</v>
      </c>
    </row>
    <row r="42" customFormat="false" ht="15" hidden="false" customHeight="false" outlineLevel="0" collapsed="false">
      <c r="A42" s="12" t="s">
        <v>401</v>
      </c>
      <c r="B42" s="12" t="s">
        <v>448</v>
      </c>
      <c r="C42" s="12" t="s">
        <v>121</v>
      </c>
      <c r="D42" s="12" t="s">
        <v>447</v>
      </c>
      <c r="E42" s="12" t="s">
        <v>83</v>
      </c>
      <c r="F42" s="31" t="n">
        <v>30.11</v>
      </c>
      <c r="G42" s="31" t="n">
        <v>29.97</v>
      </c>
      <c r="H42" s="31" t="n">
        <v>30.93</v>
      </c>
      <c r="I42" s="31" t="n">
        <v>31.19</v>
      </c>
      <c r="J42" s="31" t="n">
        <v>31.1</v>
      </c>
      <c r="K42" s="31" t="n">
        <v>30.99</v>
      </c>
      <c r="L42" s="31" t="n">
        <v>32.62</v>
      </c>
      <c r="M42" s="31" t="n">
        <v>31.28</v>
      </c>
      <c r="N42" s="31" t="n">
        <v>30.41</v>
      </c>
      <c r="O42" s="31" t="n">
        <v>29.44</v>
      </c>
      <c r="P42" s="31" t="n">
        <v>28.43</v>
      </c>
      <c r="Q42" s="31" t="n">
        <v>24.93</v>
      </c>
      <c r="R42" s="31" t="n">
        <v>24.28</v>
      </c>
      <c r="S42" s="31" t="n">
        <v>25.47</v>
      </c>
      <c r="T42" s="31" t="n">
        <v>24.96</v>
      </c>
      <c r="U42" s="31" t="n">
        <v>25.16</v>
      </c>
      <c r="V42" s="31" t="n">
        <v>25.01</v>
      </c>
    </row>
    <row r="43" customFormat="false" ht="15" hidden="false" customHeight="false" outlineLevel="0" collapsed="false">
      <c r="A43" s="12" t="s">
        <v>401</v>
      </c>
      <c r="B43" s="12" t="s">
        <v>449</v>
      </c>
      <c r="C43" s="12" t="s">
        <v>128</v>
      </c>
      <c r="D43" s="12" t="s">
        <v>447</v>
      </c>
      <c r="E43" s="12" t="s">
        <v>83</v>
      </c>
      <c r="F43" s="31" t="n">
        <v>33.48</v>
      </c>
      <c r="G43" s="31" t="n">
        <v>32.79</v>
      </c>
      <c r="H43" s="31" t="n">
        <v>33.44</v>
      </c>
      <c r="I43" s="31" t="n">
        <v>32.65</v>
      </c>
      <c r="J43" s="31" t="n">
        <v>33.1</v>
      </c>
      <c r="K43" s="31" t="n">
        <v>32.25</v>
      </c>
      <c r="L43" s="31" t="n">
        <v>33.38</v>
      </c>
      <c r="M43" s="31" t="n">
        <v>33.6</v>
      </c>
      <c r="N43" s="31" t="n">
        <v>33.13</v>
      </c>
      <c r="O43" s="31" t="n">
        <v>31.84</v>
      </c>
      <c r="P43" s="31" t="n">
        <v>31.39</v>
      </c>
      <c r="Q43" s="31" t="n">
        <v>25.41</v>
      </c>
      <c r="R43" s="31" t="n">
        <v>23.93</v>
      </c>
      <c r="S43" s="31" t="n">
        <v>24.93</v>
      </c>
      <c r="T43" s="31" t="n">
        <v>24.58</v>
      </c>
      <c r="U43" s="31" t="n">
        <v>23.5</v>
      </c>
      <c r="V43" s="31" t="n">
        <v>23.66</v>
      </c>
    </row>
    <row r="44" customFormat="false" ht="15" hidden="false" customHeight="false" outlineLevel="0" collapsed="false">
      <c r="A44" s="12" t="s">
        <v>401</v>
      </c>
      <c r="B44" s="12" t="s">
        <v>450</v>
      </c>
      <c r="C44" s="12" t="s">
        <v>114</v>
      </c>
      <c r="D44" s="12" t="s">
        <v>451</v>
      </c>
      <c r="E44" s="12" t="s">
        <v>83</v>
      </c>
      <c r="F44" s="31" t="n">
        <v>15.36</v>
      </c>
      <c r="G44" s="31" t="n">
        <v>15.38</v>
      </c>
      <c r="H44" s="31" t="n">
        <v>16.14</v>
      </c>
      <c r="I44" s="31" t="n">
        <v>16.46</v>
      </c>
      <c r="J44" s="31" t="n">
        <v>16.3</v>
      </c>
      <c r="K44" s="31" t="n">
        <v>16.23</v>
      </c>
      <c r="L44" s="31" t="n">
        <v>17.26</v>
      </c>
      <c r="M44" s="31" t="n">
        <v>17.09</v>
      </c>
      <c r="N44" s="31" t="n">
        <v>16.66</v>
      </c>
      <c r="O44" s="31" t="n">
        <v>15.58</v>
      </c>
      <c r="P44" s="31" t="n">
        <v>15.2</v>
      </c>
      <c r="Q44" s="31" t="n">
        <v>11.38</v>
      </c>
      <c r="R44" s="31" t="n">
        <v>10.44</v>
      </c>
      <c r="S44" s="31" t="n">
        <v>10.97</v>
      </c>
      <c r="T44" s="31" t="n">
        <v>10.51</v>
      </c>
      <c r="U44" s="31" t="n">
        <v>9.88</v>
      </c>
      <c r="V44" s="31" t="n">
        <v>9.72</v>
      </c>
    </row>
    <row r="45" customFormat="false" ht="15" hidden="false" customHeight="false" outlineLevel="0" collapsed="false">
      <c r="A45" s="12" t="s">
        <v>401</v>
      </c>
      <c r="B45" s="12" t="s">
        <v>452</v>
      </c>
      <c r="C45" s="12" t="s">
        <v>121</v>
      </c>
      <c r="D45" s="12" t="s">
        <v>451</v>
      </c>
      <c r="E45" s="12" t="s">
        <v>83</v>
      </c>
      <c r="F45" s="31" t="n">
        <v>14.01</v>
      </c>
      <c r="G45" s="31" t="n">
        <v>13.98</v>
      </c>
      <c r="H45" s="31" t="n">
        <v>14.9</v>
      </c>
      <c r="I45" s="31" t="n">
        <v>15.41</v>
      </c>
      <c r="J45" s="31" t="n">
        <v>14.73</v>
      </c>
      <c r="K45" s="31" t="n">
        <v>14.71</v>
      </c>
      <c r="L45" s="31" t="n">
        <v>16.36</v>
      </c>
      <c r="M45" s="31" t="n">
        <v>16.42</v>
      </c>
      <c r="N45" s="31" t="n">
        <v>16.19</v>
      </c>
      <c r="O45" s="31" t="n">
        <v>14.83</v>
      </c>
      <c r="P45" s="31" t="n">
        <v>14.59</v>
      </c>
      <c r="Q45" s="31" t="n">
        <v>10.41</v>
      </c>
      <c r="R45" s="31" t="n">
        <v>9.58</v>
      </c>
      <c r="S45" s="31" t="n">
        <v>9.9</v>
      </c>
      <c r="T45" s="31" t="n">
        <v>10.07</v>
      </c>
      <c r="U45" s="31" t="n">
        <v>9.38</v>
      </c>
      <c r="V45" s="31" t="n">
        <v>8.95</v>
      </c>
    </row>
    <row r="46" customFormat="false" ht="15" hidden="false" customHeight="false" outlineLevel="0" collapsed="false">
      <c r="A46" s="12" t="s">
        <v>401</v>
      </c>
      <c r="B46" s="12" t="s">
        <v>453</v>
      </c>
      <c r="C46" s="12" t="s">
        <v>128</v>
      </c>
      <c r="D46" s="12" t="s">
        <v>451</v>
      </c>
      <c r="E46" s="12" t="s">
        <v>83</v>
      </c>
      <c r="F46" s="31" t="n">
        <v>16.23</v>
      </c>
      <c r="G46" s="31" t="n">
        <v>16.33</v>
      </c>
      <c r="H46" s="31" t="n">
        <v>17</v>
      </c>
      <c r="I46" s="31" t="n">
        <v>17.2</v>
      </c>
      <c r="J46" s="31" t="n">
        <v>17.46</v>
      </c>
      <c r="K46" s="31" t="n">
        <v>17.37</v>
      </c>
      <c r="L46" s="31" t="n">
        <v>17.9</v>
      </c>
      <c r="M46" s="31" t="n">
        <v>17.58</v>
      </c>
      <c r="N46" s="31" t="n">
        <v>16.99</v>
      </c>
      <c r="O46" s="31" t="n">
        <v>16.12</v>
      </c>
      <c r="P46" s="31" t="n">
        <v>15.63</v>
      </c>
      <c r="Q46" s="31" t="n">
        <v>12.1</v>
      </c>
      <c r="R46" s="31" t="n">
        <v>11.08</v>
      </c>
      <c r="S46" s="31" t="n">
        <v>11.76</v>
      </c>
      <c r="T46" s="31" t="n">
        <v>10.83</v>
      </c>
      <c r="U46" s="31" t="n">
        <v>10.26</v>
      </c>
      <c r="V46" s="31" t="n">
        <v>10.32</v>
      </c>
    </row>
    <row r="47" customFormat="false" ht="15" hidden="false" customHeight="false" outlineLevel="0" collapsed="false">
      <c r="A47" s="12" t="s">
        <v>401</v>
      </c>
      <c r="B47" s="12" t="s">
        <v>454</v>
      </c>
      <c r="C47" s="12" t="s">
        <v>114</v>
      </c>
      <c r="D47" s="12" t="s">
        <v>455</v>
      </c>
      <c r="E47" s="12" t="s">
        <v>83</v>
      </c>
      <c r="F47" s="31" t="n">
        <v>8.59</v>
      </c>
      <c r="G47" s="31" t="n">
        <v>9.17</v>
      </c>
      <c r="H47" s="31" t="n">
        <v>8.77</v>
      </c>
      <c r="I47" s="31" t="n">
        <v>9.11</v>
      </c>
      <c r="J47" s="31" t="n">
        <v>8.49</v>
      </c>
      <c r="K47" s="31" t="n">
        <v>9.01</v>
      </c>
      <c r="L47" s="31" t="n">
        <v>9.22</v>
      </c>
      <c r="M47" s="31" t="n">
        <v>9.76</v>
      </c>
      <c r="N47" s="31" t="n">
        <v>9.2</v>
      </c>
      <c r="O47" s="31" t="n">
        <v>7.89</v>
      </c>
      <c r="P47" s="31" t="n">
        <v>7.17</v>
      </c>
      <c r="Q47" s="31" t="n">
        <v>4.28</v>
      </c>
      <c r="R47" s="31" t="n">
        <v>4.05</v>
      </c>
      <c r="S47" s="31" t="n">
        <v>4.13</v>
      </c>
      <c r="T47" s="31" t="n">
        <v>4.34</v>
      </c>
      <c r="U47" s="31" t="n">
        <v>3.81</v>
      </c>
      <c r="V47" s="31" t="n">
        <v>3.76</v>
      </c>
    </row>
    <row r="48" customFormat="false" ht="15" hidden="false" customHeight="false" outlineLevel="0" collapsed="false">
      <c r="A48" s="12" t="s">
        <v>401</v>
      </c>
      <c r="B48" s="12" t="s">
        <v>456</v>
      </c>
      <c r="C48" s="12" t="s">
        <v>121</v>
      </c>
      <c r="D48" s="12" t="s">
        <v>455</v>
      </c>
      <c r="E48" s="12" t="s">
        <v>83</v>
      </c>
      <c r="F48" s="31" t="n">
        <v>7.51</v>
      </c>
      <c r="G48" s="31" t="n">
        <v>8.29</v>
      </c>
      <c r="H48" s="31" t="n">
        <v>7.82</v>
      </c>
      <c r="I48" s="31" t="n">
        <v>7.73</v>
      </c>
      <c r="J48" s="31" t="n">
        <v>6.92</v>
      </c>
      <c r="K48" s="31" t="n">
        <v>7.43</v>
      </c>
      <c r="L48" s="31" t="n">
        <v>8.13</v>
      </c>
      <c r="M48" s="31" t="n">
        <v>8.38</v>
      </c>
      <c r="N48" s="31" t="n">
        <v>7.97</v>
      </c>
      <c r="O48" s="31" t="n">
        <v>6.61</v>
      </c>
      <c r="P48" s="31" t="n">
        <v>6.42</v>
      </c>
      <c r="Q48" s="31" t="n">
        <v>3.76</v>
      </c>
      <c r="R48" s="31" t="n">
        <v>3.48</v>
      </c>
      <c r="S48" s="31" t="n">
        <v>3.44</v>
      </c>
      <c r="T48" s="31" t="n">
        <v>3.88</v>
      </c>
      <c r="U48" s="31" t="n">
        <v>3.33</v>
      </c>
      <c r="V48" s="31" t="n">
        <v>3.37</v>
      </c>
    </row>
    <row r="49" customFormat="false" ht="15" hidden="false" customHeight="false" outlineLevel="0" collapsed="false">
      <c r="A49" s="12" t="s">
        <v>401</v>
      </c>
      <c r="B49" s="12" t="s">
        <v>457</v>
      </c>
      <c r="C49" s="12" t="s">
        <v>128</v>
      </c>
      <c r="D49" s="12" t="s">
        <v>455</v>
      </c>
      <c r="E49" s="12" t="s">
        <v>83</v>
      </c>
      <c r="F49" s="31" t="n">
        <v>9.28</v>
      </c>
      <c r="G49" s="31" t="n">
        <v>9.76</v>
      </c>
      <c r="H49" s="31" t="n">
        <v>9.43</v>
      </c>
      <c r="I49" s="31" t="n">
        <v>10.09</v>
      </c>
      <c r="J49" s="31" t="n">
        <v>9.66</v>
      </c>
      <c r="K49" s="31" t="n">
        <v>10.19</v>
      </c>
      <c r="L49" s="31" t="n">
        <v>9.99</v>
      </c>
      <c r="M49" s="31" t="n">
        <v>10.77</v>
      </c>
      <c r="N49" s="31" t="n">
        <v>10.09</v>
      </c>
      <c r="O49" s="31" t="n">
        <v>8.8</v>
      </c>
      <c r="P49" s="31" t="n">
        <v>7.71</v>
      </c>
      <c r="Q49" s="31" t="n">
        <v>4.67</v>
      </c>
      <c r="R49" s="31" t="n">
        <v>4.47</v>
      </c>
      <c r="S49" s="31" t="n">
        <v>4.64</v>
      </c>
      <c r="T49" s="31" t="n">
        <v>4.68</v>
      </c>
      <c r="U49" s="31" t="n">
        <v>4.17</v>
      </c>
      <c r="V49" s="31" t="n">
        <v>4.06</v>
      </c>
    </row>
    <row r="50" customFormat="false" ht="15" hidden="false" customHeight="false" outlineLevel="0" collapsed="false">
      <c r="A50" s="12" t="s">
        <v>401</v>
      </c>
      <c r="B50" s="12" t="s">
        <v>458</v>
      </c>
      <c r="C50" s="12" t="s">
        <v>114</v>
      </c>
      <c r="D50" s="12" t="s">
        <v>459</v>
      </c>
      <c r="E50" s="12" t="s">
        <v>83</v>
      </c>
      <c r="F50" s="31" t="n">
        <v>3.94</v>
      </c>
      <c r="G50" s="31" t="n">
        <v>4.06</v>
      </c>
      <c r="H50" s="31" t="n">
        <v>4.11</v>
      </c>
      <c r="I50" s="31" t="n">
        <v>3.85</v>
      </c>
      <c r="J50" s="31" t="n">
        <v>4.05</v>
      </c>
      <c r="K50" s="31" t="n">
        <v>4.05</v>
      </c>
      <c r="L50" s="31" t="n">
        <v>4.32</v>
      </c>
      <c r="M50" s="31" t="n">
        <v>4.07</v>
      </c>
      <c r="N50" s="31" t="n">
        <v>4.01</v>
      </c>
      <c r="O50" s="31" t="n">
        <v>3.41</v>
      </c>
      <c r="P50" s="31" t="n">
        <v>3.6</v>
      </c>
      <c r="Q50" s="31" t="n">
        <v>2.28</v>
      </c>
      <c r="R50" s="31" t="n">
        <v>2.1</v>
      </c>
      <c r="S50" s="31" t="n">
        <v>2.16</v>
      </c>
      <c r="T50" s="31" t="n">
        <v>2.15</v>
      </c>
      <c r="U50" s="31" t="n">
        <v>1.95</v>
      </c>
      <c r="V50" s="31" t="n">
        <v>1.95</v>
      </c>
    </row>
    <row r="51" customFormat="false" ht="15" hidden="false" customHeight="false" outlineLevel="0" collapsed="false">
      <c r="A51" s="12" t="s">
        <v>401</v>
      </c>
      <c r="B51" s="12" t="s">
        <v>460</v>
      </c>
      <c r="C51" s="12" t="s">
        <v>121</v>
      </c>
      <c r="D51" s="12" t="s">
        <v>459</v>
      </c>
      <c r="E51" s="12" t="s">
        <v>83</v>
      </c>
      <c r="F51" s="31" t="n">
        <v>3.17</v>
      </c>
      <c r="G51" s="31" t="n">
        <v>3.31</v>
      </c>
      <c r="H51" s="31" t="n">
        <v>3.27</v>
      </c>
      <c r="I51" s="31" t="n">
        <v>2.76</v>
      </c>
      <c r="J51" s="31" t="n">
        <v>3.03</v>
      </c>
      <c r="K51" s="31" t="n">
        <v>3.16</v>
      </c>
      <c r="L51" s="31" t="n">
        <v>3.51</v>
      </c>
      <c r="M51" s="31" t="n">
        <v>3.29</v>
      </c>
      <c r="N51" s="31" t="n">
        <v>3.21</v>
      </c>
      <c r="O51" s="31" t="n">
        <v>2.78</v>
      </c>
      <c r="P51" s="31" t="n">
        <v>2.86</v>
      </c>
      <c r="Q51" s="31" t="n">
        <v>1.83</v>
      </c>
      <c r="R51" s="31" t="n">
        <v>1.65</v>
      </c>
      <c r="S51" s="31" t="n">
        <v>1.81</v>
      </c>
      <c r="T51" s="31" t="n">
        <v>1.84</v>
      </c>
      <c r="U51" s="31" t="n">
        <v>1.76</v>
      </c>
      <c r="V51" s="31" t="n">
        <v>1.81</v>
      </c>
    </row>
    <row r="52" customFormat="false" ht="15" hidden="false" customHeight="false" outlineLevel="0" collapsed="false">
      <c r="A52" s="12" t="s">
        <v>401</v>
      </c>
      <c r="B52" s="12" t="s">
        <v>461</v>
      </c>
      <c r="C52" s="12" t="s">
        <v>128</v>
      </c>
      <c r="D52" s="12" t="s">
        <v>459</v>
      </c>
      <c r="E52" s="12" t="s">
        <v>83</v>
      </c>
      <c r="F52" s="31" t="n">
        <v>4.43</v>
      </c>
      <c r="G52" s="31" t="n">
        <v>4.57</v>
      </c>
      <c r="H52" s="31" t="n">
        <v>4.69</v>
      </c>
      <c r="I52" s="31" t="n">
        <v>4.62</v>
      </c>
      <c r="J52" s="31" t="n">
        <v>4.81</v>
      </c>
      <c r="K52" s="31" t="n">
        <v>4.72</v>
      </c>
      <c r="L52" s="31" t="n">
        <v>4.88</v>
      </c>
      <c r="M52" s="31" t="n">
        <v>4.65</v>
      </c>
      <c r="N52" s="31" t="n">
        <v>4.59</v>
      </c>
      <c r="O52" s="31" t="n">
        <v>3.85</v>
      </c>
      <c r="P52" s="31" t="n">
        <v>4.13</v>
      </c>
      <c r="Q52" s="31" t="n">
        <v>2.62</v>
      </c>
      <c r="R52" s="31" t="n">
        <v>2.43</v>
      </c>
      <c r="S52" s="31" t="n">
        <v>2.42</v>
      </c>
      <c r="T52" s="31" t="n">
        <v>2.38</v>
      </c>
      <c r="U52" s="31" t="n">
        <v>2.09</v>
      </c>
      <c r="V52" s="31" t="n">
        <v>2.05</v>
      </c>
    </row>
    <row r="53" customFormat="false" ht="15" hidden="false" customHeight="false" outlineLevel="0" collapsed="false">
      <c r="A53" s="12" t="s">
        <v>401</v>
      </c>
      <c r="B53" s="12" t="s">
        <v>462</v>
      </c>
      <c r="C53" s="12" t="s">
        <v>114</v>
      </c>
      <c r="D53" s="12" t="s">
        <v>463</v>
      </c>
      <c r="E53" s="12" t="s">
        <v>83</v>
      </c>
      <c r="F53" s="31" t="n">
        <v>2.09</v>
      </c>
      <c r="G53" s="31" t="n">
        <v>2.21</v>
      </c>
      <c r="H53" s="31" t="n">
        <v>2.39</v>
      </c>
      <c r="I53" s="31" t="n">
        <v>2.37</v>
      </c>
      <c r="J53" s="31" t="n">
        <v>2.41</v>
      </c>
      <c r="K53" s="31" t="n">
        <v>2.41</v>
      </c>
      <c r="L53" s="31" t="n">
        <v>2.48</v>
      </c>
      <c r="M53" s="31" t="n">
        <v>2.34</v>
      </c>
      <c r="N53" s="31" t="n">
        <v>2.39</v>
      </c>
      <c r="O53" s="31" t="n">
        <v>2.09</v>
      </c>
      <c r="P53" s="31" t="n">
        <v>2.03</v>
      </c>
      <c r="Q53" s="31" t="n">
        <v>1.12</v>
      </c>
      <c r="R53" s="31" t="n">
        <v>1.02</v>
      </c>
      <c r="S53" s="31" t="n">
        <v>1.16</v>
      </c>
      <c r="T53" s="31" t="n">
        <v>1.07</v>
      </c>
      <c r="U53" s="31" t="n">
        <v>1</v>
      </c>
      <c r="V53" s="31" t="n">
        <v>1.03</v>
      </c>
    </row>
    <row r="54" customFormat="false" ht="15" hidden="false" customHeight="false" outlineLevel="0" collapsed="false">
      <c r="A54" s="12" t="s">
        <v>401</v>
      </c>
      <c r="B54" s="12" t="s">
        <v>464</v>
      </c>
      <c r="C54" s="12" t="s">
        <v>121</v>
      </c>
      <c r="D54" s="12" t="s">
        <v>463</v>
      </c>
      <c r="E54" s="12" t="s">
        <v>83</v>
      </c>
      <c r="F54" s="31" t="n">
        <v>1.4</v>
      </c>
      <c r="G54" s="31" t="n">
        <v>1.51</v>
      </c>
      <c r="H54" s="31" t="n">
        <v>1.77</v>
      </c>
      <c r="I54" s="31" t="n">
        <v>1.69</v>
      </c>
      <c r="J54" s="31" t="n">
        <v>1.68</v>
      </c>
      <c r="K54" s="31" t="n">
        <v>1.64</v>
      </c>
      <c r="L54" s="31" t="n">
        <v>1.96</v>
      </c>
      <c r="M54" s="31" t="n">
        <v>1.85</v>
      </c>
      <c r="N54" s="31" t="n">
        <v>1.83</v>
      </c>
      <c r="O54" s="31" t="n">
        <v>1.67</v>
      </c>
      <c r="P54" s="31" t="n">
        <v>1.64</v>
      </c>
      <c r="Q54" s="31" t="n">
        <v>0.87</v>
      </c>
      <c r="R54" s="31" t="n">
        <v>0.81</v>
      </c>
      <c r="S54" s="31" t="n">
        <v>0.93</v>
      </c>
      <c r="T54" s="31" t="n">
        <v>0.9</v>
      </c>
      <c r="U54" s="31" t="n">
        <v>0.81</v>
      </c>
      <c r="V54" s="31" t="n">
        <v>0.85</v>
      </c>
    </row>
    <row r="55" customFormat="false" ht="15" hidden="false" customHeight="false" outlineLevel="0" collapsed="false">
      <c r="A55" s="12" t="s">
        <v>401</v>
      </c>
      <c r="B55" s="12" t="s">
        <v>465</v>
      </c>
      <c r="C55" s="12" t="s">
        <v>128</v>
      </c>
      <c r="D55" s="12" t="s">
        <v>463</v>
      </c>
      <c r="E55" s="12" t="s">
        <v>83</v>
      </c>
      <c r="F55" s="31" t="n">
        <v>2.54</v>
      </c>
      <c r="G55" s="31" t="n">
        <v>2.68</v>
      </c>
      <c r="H55" s="31" t="n">
        <v>2.82</v>
      </c>
      <c r="I55" s="31" t="n">
        <v>2.85</v>
      </c>
      <c r="J55" s="31" t="n">
        <v>2.96</v>
      </c>
      <c r="K55" s="31" t="n">
        <v>2.99</v>
      </c>
      <c r="L55" s="31" t="n">
        <v>2.86</v>
      </c>
      <c r="M55" s="31" t="n">
        <v>2.7</v>
      </c>
      <c r="N55" s="31" t="n">
        <v>2.8</v>
      </c>
      <c r="O55" s="31" t="n">
        <v>2.38</v>
      </c>
      <c r="P55" s="31" t="n">
        <v>2.31</v>
      </c>
      <c r="Q55" s="31" t="n">
        <v>1.3</v>
      </c>
      <c r="R55" s="31" t="n">
        <v>1.17</v>
      </c>
      <c r="S55" s="31" t="n">
        <v>1.32</v>
      </c>
      <c r="T55" s="31" t="n">
        <v>1.19</v>
      </c>
      <c r="U55" s="31" t="n">
        <v>1.15</v>
      </c>
      <c r="V55" s="31" t="n">
        <v>1.17</v>
      </c>
    </row>
    <row r="56" customFormat="false" ht="15" hidden="false" customHeight="false" outlineLevel="0" collapsed="false">
      <c r="A56" s="12" t="s">
        <v>401</v>
      </c>
      <c r="B56" s="12" t="s">
        <v>466</v>
      </c>
      <c r="C56" s="12" t="s">
        <v>114</v>
      </c>
      <c r="D56" s="12" t="s">
        <v>467</v>
      </c>
      <c r="E56" s="12" t="s">
        <v>83</v>
      </c>
      <c r="F56" s="31" t="n">
        <v>1.36</v>
      </c>
      <c r="G56" s="31" t="n">
        <v>1.37</v>
      </c>
      <c r="H56" s="31" t="n">
        <v>1.45</v>
      </c>
      <c r="I56" s="31" t="n">
        <v>1.3</v>
      </c>
      <c r="J56" s="31" t="n">
        <v>1.45</v>
      </c>
      <c r="K56" s="31" t="n">
        <v>1.43</v>
      </c>
      <c r="L56" s="31" t="n">
        <v>1.45</v>
      </c>
      <c r="M56" s="31" t="n">
        <v>1.57</v>
      </c>
      <c r="N56" s="31" t="n">
        <v>1.44</v>
      </c>
      <c r="O56" s="31" t="n">
        <v>1.2</v>
      </c>
      <c r="P56" s="31" t="n">
        <v>1.15</v>
      </c>
      <c r="Q56" s="31" t="n">
        <v>0.48</v>
      </c>
      <c r="R56" s="31" t="n">
        <v>0.31</v>
      </c>
      <c r="S56" s="31" t="n">
        <v>0.4</v>
      </c>
      <c r="T56" s="31" t="n">
        <v>0.51</v>
      </c>
      <c r="U56" s="31" t="n">
        <v>0.15</v>
      </c>
      <c r="V56" s="31" t="n">
        <v>0.27</v>
      </c>
    </row>
    <row r="58" customFormat="false" ht="15" hidden="false" customHeight="false" outlineLevel="0" collapsed="false">
      <c r="A58" s="11" t="s">
        <v>468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0"/>
    <col collapsed="false" customWidth="true" hidden="false" outlineLevel="0" max="8" min="3" style="0" width="18"/>
    <col collapsed="false" customWidth="true" hidden="false" outlineLevel="0" max="10" min="9" style="0" width="16"/>
    <col collapsed="false" customWidth="true" hidden="false" outlineLevel="0" max="12" min="11" style="0" width="18"/>
    <col collapsed="false" customWidth="true" hidden="false" outlineLevel="0" max="13" min="13" style="0" width="26"/>
  </cols>
  <sheetData>
    <row r="1" customFormat="false" ht="42" hidden="false" customHeight="true" outlineLevel="0" collapsed="false">
      <c r="A1" s="4" t="s">
        <v>469</v>
      </c>
      <c r="B1" s="4" t="s">
        <v>470</v>
      </c>
      <c r="C1" s="4" t="s">
        <v>471</v>
      </c>
      <c r="D1" s="4" t="s">
        <v>472</v>
      </c>
      <c r="E1" s="4" t="s">
        <v>473</v>
      </c>
      <c r="F1" s="4" t="s">
        <v>474</v>
      </c>
      <c r="G1" s="4" t="s">
        <v>475</v>
      </c>
      <c r="H1" s="4" t="s">
        <v>476</v>
      </c>
      <c r="I1" s="4" t="s">
        <v>477</v>
      </c>
      <c r="J1" s="4" t="s">
        <v>478</v>
      </c>
      <c r="K1" s="4" t="s">
        <v>479</v>
      </c>
      <c r="L1" s="4" t="s">
        <v>480</v>
      </c>
      <c r="M1" s="4" t="s">
        <v>481</v>
      </c>
    </row>
    <row r="2" customFormat="false" ht="15" hidden="false" customHeight="false" outlineLevel="0" collapsed="false">
      <c r="A2" s="12" t="s">
        <v>306</v>
      </c>
      <c r="B2" s="12" t="s">
        <v>306</v>
      </c>
      <c r="C2" s="28" t="n">
        <v>14187169</v>
      </c>
      <c r="D2" s="28" t="n">
        <v>32078</v>
      </c>
      <c r="E2" s="28" t="n">
        <v>7967510</v>
      </c>
      <c r="F2" s="28" t="n">
        <v>33146</v>
      </c>
      <c r="G2" s="28" t="n">
        <v>6219659</v>
      </c>
      <c r="H2" s="28" t="n">
        <v>30709</v>
      </c>
      <c r="I2" s="28" t="n">
        <v>719998</v>
      </c>
      <c r="J2" s="31" t="n">
        <v>100</v>
      </c>
      <c r="K2" s="31" t="n">
        <v>100</v>
      </c>
      <c r="L2" s="17" t="n">
        <f aca="false">G2/C2*100</f>
        <v>43.8400289726583</v>
      </c>
      <c r="M2" s="17" t="n">
        <f aca="false">(1-H2/F2)*100</f>
        <v>7.35232003861703</v>
      </c>
    </row>
    <row r="3" customFormat="false" ht="15" hidden="false" customHeight="false" outlineLevel="0" collapsed="false">
      <c r="A3" s="12" t="s">
        <v>482</v>
      </c>
      <c r="B3" s="12" t="s">
        <v>483</v>
      </c>
      <c r="C3" s="28" t="n">
        <v>1418716</v>
      </c>
      <c r="D3" s="28" t="n">
        <v>16577</v>
      </c>
      <c r="E3" s="28" t="n">
        <v>652362</v>
      </c>
      <c r="F3" s="28" t="n">
        <v>16577</v>
      </c>
      <c r="G3" s="28" t="n">
        <v>766354</v>
      </c>
      <c r="H3" s="28" t="n">
        <v>16577</v>
      </c>
      <c r="I3" s="28" t="n">
        <v>17373</v>
      </c>
      <c r="J3" s="31" t="n">
        <v>10</v>
      </c>
      <c r="K3" s="31" t="n">
        <v>5.17</v>
      </c>
      <c r="L3" s="17" t="n">
        <f aca="false">G3/C3*100</f>
        <v>54.0174354839164</v>
      </c>
      <c r="M3" s="17" t="n">
        <f aca="false">(1-H3/F3)*100</f>
        <v>0</v>
      </c>
    </row>
    <row r="4" customFormat="false" ht="15" hidden="false" customHeight="false" outlineLevel="0" collapsed="false">
      <c r="A4" s="12" t="s">
        <v>484</v>
      </c>
      <c r="B4" s="12" t="s">
        <v>485</v>
      </c>
      <c r="C4" s="28" t="n">
        <v>141871</v>
      </c>
      <c r="D4" s="28" t="n">
        <v>15887</v>
      </c>
      <c r="E4" s="28" t="n">
        <v>70592</v>
      </c>
      <c r="F4" s="28" t="n">
        <v>15886</v>
      </c>
      <c r="G4" s="28" t="n">
        <v>71279</v>
      </c>
      <c r="H4" s="28" t="n">
        <v>15888</v>
      </c>
      <c r="I4" s="28" t="n">
        <v>15933</v>
      </c>
      <c r="J4" s="31" t="n">
        <v>1</v>
      </c>
      <c r="K4" s="31" t="n">
        <v>0.5</v>
      </c>
      <c r="L4" s="17" t="n">
        <f aca="false">G4/C4*100</f>
        <v>50.2421213637741</v>
      </c>
      <c r="M4" s="17" t="n">
        <f aca="false">(1-H4/F4)*100</f>
        <v>-0.0125897016240772</v>
      </c>
    </row>
    <row r="5" customFormat="false" ht="15" hidden="false" customHeight="false" outlineLevel="0" collapsed="false">
      <c r="A5" s="12" t="s">
        <v>484</v>
      </c>
      <c r="B5" s="12" t="s">
        <v>486</v>
      </c>
      <c r="C5" s="28" t="n">
        <v>141872</v>
      </c>
      <c r="D5" s="28" t="n">
        <v>16012</v>
      </c>
      <c r="E5" s="28" t="n">
        <v>63218</v>
      </c>
      <c r="F5" s="28" t="n">
        <v>16012</v>
      </c>
      <c r="G5" s="28" t="n">
        <v>78654</v>
      </c>
      <c r="H5" s="28" t="n">
        <v>16012</v>
      </c>
      <c r="I5" s="28" t="n">
        <v>16092</v>
      </c>
      <c r="J5" s="31" t="n">
        <v>2</v>
      </c>
      <c r="K5" s="31" t="n">
        <v>0.99</v>
      </c>
      <c r="L5" s="17" t="n">
        <f aca="false">G5/C5*100</f>
        <v>55.4401150332694</v>
      </c>
      <c r="M5" s="17" t="n">
        <f aca="false">(1-H5/F5)*100</f>
        <v>0</v>
      </c>
    </row>
    <row r="6" customFormat="false" ht="15" hidden="false" customHeight="false" outlineLevel="0" collapsed="false">
      <c r="A6" s="12" t="s">
        <v>484</v>
      </c>
      <c r="B6" s="12" t="s">
        <v>487</v>
      </c>
      <c r="C6" s="28" t="n">
        <v>141872</v>
      </c>
      <c r="D6" s="28" t="n">
        <v>16171</v>
      </c>
      <c r="E6" s="28" t="n">
        <v>63617</v>
      </c>
      <c r="F6" s="28" t="n">
        <v>16171</v>
      </c>
      <c r="G6" s="28" t="n">
        <v>78255</v>
      </c>
      <c r="H6" s="28" t="n">
        <v>16171</v>
      </c>
      <c r="I6" s="28" t="n">
        <v>16250</v>
      </c>
      <c r="J6" s="31" t="n">
        <v>3</v>
      </c>
      <c r="K6" s="31" t="n">
        <v>1.5</v>
      </c>
      <c r="L6" s="17" t="n">
        <f aca="false">G6/C6*100</f>
        <v>55.1588756061802</v>
      </c>
      <c r="M6" s="17" t="n">
        <f aca="false">(1-H6/F6)*100</f>
        <v>0</v>
      </c>
    </row>
    <row r="7" customFormat="false" ht="15" hidden="false" customHeight="false" outlineLevel="0" collapsed="false">
      <c r="A7" s="12" t="s">
        <v>484</v>
      </c>
      <c r="B7" s="12" t="s">
        <v>488</v>
      </c>
      <c r="C7" s="28" t="n">
        <v>141871</v>
      </c>
      <c r="D7" s="28" t="n">
        <v>16333</v>
      </c>
      <c r="E7" s="28" t="n">
        <v>63698</v>
      </c>
      <c r="F7" s="28" t="n">
        <v>16333</v>
      </c>
      <c r="G7" s="28" t="n">
        <v>78173</v>
      </c>
      <c r="H7" s="28" t="n">
        <v>16333</v>
      </c>
      <c r="I7" s="28" t="n">
        <v>16413</v>
      </c>
      <c r="J7" s="31" t="n">
        <v>4</v>
      </c>
      <c r="K7" s="31" t="n">
        <v>2.01</v>
      </c>
      <c r="L7" s="17" t="n">
        <f aca="false">G7/C7*100</f>
        <v>55.101465415765</v>
      </c>
      <c r="M7" s="17" t="n">
        <f aca="false">(1-H7/F7)*100</f>
        <v>0</v>
      </c>
    </row>
    <row r="8" customFormat="false" ht="15" hidden="false" customHeight="false" outlineLevel="0" collapsed="false">
      <c r="A8" s="12" t="s">
        <v>484</v>
      </c>
      <c r="B8" s="12" t="s">
        <v>489</v>
      </c>
      <c r="C8" s="28" t="n">
        <v>141872</v>
      </c>
      <c r="D8" s="28" t="n">
        <v>16494</v>
      </c>
      <c r="E8" s="28" t="n">
        <v>63502</v>
      </c>
      <c r="F8" s="28" t="n">
        <v>16494</v>
      </c>
      <c r="G8" s="28" t="n">
        <v>78370</v>
      </c>
      <c r="H8" s="28" t="n">
        <v>16495</v>
      </c>
      <c r="I8" s="28" t="n">
        <v>16575</v>
      </c>
      <c r="J8" s="31" t="n">
        <v>5</v>
      </c>
      <c r="K8" s="31" t="n">
        <v>2.52</v>
      </c>
      <c r="L8" s="17" t="n">
        <f aca="false">G8/C8*100</f>
        <v>55.2399345889252</v>
      </c>
      <c r="M8" s="17" t="n">
        <f aca="false">(1-H8/F8)*100</f>
        <v>-0.00606281071904302</v>
      </c>
    </row>
    <row r="9" customFormat="false" ht="15" hidden="false" customHeight="false" outlineLevel="0" collapsed="false">
      <c r="A9" s="12" t="s">
        <v>484</v>
      </c>
      <c r="B9" s="12" t="s">
        <v>490</v>
      </c>
      <c r="C9" s="28" t="n">
        <v>141872</v>
      </c>
      <c r="D9" s="28" t="n">
        <v>16657</v>
      </c>
      <c r="E9" s="28" t="n">
        <v>64608</v>
      </c>
      <c r="F9" s="28" t="n">
        <v>16657</v>
      </c>
      <c r="G9" s="28" t="n">
        <v>77264</v>
      </c>
      <c r="H9" s="28" t="n">
        <v>16657</v>
      </c>
      <c r="I9" s="28" t="n">
        <v>16736</v>
      </c>
      <c r="J9" s="31" t="n">
        <v>6</v>
      </c>
      <c r="K9" s="31" t="n">
        <v>3.04</v>
      </c>
      <c r="L9" s="17" t="n">
        <f aca="false">G9/C9*100</f>
        <v>54.4603586331341</v>
      </c>
      <c r="M9" s="17" t="n">
        <f aca="false">(1-H9/F9)*100</f>
        <v>0</v>
      </c>
    </row>
    <row r="10" customFormat="false" ht="15" hidden="false" customHeight="false" outlineLevel="0" collapsed="false">
      <c r="A10" s="12" t="s">
        <v>484</v>
      </c>
      <c r="B10" s="12" t="s">
        <v>491</v>
      </c>
      <c r="C10" s="28" t="n">
        <v>141871</v>
      </c>
      <c r="D10" s="28" t="n">
        <v>16815</v>
      </c>
      <c r="E10" s="28" t="n">
        <v>64958</v>
      </c>
      <c r="F10" s="28" t="n">
        <v>16815</v>
      </c>
      <c r="G10" s="28" t="n">
        <v>76913</v>
      </c>
      <c r="H10" s="28" t="n">
        <v>16815</v>
      </c>
      <c r="I10" s="28" t="n">
        <v>16895</v>
      </c>
      <c r="J10" s="31" t="n">
        <v>7</v>
      </c>
      <c r="K10" s="31" t="n">
        <v>3.57</v>
      </c>
      <c r="L10" s="17" t="n">
        <f aca="false">G10/C10*100</f>
        <v>54.2133346490826</v>
      </c>
      <c r="M10" s="17" t="n">
        <f aca="false">(1-H10/F10)*100</f>
        <v>0</v>
      </c>
    </row>
    <row r="11" customFormat="false" ht="15" hidden="false" customHeight="false" outlineLevel="0" collapsed="false">
      <c r="A11" s="12" t="s">
        <v>484</v>
      </c>
      <c r="B11" s="12" t="s">
        <v>492</v>
      </c>
      <c r="C11" s="28" t="n">
        <v>141872</v>
      </c>
      <c r="D11" s="28" t="n">
        <v>16975</v>
      </c>
      <c r="E11" s="28" t="n">
        <v>65541</v>
      </c>
      <c r="F11" s="28" t="n">
        <v>16975</v>
      </c>
      <c r="G11" s="28" t="n">
        <v>76331</v>
      </c>
      <c r="H11" s="28" t="n">
        <v>16974</v>
      </c>
      <c r="I11" s="28" t="n">
        <v>17053</v>
      </c>
      <c r="J11" s="31" t="n">
        <v>8</v>
      </c>
      <c r="K11" s="31" t="n">
        <v>4.09</v>
      </c>
      <c r="L11" s="17" t="n">
        <f aca="false">G11/C11*100</f>
        <v>53.8027235818202</v>
      </c>
      <c r="M11" s="17" t="n">
        <f aca="false">(1-H11/F11)*100</f>
        <v>0.00589101620029897</v>
      </c>
    </row>
    <row r="12" customFormat="false" ht="15" hidden="false" customHeight="false" outlineLevel="0" collapsed="false">
      <c r="A12" s="12" t="s">
        <v>484</v>
      </c>
      <c r="B12" s="12" t="s">
        <v>493</v>
      </c>
      <c r="C12" s="28" t="n">
        <v>141872</v>
      </c>
      <c r="D12" s="28" t="n">
        <v>17133</v>
      </c>
      <c r="E12" s="28" t="n">
        <v>65744</v>
      </c>
      <c r="F12" s="28" t="n">
        <v>17133</v>
      </c>
      <c r="G12" s="28" t="n">
        <v>76128</v>
      </c>
      <c r="H12" s="28" t="n">
        <v>17133</v>
      </c>
      <c r="I12" s="28" t="n">
        <v>17213</v>
      </c>
      <c r="J12" s="31" t="n">
        <v>9</v>
      </c>
      <c r="K12" s="31" t="n">
        <v>4.63</v>
      </c>
      <c r="L12" s="17" t="n">
        <f aca="false">G12/C12*100</f>
        <v>53.6596368557573</v>
      </c>
      <c r="M12" s="17" t="n">
        <f aca="false">(1-H12/F12)*100</f>
        <v>0</v>
      </c>
    </row>
    <row r="13" customFormat="false" ht="15" hidden="false" customHeight="false" outlineLevel="0" collapsed="false">
      <c r="A13" s="12" t="s">
        <v>484</v>
      </c>
      <c r="B13" s="12" t="s">
        <v>494</v>
      </c>
      <c r="C13" s="28" t="n">
        <v>141871</v>
      </c>
      <c r="D13" s="28" t="n">
        <v>17293</v>
      </c>
      <c r="E13" s="28" t="n">
        <v>66884</v>
      </c>
      <c r="F13" s="28" t="n">
        <v>17294</v>
      </c>
      <c r="G13" s="28" t="n">
        <v>74987</v>
      </c>
      <c r="H13" s="28" t="n">
        <v>17293</v>
      </c>
      <c r="I13" s="28" t="n">
        <v>17373</v>
      </c>
      <c r="J13" s="31" t="n">
        <v>10</v>
      </c>
      <c r="K13" s="31" t="n">
        <v>5.17</v>
      </c>
      <c r="L13" s="17" t="n">
        <f aca="false">G13/C13*100</f>
        <v>52.8557633342967</v>
      </c>
      <c r="M13" s="17" t="n">
        <f aca="false">(1-H13/F13)*100</f>
        <v>0.00578235226089685</v>
      </c>
    </row>
    <row r="14" customFormat="false" ht="15" hidden="false" customHeight="false" outlineLevel="0" collapsed="false">
      <c r="A14" s="12" t="s">
        <v>482</v>
      </c>
      <c r="B14" s="12" t="s">
        <v>495</v>
      </c>
      <c r="C14" s="28" t="n">
        <v>1418717</v>
      </c>
      <c r="D14" s="28" t="n">
        <v>18207</v>
      </c>
      <c r="E14" s="28" t="n">
        <v>712884</v>
      </c>
      <c r="F14" s="28" t="n">
        <v>18224</v>
      </c>
      <c r="G14" s="28" t="n">
        <v>705833</v>
      </c>
      <c r="H14" s="28" t="n">
        <v>18189</v>
      </c>
      <c r="I14" s="28" t="n">
        <v>19071</v>
      </c>
      <c r="J14" s="31" t="n">
        <v>20</v>
      </c>
      <c r="K14" s="31" t="n">
        <v>10.84</v>
      </c>
      <c r="L14" s="17" t="n">
        <f aca="false">G14/C14*100</f>
        <v>49.7515008278607</v>
      </c>
      <c r="M14" s="17" t="n">
        <f aca="false">(1-H14/F14)*100</f>
        <v>0.192054433713784</v>
      </c>
    </row>
    <row r="15" customFormat="false" ht="15" hidden="false" customHeight="false" outlineLevel="0" collapsed="false">
      <c r="A15" s="12" t="s">
        <v>484</v>
      </c>
      <c r="B15" s="12" t="s">
        <v>496</v>
      </c>
      <c r="C15" s="28" t="n">
        <v>141872</v>
      </c>
      <c r="D15" s="28" t="n">
        <v>17456</v>
      </c>
      <c r="E15" s="28" t="n">
        <v>67853</v>
      </c>
      <c r="F15" s="28" t="n">
        <v>17456</v>
      </c>
      <c r="G15" s="28" t="n">
        <v>74019</v>
      </c>
      <c r="H15" s="28" t="n">
        <v>17456</v>
      </c>
      <c r="I15" s="28" t="n">
        <v>17539</v>
      </c>
      <c r="J15" s="31" t="n">
        <v>11</v>
      </c>
      <c r="K15" s="31" t="n">
        <v>5.71</v>
      </c>
      <c r="L15" s="17" t="n">
        <f aca="false">G15/C15*100</f>
        <v>52.1730855982858</v>
      </c>
      <c r="M15" s="17" t="n">
        <f aca="false">(1-H15/F15)*100</f>
        <v>0</v>
      </c>
    </row>
    <row r="16" customFormat="false" ht="15" hidden="false" customHeight="false" outlineLevel="0" collapsed="false">
      <c r="A16" s="12" t="s">
        <v>484</v>
      </c>
      <c r="B16" s="12" t="s">
        <v>497</v>
      </c>
      <c r="C16" s="28" t="n">
        <v>141872</v>
      </c>
      <c r="D16" s="28" t="n">
        <v>17621</v>
      </c>
      <c r="E16" s="28" t="n">
        <v>68091</v>
      </c>
      <c r="F16" s="28" t="n">
        <v>17621</v>
      </c>
      <c r="G16" s="28" t="n">
        <v>73781</v>
      </c>
      <c r="H16" s="28" t="n">
        <v>17621</v>
      </c>
      <c r="I16" s="28" t="n">
        <v>17703</v>
      </c>
      <c r="J16" s="31" t="n">
        <v>12</v>
      </c>
      <c r="K16" s="31" t="n">
        <v>6.26</v>
      </c>
      <c r="L16" s="17" t="n">
        <f aca="false">G16/C16*100</f>
        <v>52.0053287470396</v>
      </c>
      <c r="M16" s="17" t="n">
        <f aca="false">(1-H16/F16)*100</f>
        <v>0</v>
      </c>
    </row>
    <row r="17" customFormat="false" ht="15" hidden="false" customHeight="false" outlineLevel="0" collapsed="false">
      <c r="A17" s="12" t="s">
        <v>484</v>
      </c>
      <c r="B17" s="12" t="s">
        <v>498</v>
      </c>
      <c r="C17" s="28" t="n">
        <v>141871</v>
      </c>
      <c r="D17" s="28" t="n">
        <v>17786</v>
      </c>
      <c r="E17" s="28" t="n">
        <v>69084</v>
      </c>
      <c r="F17" s="28" t="n">
        <v>17786</v>
      </c>
      <c r="G17" s="28" t="n">
        <v>72787</v>
      </c>
      <c r="H17" s="28" t="n">
        <v>17786</v>
      </c>
      <c r="I17" s="28" t="n">
        <v>17868</v>
      </c>
      <c r="J17" s="31" t="n">
        <v>13</v>
      </c>
      <c r="K17" s="31" t="n">
        <v>6.82</v>
      </c>
      <c r="L17" s="17" t="n">
        <f aca="false">G17/C17*100</f>
        <v>51.3050588210417</v>
      </c>
      <c r="M17" s="17" t="n">
        <f aca="false">(1-H17/F17)*100</f>
        <v>0</v>
      </c>
    </row>
    <row r="18" customFormat="false" ht="15" hidden="false" customHeight="false" outlineLevel="0" collapsed="false">
      <c r="A18" s="12" t="s">
        <v>484</v>
      </c>
      <c r="B18" s="12" t="s">
        <v>499</v>
      </c>
      <c r="C18" s="28" t="n">
        <v>141872</v>
      </c>
      <c r="D18" s="28" t="n">
        <v>17950</v>
      </c>
      <c r="E18" s="28" t="n">
        <v>69842</v>
      </c>
      <c r="F18" s="28" t="n">
        <v>17951</v>
      </c>
      <c r="G18" s="28" t="n">
        <v>72030</v>
      </c>
      <c r="H18" s="28" t="n">
        <v>17949</v>
      </c>
      <c r="I18" s="28" t="n">
        <v>18030</v>
      </c>
      <c r="J18" s="31" t="n">
        <v>14</v>
      </c>
      <c r="K18" s="31" t="n">
        <v>7.38</v>
      </c>
      <c r="L18" s="17" t="n">
        <f aca="false">G18/C18*100</f>
        <v>50.7711176271569</v>
      </c>
      <c r="M18" s="17" t="n">
        <f aca="false">(1-H18/F18)*100</f>
        <v>0.0111414405882693</v>
      </c>
    </row>
    <row r="19" customFormat="false" ht="15" hidden="false" customHeight="false" outlineLevel="0" collapsed="false">
      <c r="A19" s="12" t="s">
        <v>484</v>
      </c>
      <c r="B19" s="12" t="s">
        <v>500</v>
      </c>
      <c r="C19" s="28" t="n">
        <v>141872</v>
      </c>
      <c r="D19" s="28" t="n">
        <v>18114</v>
      </c>
      <c r="E19" s="28" t="n">
        <v>70346</v>
      </c>
      <c r="F19" s="28" t="n">
        <v>18114</v>
      </c>
      <c r="G19" s="28" t="n">
        <v>71526</v>
      </c>
      <c r="H19" s="28" t="n">
        <v>18114</v>
      </c>
      <c r="I19" s="28" t="n">
        <v>18198</v>
      </c>
      <c r="J19" s="31" t="n">
        <v>15</v>
      </c>
      <c r="K19" s="31" t="n">
        <v>7.94</v>
      </c>
      <c r="L19" s="17" t="n">
        <f aca="false">G19/C19*100</f>
        <v>50.4158678245179</v>
      </c>
      <c r="M19" s="17" t="n">
        <f aca="false">(1-H19/F19)*100</f>
        <v>0</v>
      </c>
    </row>
    <row r="20" customFormat="false" ht="15" hidden="false" customHeight="false" outlineLevel="0" collapsed="false">
      <c r="A20" s="12" t="s">
        <v>484</v>
      </c>
      <c r="B20" s="12" t="s">
        <v>501</v>
      </c>
      <c r="C20" s="28" t="n">
        <v>141872</v>
      </c>
      <c r="D20" s="28" t="n">
        <v>18281</v>
      </c>
      <c r="E20" s="28" t="n">
        <v>71783</v>
      </c>
      <c r="F20" s="28" t="n">
        <v>18281</v>
      </c>
      <c r="G20" s="28" t="n">
        <v>70089</v>
      </c>
      <c r="H20" s="28" t="n">
        <v>18281</v>
      </c>
      <c r="I20" s="28" t="n">
        <v>18366</v>
      </c>
      <c r="J20" s="31" t="n">
        <v>16</v>
      </c>
      <c r="K20" s="31" t="n">
        <v>8.51</v>
      </c>
      <c r="L20" s="17" t="n">
        <f aca="false">G20/C20*100</f>
        <v>49.402982970565</v>
      </c>
      <c r="M20" s="17" t="n">
        <f aca="false">(1-H20/F20)*100</f>
        <v>0</v>
      </c>
    </row>
    <row r="21" customFormat="false" ht="15" hidden="false" customHeight="false" outlineLevel="0" collapsed="false">
      <c r="A21" s="12" t="s">
        <v>484</v>
      </c>
      <c r="B21" s="12" t="s">
        <v>502</v>
      </c>
      <c r="C21" s="28" t="n">
        <v>141871</v>
      </c>
      <c r="D21" s="28" t="n">
        <v>18451</v>
      </c>
      <c r="E21" s="28" t="n">
        <v>71842</v>
      </c>
      <c r="F21" s="28" t="n">
        <v>18452</v>
      </c>
      <c r="G21" s="28" t="n">
        <v>70029</v>
      </c>
      <c r="H21" s="28" t="n">
        <v>18451</v>
      </c>
      <c r="I21" s="28" t="n">
        <v>18538</v>
      </c>
      <c r="J21" s="31" t="n">
        <v>17</v>
      </c>
      <c r="K21" s="31" t="n">
        <v>9.09</v>
      </c>
      <c r="L21" s="17" t="n">
        <f aca="false">G21/C21*100</f>
        <v>49.3610392539702</v>
      </c>
      <c r="M21" s="17" t="n">
        <f aca="false">(1-H21/F21)*100</f>
        <v>0.00541946672447669</v>
      </c>
    </row>
    <row r="22" customFormat="false" ht="15" hidden="false" customHeight="false" outlineLevel="0" collapsed="false">
      <c r="A22" s="12" t="s">
        <v>484</v>
      </c>
      <c r="B22" s="12" t="s">
        <v>503</v>
      </c>
      <c r="C22" s="28" t="n">
        <v>141872</v>
      </c>
      <c r="D22" s="28" t="n">
        <v>18625</v>
      </c>
      <c r="E22" s="28" t="n">
        <v>73937</v>
      </c>
      <c r="F22" s="28" t="n">
        <v>18626</v>
      </c>
      <c r="G22" s="28" t="n">
        <v>67935</v>
      </c>
      <c r="H22" s="28" t="n">
        <v>18624</v>
      </c>
      <c r="I22" s="28" t="n">
        <v>18712</v>
      </c>
      <c r="J22" s="31" t="n">
        <v>18</v>
      </c>
      <c r="K22" s="31" t="n">
        <v>9.67</v>
      </c>
      <c r="L22" s="17" t="n">
        <f aca="false">G22/C22*100</f>
        <v>47.884712980715</v>
      </c>
      <c r="M22" s="17" t="n">
        <f aca="false">(1-H22/F22)*100</f>
        <v>0.0107376785139057</v>
      </c>
    </row>
    <row r="23" customFormat="false" ht="15" hidden="false" customHeight="false" outlineLevel="0" collapsed="false">
      <c r="A23" s="12" t="s">
        <v>484</v>
      </c>
      <c r="B23" s="12" t="s">
        <v>504</v>
      </c>
      <c r="C23" s="28" t="n">
        <v>141872</v>
      </c>
      <c r="D23" s="28" t="n">
        <v>18801</v>
      </c>
      <c r="E23" s="28" t="n">
        <v>74721</v>
      </c>
      <c r="F23" s="28" t="n">
        <v>18801</v>
      </c>
      <c r="G23" s="28" t="n">
        <v>67151</v>
      </c>
      <c r="H23" s="28" t="n">
        <v>18801</v>
      </c>
      <c r="I23" s="28" t="n">
        <v>18891</v>
      </c>
      <c r="J23" s="31" t="n">
        <v>19</v>
      </c>
      <c r="K23" s="31" t="n">
        <v>10.25</v>
      </c>
      <c r="L23" s="17" t="n">
        <f aca="false">G23/C23*100</f>
        <v>47.3321021766099</v>
      </c>
      <c r="M23" s="17" t="n">
        <f aca="false">(1-H23/F23)*100</f>
        <v>0</v>
      </c>
    </row>
    <row r="24" customFormat="false" ht="15" hidden="false" customHeight="false" outlineLevel="0" collapsed="false">
      <c r="A24" s="12" t="s">
        <v>484</v>
      </c>
      <c r="B24" s="12" t="s">
        <v>505</v>
      </c>
      <c r="C24" s="28" t="n">
        <v>141871</v>
      </c>
      <c r="D24" s="28" t="n">
        <v>18981</v>
      </c>
      <c r="E24" s="28" t="n">
        <v>75385</v>
      </c>
      <c r="F24" s="28" t="n">
        <v>18981</v>
      </c>
      <c r="G24" s="28" t="n">
        <v>66486</v>
      </c>
      <c r="H24" s="28" t="n">
        <v>18980</v>
      </c>
      <c r="I24" s="28" t="n">
        <v>19071</v>
      </c>
      <c r="J24" s="31" t="n">
        <v>20</v>
      </c>
      <c r="K24" s="31" t="n">
        <v>10.84</v>
      </c>
      <c r="L24" s="17" t="n">
        <f aca="false">G24/C24*100</f>
        <v>46.8637001219418</v>
      </c>
      <c r="M24" s="17" t="n">
        <f aca="false">(1-H24/F24)*100</f>
        <v>0.00526842632105895</v>
      </c>
    </row>
    <row r="25" customFormat="false" ht="15" hidden="false" customHeight="false" outlineLevel="0" collapsed="false">
      <c r="A25" s="12" t="s">
        <v>482</v>
      </c>
      <c r="B25" s="12" t="s">
        <v>506</v>
      </c>
      <c r="C25" s="28" t="n">
        <v>1418717</v>
      </c>
      <c r="D25" s="28" t="n">
        <v>19990</v>
      </c>
      <c r="E25" s="28" t="n">
        <v>800370</v>
      </c>
      <c r="F25" s="28" t="n">
        <v>20003</v>
      </c>
      <c r="G25" s="28" t="n">
        <v>618347</v>
      </c>
      <c r="H25" s="28" t="n">
        <v>19973</v>
      </c>
      <c r="I25" s="28" t="n">
        <v>20926</v>
      </c>
      <c r="J25" s="31" t="n">
        <v>30</v>
      </c>
      <c r="K25" s="31" t="n">
        <v>17.08</v>
      </c>
      <c r="L25" s="17" t="n">
        <f aca="false">G25/C25*100</f>
        <v>43.5849432973595</v>
      </c>
      <c r="M25" s="17" t="n">
        <f aca="false">(1-H25/F25)*100</f>
        <v>0.149977503374499</v>
      </c>
    </row>
    <row r="26" customFormat="false" ht="15" hidden="false" customHeight="false" outlineLevel="0" collapsed="false">
      <c r="A26" s="12" t="s">
        <v>484</v>
      </c>
      <c r="B26" s="12" t="s">
        <v>507</v>
      </c>
      <c r="C26" s="28" t="n">
        <v>141872</v>
      </c>
      <c r="D26" s="28" t="n">
        <v>19163</v>
      </c>
      <c r="E26" s="28" t="n">
        <v>76144</v>
      </c>
      <c r="F26" s="28" t="n">
        <v>19163</v>
      </c>
      <c r="G26" s="28" t="n">
        <v>65728</v>
      </c>
      <c r="H26" s="28" t="n">
        <v>19162</v>
      </c>
      <c r="I26" s="28" t="n">
        <v>19254</v>
      </c>
      <c r="J26" s="31" t="n">
        <v>21</v>
      </c>
      <c r="K26" s="31" t="n">
        <v>11.44</v>
      </c>
      <c r="L26" s="17" t="n">
        <f aca="false">G26/C26*100</f>
        <v>46.3290853727304</v>
      </c>
      <c r="M26" s="17" t="n">
        <f aca="false">(1-H26/F26)*100</f>
        <v>0.00521838960496623</v>
      </c>
    </row>
    <row r="27" customFormat="false" ht="15" hidden="false" customHeight="false" outlineLevel="0" collapsed="false">
      <c r="A27" s="12" t="s">
        <v>484</v>
      </c>
      <c r="B27" s="12" t="s">
        <v>508</v>
      </c>
      <c r="C27" s="28" t="n">
        <v>141872</v>
      </c>
      <c r="D27" s="28" t="n">
        <v>19346</v>
      </c>
      <c r="E27" s="28" t="n">
        <v>77210</v>
      </c>
      <c r="F27" s="28" t="n">
        <v>19347</v>
      </c>
      <c r="G27" s="28" t="n">
        <v>64662</v>
      </c>
      <c r="H27" s="28" t="n">
        <v>19345</v>
      </c>
      <c r="I27" s="28" t="n">
        <v>19440</v>
      </c>
      <c r="J27" s="31" t="n">
        <v>22</v>
      </c>
      <c r="K27" s="31" t="n">
        <v>12.04</v>
      </c>
      <c r="L27" s="17" t="n">
        <f aca="false">G27/C27*100</f>
        <v>45.5777038457201</v>
      </c>
      <c r="M27" s="17" t="n">
        <f aca="false">(1-H27/F27)*100</f>
        <v>0.0103375200289468</v>
      </c>
    </row>
    <row r="28" customFormat="false" ht="15" hidden="false" customHeight="false" outlineLevel="0" collapsed="false">
      <c r="A28" s="12" t="s">
        <v>484</v>
      </c>
      <c r="B28" s="12" t="s">
        <v>509</v>
      </c>
      <c r="C28" s="28" t="n">
        <v>141871</v>
      </c>
      <c r="D28" s="28" t="n">
        <v>19533</v>
      </c>
      <c r="E28" s="28" t="n">
        <v>78219</v>
      </c>
      <c r="F28" s="28" t="n">
        <v>19534</v>
      </c>
      <c r="G28" s="28" t="n">
        <v>63652</v>
      </c>
      <c r="H28" s="28" t="n">
        <v>19533</v>
      </c>
      <c r="I28" s="28" t="n">
        <v>19626</v>
      </c>
      <c r="J28" s="31" t="n">
        <v>23</v>
      </c>
      <c r="K28" s="31" t="n">
        <v>12.65</v>
      </c>
      <c r="L28" s="17" t="n">
        <f aca="false">G28/C28*100</f>
        <v>44.8661107625942</v>
      </c>
      <c r="M28" s="17" t="n">
        <f aca="false">(1-H28/F28)*100</f>
        <v>0.00511927920548994</v>
      </c>
    </row>
    <row r="29" customFormat="false" ht="15" hidden="false" customHeight="false" outlineLevel="0" collapsed="false">
      <c r="A29" s="12" t="s">
        <v>484</v>
      </c>
      <c r="B29" s="12" t="s">
        <v>510</v>
      </c>
      <c r="C29" s="28" t="n">
        <v>141872</v>
      </c>
      <c r="D29" s="28" t="n">
        <v>19718</v>
      </c>
      <c r="E29" s="28" t="n">
        <v>79769</v>
      </c>
      <c r="F29" s="28" t="n">
        <v>19718</v>
      </c>
      <c r="G29" s="28" t="n">
        <v>62103</v>
      </c>
      <c r="H29" s="28" t="n">
        <v>19718</v>
      </c>
      <c r="I29" s="28" t="n">
        <v>19808</v>
      </c>
      <c r="J29" s="31" t="n">
        <v>24</v>
      </c>
      <c r="K29" s="31" t="n">
        <v>13.27</v>
      </c>
      <c r="L29" s="17" t="n">
        <f aca="false">G29/C29*100</f>
        <v>43.7739652644637</v>
      </c>
      <c r="M29" s="17" t="n">
        <f aca="false">(1-H29/F29)*100</f>
        <v>0</v>
      </c>
    </row>
    <row r="30" customFormat="false" ht="15" hidden="false" customHeight="false" outlineLevel="0" collapsed="false">
      <c r="A30" s="12" t="s">
        <v>484</v>
      </c>
      <c r="B30" s="12" t="s">
        <v>511</v>
      </c>
      <c r="C30" s="28" t="n">
        <v>141872</v>
      </c>
      <c r="D30" s="28" t="n">
        <v>19899</v>
      </c>
      <c r="E30" s="28" t="n">
        <v>81419</v>
      </c>
      <c r="F30" s="28" t="n">
        <v>19899</v>
      </c>
      <c r="G30" s="28" t="n">
        <v>60453</v>
      </c>
      <c r="H30" s="28" t="n">
        <v>19900</v>
      </c>
      <c r="I30" s="28" t="n">
        <v>19991</v>
      </c>
      <c r="J30" s="31" t="n">
        <v>25</v>
      </c>
      <c r="K30" s="31" t="n">
        <v>13.89</v>
      </c>
      <c r="L30" s="17" t="n">
        <f aca="false">G30/C30*100</f>
        <v>42.6109450772527</v>
      </c>
      <c r="M30" s="17" t="n">
        <f aca="false">(1-H30/F30)*100</f>
        <v>-0.0050253781597176</v>
      </c>
    </row>
    <row r="31" customFormat="false" ht="15" hidden="false" customHeight="false" outlineLevel="0" collapsed="false">
      <c r="A31" s="12" t="s">
        <v>484</v>
      </c>
      <c r="B31" s="12" t="s">
        <v>512</v>
      </c>
      <c r="C31" s="28" t="n">
        <v>141871</v>
      </c>
      <c r="D31" s="28" t="n">
        <v>20080</v>
      </c>
      <c r="E31" s="28" t="n">
        <v>80839</v>
      </c>
      <c r="F31" s="28" t="n">
        <v>20080</v>
      </c>
      <c r="G31" s="28" t="n">
        <v>61032</v>
      </c>
      <c r="H31" s="28" t="n">
        <v>20080</v>
      </c>
      <c r="I31" s="28" t="n">
        <v>20171</v>
      </c>
      <c r="J31" s="31" t="n">
        <v>26</v>
      </c>
      <c r="K31" s="31" t="n">
        <v>14.51</v>
      </c>
      <c r="L31" s="17" t="n">
        <f aca="false">G31/C31*100</f>
        <v>43.0193626604451</v>
      </c>
      <c r="M31" s="17" t="n">
        <f aca="false">(1-H31/F31)*100</f>
        <v>0</v>
      </c>
    </row>
    <row r="32" customFormat="false" ht="15" hidden="false" customHeight="false" outlineLevel="0" collapsed="false">
      <c r="A32" s="12" t="s">
        <v>484</v>
      </c>
      <c r="B32" s="12" t="s">
        <v>513</v>
      </c>
      <c r="C32" s="28" t="n">
        <v>141872</v>
      </c>
      <c r="D32" s="28" t="n">
        <v>20261</v>
      </c>
      <c r="E32" s="28" t="n">
        <v>79879</v>
      </c>
      <c r="F32" s="28" t="n">
        <v>20260</v>
      </c>
      <c r="G32" s="28" t="n">
        <v>61993</v>
      </c>
      <c r="H32" s="28" t="n">
        <v>20261</v>
      </c>
      <c r="I32" s="28" t="n">
        <v>20350</v>
      </c>
      <c r="J32" s="31" t="n">
        <v>27</v>
      </c>
      <c r="K32" s="31" t="n">
        <v>15.15</v>
      </c>
      <c r="L32" s="17" t="n">
        <f aca="false">G32/C32*100</f>
        <v>43.6964305853163</v>
      </c>
      <c r="M32" s="17" t="n">
        <f aca="false">(1-H32/F32)*100</f>
        <v>-0.00493583415597243</v>
      </c>
    </row>
    <row r="33" customFormat="false" ht="15" hidden="false" customHeight="false" outlineLevel="0" collapsed="false">
      <c r="A33" s="12" t="s">
        <v>484</v>
      </c>
      <c r="B33" s="12" t="s">
        <v>514</v>
      </c>
      <c r="C33" s="28" t="n">
        <v>141872</v>
      </c>
      <c r="D33" s="28" t="n">
        <v>20442</v>
      </c>
      <c r="E33" s="28" t="n">
        <v>81544</v>
      </c>
      <c r="F33" s="28" t="n">
        <v>20442</v>
      </c>
      <c r="G33" s="28" t="n">
        <v>60328</v>
      </c>
      <c r="H33" s="28" t="n">
        <v>20442</v>
      </c>
      <c r="I33" s="28" t="n">
        <v>20535</v>
      </c>
      <c r="J33" s="31" t="n">
        <v>28</v>
      </c>
      <c r="K33" s="31" t="n">
        <v>15.78</v>
      </c>
      <c r="L33" s="17" t="n">
        <f aca="false">G33/C33*100</f>
        <v>42.5228374873125</v>
      </c>
      <c r="M33" s="17" t="n">
        <f aca="false">(1-H33/F33)*100</f>
        <v>0</v>
      </c>
    </row>
    <row r="34" customFormat="false" ht="15" hidden="false" customHeight="false" outlineLevel="0" collapsed="false">
      <c r="A34" s="12" t="s">
        <v>484</v>
      </c>
      <c r="B34" s="12" t="s">
        <v>515</v>
      </c>
      <c r="C34" s="28" t="n">
        <v>141872</v>
      </c>
      <c r="D34" s="28" t="n">
        <v>20631</v>
      </c>
      <c r="E34" s="28" t="n">
        <v>82078</v>
      </c>
      <c r="F34" s="28" t="n">
        <v>20631</v>
      </c>
      <c r="G34" s="28" t="n">
        <v>59794</v>
      </c>
      <c r="H34" s="28" t="n">
        <v>20631</v>
      </c>
      <c r="I34" s="28" t="n">
        <v>20728</v>
      </c>
      <c r="J34" s="31" t="n">
        <v>29</v>
      </c>
      <c r="K34" s="31" t="n">
        <v>16.43</v>
      </c>
      <c r="L34" s="17" t="n">
        <f aca="false">G34/C34*100</f>
        <v>42.1464418630879</v>
      </c>
      <c r="M34" s="17" t="n">
        <f aca="false">(1-H34/F34)*100</f>
        <v>0</v>
      </c>
    </row>
    <row r="35" customFormat="false" ht="15" hidden="false" customHeight="false" outlineLevel="0" collapsed="false">
      <c r="A35" s="12" t="s">
        <v>484</v>
      </c>
      <c r="B35" s="12" t="s">
        <v>516</v>
      </c>
      <c r="C35" s="28" t="n">
        <v>141871</v>
      </c>
      <c r="D35" s="28" t="n">
        <v>20827</v>
      </c>
      <c r="E35" s="28" t="n">
        <v>83269</v>
      </c>
      <c r="F35" s="28" t="n">
        <v>20827</v>
      </c>
      <c r="G35" s="28" t="n">
        <v>58602</v>
      </c>
      <c r="H35" s="28" t="n">
        <v>20827</v>
      </c>
      <c r="I35" s="28" t="n">
        <v>20926</v>
      </c>
      <c r="J35" s="31" t="n">
        <v>30</v>
      </c>
      <c r="K35" s="31" t="n">
        <v>17.08</v>
      </c>
      <c r="L35" s="17" t="n">
        <f aca="false">G35/C35*100</f>
        <v>41.3065390389861</v>
      </c>
      <c r="M35" s="17" t="n">
        <f aca="false">(1-H35/F35)*100</f>
        <v>0</v>
      </c>
    </row>
    <row r="36" customFormat="false" ht="15" hidden="false" customHeight="false" outlineLevel="0" collapsed="false">
      <c r="A36" s="12" t="s">
        <v>482</v>
      </c>
      <c r="B36" s="12" t="s">
        <v>517</v>
      </c>
      <c r="C36" s="28" t="n">
        <v>1418717</v>
      </c>
      <c r="D36" s="28" t="n">
        <v>21919</v>
      </c>
      <c r="E36" s="28" t="n">
        <v>858722</v>
      </c>
      <c r="F36" s="28" t="n">
        <v>21924</v>
      </c>
      <c r="G36" s="28" t="n">
        <v>559995</v>
      </c>
      <c r="H36" s="28" t="n">
        <v>21911</v>
      </c>
      <c r="I36" s="28" t="n">
        <v>22955</v>
      </c>
      <c r="J36" s="31" t="n">
        <v>40</v>
      </c>
      <c r="K36" s="31" t="n">
        <v>23.91</v>
      </c>
      <c r="L36" s="17" t="n">
        <f aca="false">G36/C36*100</f>
        <v>39.4719313295041</v>
      </c>
      <c r="M36" s="17" t="n">
        <f aca="false">(1-H36/F36)*100</f>
        <v>0.0592957489509161</v>
      </c>
    </row>
    <row r="37" customFormat="false" ht="15" hidden="false" customHeight="false" outlineLevel="0" collapsed="false">
      <c r="A37" s="12" t="s">
        <v>484</v>
      </c>
      <c r="B37" s="12" t="s">
        <v>518</v>
      </c>
      <c r="C37" s="28" t="n">
        <v>141872</v>
      </c>
      <c r="D37" s="28" t="n">
        <v>21021</v>
      </c>
      <c r="E37" s="28" t="n">
        <v>83594</v>
      </c>
      <c r="F37" s="28" t="n">
        <v>21021</v>
      </c>
      <c r="G37" s="28" t="n">
        <v>58278</v>
      </c>
      <c r="H37" s="28" t="n">
        <v>21021</v>
      </c>
      <c r="I37" s="28" t="n">
        <v>21118</v>
      </c>
      <c r="J37" s="31" t="n">
        <v>31</v>
      </c>
      <c r="K37" s="31" t="n">
        <v>17.73</v>
      </c>
      <c r="L37" s="17" t="n">
        <f aca="false">G37/C37*100</f>
        <v>41.0778730122928</v>
      </c>
      <c r="M37" s="17" t="n">
        <f aca="false">(1-H37/F37)*100</f>
        <v>0</v>
      </c>
    </row>
    <row r="38" customFormat="false" ht="15" hidden="false" customHeight="false" outlineLevel="0" collapsed="false">
      <c r="A38" s="12" t="s">
        <v>484</v>
      </c>
      <c r="B38" s="12" t="s">
        <v>519</v>
      </c>
      <c r="C38" s="28" t="n">
        <v>141872</v>
      </c>
      <c r="D38" s="28" t="n">
        <v>21216</v>
      </c>
      <c r="E38" s="28" t="n">
        <v>85039</v>
      </c>
      <c r="F38" s="28" t="n">
        <v>21216</v>
      </c>
      <c r="G38" s="28" t="n">
        <v>56833</v>
      </c>
      <c r="H38" s="28" t="n">
        <v>21215</v>
      </c>
      <c r="I38" s="28" t="n">
        <v>21313</v>
      </c>
      <c r="J38" s="31" t="n">
        <v>32</v>
      </c>
      <c r="K38" s="31" t="n">
        <v>18.39</v>
      </c>
      <c r="L38" s="17" t="n">
        <f aca="false">G38/C38*100</f>
        <v>40.0593492725837</v>
      </c>
      <c r="M38" s="17" t="n">
        <f aca="false">(1-H38/F38)*100</f>
        <v>0.00471342383107087</v>
      </c>
    </row>
    <row r="39" customFormat="false" ht="15" hidden="false" customHeight="false" outlineLevel="0" collapsed="false">
      <c r="A39" s="12" t="s">
        <v>484</v>
      </c>
      <c r="B39" s="12" t="s">
        <v>520</v>
      </c>
      <c r="C39" s="28" t="n">
        <v>141871</v>
      </c>
      <c r="D39" s="28" t="n">
        <v>21413</v>
      </c>
      <c r="E39" s="28" t="n">
        <v>85575</v>
      </c>
      <c r="F39" s="28" t="n">
        <v>21413</v>
      </c>
      <c r="G39" s="28" t="n">
        <v>56296</v>
      </c>
      <c r="H39" s="28" t="n">
        <v>21413</v>
      </c>
      <c r="I39" s="28" t="n">
        <v>21513</v>
      </c>
      <c r="J39" s="31" t="n">
        <v>33</v>
      </c>
      <c r="K39" s="31" t="n">
        <v>19.06</v>
      </c>
      <c r="L39" s="17" t="n">
        <f aca="false">G39/C39*100</f>
        <v>39.6811187628197</v>
      </c>
      <c r="M39" s="17" t="n">
        <f aca="false">(1-H39/F39)*100</f>
        <v>0</v>
      </c>
    </row>
    <row r="40" customFormat="false" ht="15" hidden="false" customHeight="false" outlineLevel="0" collapsed="false">
      <c r="A40" s="12" t="s">
        <v>484</v>
      </c>
      <c r="B40" s="12" t="s">
        <v>521</v>
      </c>
      <c r="C40" s="28" t="n">
        <v>141872</v>
      </c>
      <c r="D40" s="28" t="n">
        <v>21611</v>
      </c>
      <c r="E40" s="28" t="n">
        <v>85924</v>
      </c>
      <c r="F40" s="28" t="n">
        <v>21610</v>
      </c>
      <c r="G40" s="28" t="n">
        <v>55948</v>
      </c>
      <c r="H40" s="28" t="n">
        <v>21611</v>
      </c>
      <c r="I40" s="28" t="n">
        <v>21709</v>
      </c>
      <c r="J40" s="31" t="n">
        <v>34</v>
      </c>
      <c r="K40" s="31" t="n">
        <v>19.73</v>
      </c>
      <c r="L40" s="17" t="n">
        <f aca="false">G40/C40*100</f>
        <v>39.4355475358069</v>
      </c>
      <c r="M40" s="17" t="n">
        <f aca="false">(1-H40/F40)*100</f>
        <v>-0.0046274872744112</v>
      </c>
    </row>
    <row r="41" customFormat="false" ht="15" hidden="false" customHeight="false" outlineLevel="0" collapsed="false">
      <c r="A41" s="12" t="s">
        <v>484</v>
      </c>
      <c r="B41" s="12" t="s">
        <v>522</v>
      </c>
      <c r="C41" s="28" t="n">
        <v>141872</v>
      </c>
      <c r="D41" s="28" t="n">
        <v>21810</v>
      </c>
      <c r="E41" s="28" t="n">
        <v>85737</v>
      </c>
      <c r="F41" s="28" t="n">
        <v>21810</v>
      </c>
      <c r="G41" s="28" t="n">
        <v>56135</v>
      </c>
      <c r="H41" s="28" t="n">
        <v>21810</v>
      </c>
      <c r="I41" s="28" t="n">
        <v>21912</v>
      </c>
      <c r="J41" s="31" t="n">
        <v>35</v>
      </c>
      <c r="K41" s="31" t="n">
        <v>20.41</v>
      </c>
      <c r="L41" s="17" t="n">
        <f aca="false">G41/C41*100</f>
        <v>39.5673564903575</v>
      </c>
      <c r="M41" s="17" t="n">
        <f aca="false">(1-H41/F41)*100</f>
        <v>0</v>
      </c>
    </row>
    <row r="42" customFormat="false" ht="15" hidden="false" customHeight="false" outlineLevel="0" collapsed="false">
      <c r="A42" s="12" t="s">
        <v>484</v>
      </c>
      <c r="B42" s="12" t="s">
        <v>523</v>
      </c>
      <c r="C42" s="28" t="n">
        <v>141871</v>
      </c>
      <c r="D42" s="28" t="n">
        <v>22013</v>
      </c>
      <c r="E42" s="28" t="n">
        <v>86722</v>
      </c>
      <c r="F42" s="28" t="n">
        <v>22013</v>
      </c>
      <c r="G42" s="28" t="n">
        <v>55149</v>
      </c>
      <c r="H42" s="28" t="n">
        <v>22012</v>
      </c>
      <c r="I42" s="28" t="n">
        <v>22112</v>
      </c>
      <c r="J42" s="31" t="n">
        <v>36</v>
      </c>
      <c r="K42" s="31" t="n">
        <v>21.1</v>
      </c>
      <c r="L42" s="17" t="n">
        <f aca="false">G42/C42*100</f>
        <v>38.8726378188636</v>
      </c>
      <c r="M42" s="17" t="n">
        <f aca="false">(1-H42/F42)*100</f>
        <v>0.00454277018125948</v>
      </c>
    </row>
    <row r="43" customFormat="false" ht="15" hidden="false" customHeight="false" outlineLevel="0" collapsed="false">
      <c r="A43" s="12" t="s">
        <v>484</v>
      </c>
      <c r="B43" s="12" t="s">
        <v>524</v>
      </c>
      <c r="C43" s="28" t="n">
        <v>141872</v>
      </c>
      <c r="D43" s="28" t="n">
        <v>22212</v>
      </c>
      <c r="E43" s="28" t="n">
        <v>86246</v>
      </c>
      <c r="F43" s="28" t="n">
        <v>22212</v>
      </c>
      <c r="G43" s="28" t="n">
        <v>55626</v>
      </c>
      <c r="H43" s="28" t="n">
        <v>22212</v>
      </c>
      <c r="I43" s="28" t="n">
        <v>22313</v>
      </c>
      <c r="J43" s="31" t="n">
        <v>37</v>
      </c>
      <c r="K43" s="31" t="n">
        <v>21.79</v>
      </c>
      <c r="L43" s="17" t="n">
        <f aca="false">G43/C43*100</f>
        <v>39.2085823841209</v>
      </c>
      <c r="M43" s="17" t="n">
        <f aca="false">(1-H43/F43)*100</f>
        <v>0</v>
      </c>
    </row>
    <row r="44" customFormat="false" ht="15" hidden="false" customHeight="false" outlineLevel="0" collapsed="false">
      <c r="A44" s="12" t="s">
        <v>484</v>
      </c>
      <c r="B44" s="12" t="s">
        <v>525</v>
      </c>
      <c r="C44" s="28" t="n">
        <v>141872</v>
      </c>
      <c r="D44" s="28" t="n">
        <v>22417</v>
      </c>
      <c r="E44" s="28" t="n">
        <v>87048</v>
      </c>
      <c r="F44" s="28" t="n">
        <v>22416</v>
      </c>
      <c r="G44" s="28" t="n">
        <v>54824</v>
      </c>
      <c r="H44" s="28" t="n">
        <v>22417</v>
      </c>
      <c r="I44" s="28" t="n">
        <v>22521</v>
      </c>
      <c r="J44" s="31" t="n">
        <v>38</v>
      </c>
      <c r="K44" s="31" t="n">
        <v>22.49</v>
      </c>
      <c r="L44" s="17" t="n">
        <f aca="false">G44/C44*100</f>
        <v>38.6432840870644</v>
      </c>
      <c r="M44" s="17" t="n">
        <f aca="false">(1-H44/F44)*100</f>
        <v>-0.0044610992148364</v>
      </c>
    </row>
    <row r="45" customFormat="false" ht="15" hidden="false" customHeight="false" outlineLevel="0" collapsed="false">
      <c r="A45" s="12" t="s">
        <v>484</v>
      </c>
      <c r="B45" s="12" t="s">
        <v>526</v>
      </c>
      <c r="C45" s="28" t="n">
        <v>141871</v>
      </c>
      <c r="D45" s="28" t="n">
        <v>22629</v>
      </c>
      <c r="E45" s="28" t="n">
        <v>86591</v>
      </c>
      <c r="F45" s="28" t="n">
        <v>22629</v>
      </c>
      <c r="G45" s="28" t="n">
        <v>55280</v>
      </c>
      <c r="H45" s="28" t="n">
        <v>22629</v>
      </c>
      <c r="I45" s="28" t="n">
        <v>22737</v>
      </c>
      <c r="J45" s="31" t="n">
        <v>39</v>
      </c>
      <c r="K45" s="31" t="n">
        <v>23.2</v>
      </c>
      <c r="L45" s="17" t="n">
        <f aca="false">G45/C45*100</f>
        <v>38.9649752239711</v>
      </c>
      <c r="M45" s="17" t="n">
        <f aca="false">(1-H45/F45)*100</f>
        <v>0</v>
      </c>
    </row>
    <row r="46" customFormat="false" ht="15" hidden="false" customHeight="false" outlineLevel="0" collapsed="false">
      <c r="A46" s="12" t="s">
        <v>484</v>
      </c>
      <c r="B46" s="12" t="s">
        <v>527</v>
      </c>
      <c r="C46" s="28" t="n">
        <v>141872</v>
      </c>
      <c r="D46" s="28" t="n">
        <v>22845</v>
      </c>
      <c r="E46" s="28" t="n">
        <v>86246</v>
      </c>
      <c r="F46" s="28" t="n">
        <v>22845</v>
      </c>
      <c r="G46" s="28" t="n">
        <v>55626</v>
      </c>
      <c r="H46" s="28" t="n">
        <v>22845</v>
      </c>
      <c r="I46" s="28" t="n">
        <v>22955</v>
      </c>
      <c r="J46" s="31" t="n">
        <v>40</v>
      </c>
      <c r="K46" s="31" t="n">
        <v>23.91</v>
      </c>
      <c r="L46" s="17" t="n">
        <f aca="false">G46/C46*100</f>
        <v>39.2085823841209</v>
      </c>
      <c r="M46" s="17" t="n">
        <f aca="false">(1-H46/F46)*100</f>
        <v>0</v>
      </c>
    </row>
    <row r="47" customFormat="false" ht="15" hidden="false" customHeight="false" outlineLevel="0" collapsed="false">
      <c r="A47" s="12" t="s">
        <v>482</v>
      </c>
      <c r="B47" s="12" t="s">
        <v>528</v>
      </c>
      <c r="C47" s="28" t="n">
        <v>1418717</v>
      </c>
      <c r="D47" s="28" t="n">
        <v>24145</v>
      </c>
      <c r="E47" s="28" t="n">
        <v>845661</v>
      </c>
      <c r="F47" s="28" t="n">
        <v>24138</v>
      </c>
      <c r="G47" s="28" t="n">
        <v>573056</v>
      </c>
      <c r="H47" s="28" t="n">
        <v>24155</v>
      </c>
      <c r="I47" s="28" t="n">
        <v>25428</v>
      </c>
      <c r="J47" s="31" t="n">
        <v>50</v>
      </c>
      <c r="K47" s="31" t="n">
        <v>31.44</v>
      </c>
      <c r="L47" s="17" t="n">
        <f aca="false">G47/C47*100</f>
        <v>40.3925518619993</v>
      </c>
      <c r="M47" s="17" t="n">
        <f aca="false">(1-H47/F47)*100</f>
        <v>-0.070428370204656</v>
      </c>
    </row>
    <row r="48" customFormat="false" ht="15" hidden="false" customHeight="false" outlineLevel="0" collapsed="false">
      <c r="A48" s="12" t="s">
        <v>484</v>
      </c>
      <c r="B48" s="12" t="s">
        <v>529</v>
      </c>
      <c r="C48" s="28" t="n">
        <v>141872</v>
      </c>
      <c r="D48" s="28" t="n">
        <v>23064</v>
      </c>
      <c r="E48" s="28" t="n">
        <v>85858</v>
      </c>
      <c r="F48" s="28" t="n">
        <v>23064</v>
      </c>
      <c r="G48" s="28" t="n">
        <v>56014</v>
      </c>
      <c r="H48" s="28" t="n">
        <v>23064</v>
      </c>
      <c r="I48" s="28" t="n">
        <v>23177</v>
      </c>
      <c r="J48" s="31" t="n">
        <v>41</v>
      </c>
      <c r="K48" s="31" t="n">
        <v>24.63</v>
      </c>
      <c r="L48" s="17" t="n">
        <f aca="false">G48/C48*100</f>
        <v>39.4820683432954</v>
      </c>
      <c r="M48" s="17" t="n">
        <f aca="false">(1-H48/F48)*100</f>
        <v>0</v>
      </c>
    </row>
    <row r="49" customFormat="false" ht="15" hidden="false" customHeight="false" outlineLevel="0" collapsed="false">
      <c r="A49" s="12" t="s">
        <v>484</v>
      </c>
      <c r="B49" s="12" t="s">
        <v>530</v>
      </c>
      <c r="C49" s="28" t="n">
        <v>141871</v>
      </c>
      <c r="D49" s="28" t="n">
        <v>23292</v>
      </c>
      <c r="E49" s="28" t="n">
        <v>86277</v>
      </c>
      <c r="F49" s="28" t="n">
        <v>23292</v>
      </c>
      <c r="G49" s="28" t="n">
        <v>55594</v>
      </c>
      <c r="H49" s="28" t="n">
        <v>23292</v>
      </c>
      <c r="I49" s="28" t="n">
        <v>23409</v>
      </c>
      <c r="J49" s="31" t="n">
        <v>42</v>
      </c>
      <c r="K49" s="31" t="n">
        <v>25.35</v>
      </c>
      <c r="L49" s="17" t="n">
        <f aca="false">G49/C49*100</f>
        <v>39.1863030499538</v>
      </c>
      <c r="M49" s="17" t="n">
        <f aca="false">(1-H49/F49)*100</f>
        <v>0</v>
      </c>
    </row>
    <row r="50" customFormat="false" ht="15" hidden="false" customHeight="false" outlineLevel="0" collapsed="false">
      <c r="A50" s="12" t="s">
        <v>484</v>
      </c>
      <c r="B50" s="12" t="s">
        <v>531</v>
      </c>
      <c r="C50" s="28" t="n">
        <v>141872</v>
      </c>
      <c r="D50" s="28" t="n">
        <v>23527</v>
      </c>
      <c r="E50" s="28" t="n">
        <v>85267</v>
      </c>
      <c r="F50" s="28" t="n">
        <v>23527</v>
      </c>
      <c r="G50" s="28" t="n">
        <v>56605</v>
      </c>
      <c r="H50" s="28" t="n">
        <v>23527</v>
      </c>
      <c r="I50" s="28" t="n">
        <v>23645</v>
      </c>
      <c r="J50" s="31" t="n">
        <v>43</v>
      </c>
      <c r="K50" s="31" t="n">
        <v>26.09</v>
      </c>
      <c r="L50" s="17" t="n">
        <f aca="false">G50/C50*100</f>
        <v>39.8986410285328</v>
      </c>
      <c r="M50" s="17" t="n">
        <f aca="false">(1-H50/F50)*100</f>
        <v>0</v>
      </c>
    </row>
    <row r="51" customFormat="false" ht="15" hidden="false" customHeight="false" outlineLevel="0" collapsed="false">
      <c r="A51" s="12" t="s">
        <v>484</v>
      </c>
      <c r="B51" s="12" t="s">
        <v>532</v>
      </c>
      <c r="C51" s="28" t="n">
        <v>141872</v>
      </c>
      <c r="D51" s="28" t="n">
        <v>23765</v>
      </c>
      <c r="E51" s="28" t="n">
        <v>84835</v>
      </c>
      <c r="F51" s="28" t="n">
        <v>23764</v>
      </c>
      <c r="G51" s="28" t="n">
        <v>57037</v>
      </c>
      <c r="H51" s="28" t="n">
        <v>23765</v>
      </c>
      <c r="I51" s="28" t="n">
        <v>23886</v>
      </c>
      <c r="J51" s="31" t="n">
        <v>44</v>
      </c>
      <c r="K51" s="31" t="n">
        <v>26.83</v>
      </c>
      <c r="L51" s="17" t="n">
        <f aca="false">G51/C51*100</f>
        <v>40.2031408593662</v>
      </c>
      <c r="M51" s="17" t="n">
        <f aca="false">(1-H51/F51)*100</f>
        <v>-0.00420804578353806</v>
      </c>
    </row>
    <row r="52" customFormat="false" ht="15" hidden="false" customHeight="false" outlineLevel="0" collapsed="false">
      <c r="A52" s="12" t="s">
        <v>484</v>
      </c>
      <c r="B52" s="12" t="s">
        <v>533</v>
      </c>
      <c r="C52" s="28" t="n">
        <v>141872</v>
      </c>
      <c r="D52" s="28" t="n">
        <v>24003</v>
      </c>
      <c r="E52" s="28" t="n">
        <v>85056</v>
      </c>
      <c r="F52" s="28" t="n">
        <v>24003</v>
      </c>
      <c r="G52" s="28" t="n">
        <v>56816</v>
      </c>
      <c r="H52" s="28" t="n">
        <v>24002</v>
      </c>
      <c r="I52" s="28" t="n">
        <v>24118</v>
      </c>
      <c r="J52" s="31" t="n">
        <v>45</v>
      </c>
      <c r="K52" s="31" t="n">
        <v>27.58</v>
      </c>
      <c r="L52" s="17" t="n">
        <f aca="false">G52/C52*100</f>
        <v>40.0473666403519</v>
      </c>
      <c r="M52" s="17" t="n">
        <f aca="false">(1-H52/F52)*100</f>
        <v>0.00416614589843212</v>
      </c>
    </row>
    <row r="53" customFormat="false" ht="15" hidden="false" customHeight="false" outlineLevel="0" collapsed="false">
      <c r="A53" s="12" t="s">
        <v>484</v>
      </c>
      <c r="B53" s="12" t="s">
        <v>534</v>
      </c>
      <c r="C53" s="28" t="n">
        <v>141871</v>
      </c>
      <c r="D53" s="28" t="n">
        <v>24242</v>
      </c>
      <c r="E53" s="28" t="n">
        <v>83678</v>
      </c>
      <c r="F53" s="28" t="n">
        <v>24242</v>
      </c>
      <c r="G53" s="28" t="n">
        <v>58193</v>
      </c>
      <c r="H53" s="28" t="n">
        <v>24242</v>
      </c>
      <c r="I53" s="28" t="n">
        <v>24369</v>
      </c>
      <c r="J53" s="31" t="n">
        <v>46</v>
      </c>
      <c r="K53" s="31" t="n">
        <v>28.33</v>
      </c>
      <c r="L53" s="17" t="n">
        <f aca="false">G53/C53*100</f>
        <v>41.0182489726583</v>
      </c>
      <c r="M53" s="17" t="n">
        <f aca="false">(1-H53/F53)*100</f>
        <v>0</v>
      </c>
    </row>
    <row r="54" customFormat="false" ht="15" hidden="false" customHeight="false" outlineLevel="0" collapsed="false">
      <c r="A54" s="12" t="s">
        <v>484</v>
      </c>
      <c r="B54" s="12" t="s">
        <v>535</v>
      </c>
      <c r="C54" s="28" t="n">
        <v>141872</v>
      </c>
      <c r="D54" s="28" t="n">
        <v>24497</v>
      </c>
      <c r="E54" s="28" t="n">
        <v>83578</v>
      </c>
      <c r="F54" s="28" t="n">
        <v>24498</v>
      </c>
      <c r="G54" s="28" t="n">
        <v>58294</v>
      </c>
      <c r="H54" s="28" t="n">
        <v>24496</v>
      </c>
      <c r="I54" s="28" t="n">
        <v>24623</v>
      </c>
      <c r="J54" s="31" t="n">
        <v>47</v>
      </c>
      <c r="K54" s="31" t="n">
        <v>29.1</v>
      </c>
      <c r="L54" s="17" t="n">
        <f aca="false">G54/C54*100</f>
        <v>41.0891507838051</v>
      </c>
      <c r="M54" s="17" t="n">
        <f aca="false">(1-H54/F54)*100</f>
        <v>0.00816393174952745</v>
      </c>
    </row>
    <row r="55" customFormat="false" ht="15" hidden="false" customHeight="false" outlineLevel="0" collapsed="false">
      <c r="A55" s="12" t="s">
        <v>484</v>
      </c>
      <c r="B55" s="12" t="s">
        <v>536</v>
      </c>
      <c r="C55" s="28" t="n">
        <v>141872</v>
      </c>
      <c r="D55" s="28" t="n">
        <v>24753</v>
      </c>
      <c r="E55" s="28" t="n">
        <v>83626</v>
      </c>
      <c r="F55" s="28" t="n">
        <v>24754</v>
      </c>
      <c r="G55" s="28" t="n">
        <v>58246</v>
      </c>
      <c r="H55" s="28" t="n">
        <v>24751</v>
      </c>
      <c r="I55" s="28" t="n">
        <v>24886</v>
      </c>
      <c r="J55" s="31" t="n">
        <v>48</v>
      </c>
      <c r="K55" s="31" t="n">
        <v>29.87</v>
      </c>
      <c r="L55" s="17" t="n">
        <f aca="false">G55/C55*100</f>
        <v>41.0553174692681</v>
      </c>
      <c r="M55" s="17" t="n">
        <f aca="false">(1-H55/F55)*100</f>
        <v>0.0121192534539905</v>
      </c>
    </row>
    <row r="56" customFormat="false" ht="15" hidden="false" customHeight="false" outlineLevel="0" collapsed="false">
      <c r="A56" s="12" t="s">
        <v>484</v>
      </c>
      <c r="B56" s="12" t="s">
        <v>537</v>
      </c>
      <c r="C56" s="28" t="n">
        <v>141871</v>
      </c>
      <c r="D56" s="28" t="n">
        <v>25017</v>
      </c>
      <c r="E56" s="28" t="n">
        <v>83694</v>
      </c>
      <c r="F56" s="28" t="n">
        <v>25018</v>
      </c>
      <c r="G56" s="28" t="n">
        <v>58177</v>
      </c>
      <c r="H56" s="28" t="n">
        <v>25017</v>
      </c>
      <c r="I56" s="28" t="n">
        <v>25149</v>
      </c>
      <c r="J56" s="31" t="n">
        <v>49</v>
      </c>
      <c r="K56" s="31" t="n">
        <v>30.65</v>
      </c>
      <c r="L56" s="17" t="n">
        <f aca="false">G56/C56*100</f>
        <v>41.0069711216528</v>
      </c>
      <c r="M56" s="17" t="n">
        <f aca="false">(1-H56/F56)*100</f>
        <v>0.00399712207210801</v>
      </c>
    </row>
    <row r="57" customFormat="false" ht="15" hidden="false" customHeight="false" outlineLevel="0" collapsed="false">
      <c r="A57" s="12" t="s">
        <v>484</v>
      </c>
      <c r="B57" s="12" t="s">
        <v>538</v>
      </c>
      <c r="C57" s="28" t="n">
        <v>141872</v>
      </c>
      <c r="D57" s="28" t="n">
        <v>25288</v>
      </c>
      <c r="E57" s="28" t="n">
        <v>83792</v>
      </c>
      <c r="F57" s="28" t="n">
        <v>25288</v>
      </c>
      <c r="G57" s="28" t="n">
        <v>58080</v>
      </c>
      <c r="H57" s="28" t="n">
        <v>25288</v>
      </c>
      <c r="I57" s="28" t="n">
        <v>25428</v>
      </c>
      <c r="J57" s="31" t="n">
        <v>50</v>
      </c>
      <c r="K57" s="31" t="n">
        <v>31.44</v>
      </c>
      <c r="L57" s="17" t="n">
        <f aca="false">G57/C57*100</f>
        <v>40.9383105898274</v>
      </c>
      <c r="M57" s="17" t="n">
        <f aca="false">(1-H57/F57)*100</f>
        <v>0</v>
      </c>
    </row>
    <row r="58" customFormat="false" ht="15" hidden="false" customHeight="false" outlineLevel="0" collapsed="false">
      <c r="A58" s="12" t="s">
        <v>482</v>
      </c>
      <c r="B58" s="12" t="s">
        <v>539</v>
      </c>
      <c r="C58" s="28" t="n">
        <v>1418717</v>
      </c>
      <c r="D58" s="28" t="n">
        <v>26982</v>
      </c>
      <c r="E58" s="28" t="n">
        <v>830583</v>
      </c>
      <c r="F58" s="28" t="n">
        <v>26975</v>
      </c>
      <c r="G58" s="28" t="n">
        <v>588134</v>
      </c>
      <c r="H58" s="28" t="n">
        <v>26993</v>
      </c>
      <c r="I58" s="28" t="n">
        <v>28730</v>
      </c>
      <c r="J58" s="31" t="n">
        <v>60</v>
      </c>
      <c r="K58" s="31" t="n">
        <v>39.85</v>
      </c>
      <c r="L58" s="17" t="n">
        <f aca="false">G58/C58*100</f>
        <v>41.4553431022537</v>
      </c>
      <c r="M58" s="17" t="n">
        <f aca="false">(1-H58/F58)*100</f>
        <v>-0.0667284522706257</v>
      </c>
    </row>
    <row r="59" customFormat="false" ht="15" hidden="false" customHeight="false" outlineLevel="0" collapsed="false">
      <c r="A59" s="12" t="s">
        <v>484</v>
      </c>
      <c r="B59" s="12" t="s">
        <v>540</v>
      </c>
      <c r="C59" s="28" t="n">
        <v>141872</v>
      </c>
      <c r="D59" s="28" t="n">
        <v>25570</v>
      </c>
      <c r="E59" s="28" t="n">
        <v>83264</v>
      </c>
      <c r="F59" s="28" t="n">
        <v>25570</v>
      </c>
      <c r="G59" s="28" t="n">
        <v>58608</v>
      </c>
      <c r="H59" s="28" t="n">
        <v>25570</v>
      </c>
      <c r="I59" s="28" t="n">
        <v>25714</v>
      </c>
      <c r="J59" s="31" t="n">
        <v>51</v>
      </c>
      <c r="K59" s="31" t="n">
        <v>32.23</v>
      </c>
      <c r="L59" s="17" t="n">
        <f aca="false">G59/C59*100</f>
        <v>41.310477049735</v>
      </c>
      <c r="M59" s="17" t="n">
        <f aca="false">(1-H59/F59)*100</f>
        <v>0</v>
      </c>
    </row>
    <row r="60" customFormat="false" ht="15" hidden="false" customHeight="false" outlineLevel="0" collapsed="false">
      <c r="A60" s="12" t="s">
        <v>484</v>
      </c>
      <c r="B60" s="12" t="s">
        <v>541</v>
      </c>
      <c r="C60" s="28" t="n">
        <v>141871</v>
      </c>
      <c r="D60" s="28" t="n">
        <v>25858</v>
      </c>
      <c r="E60" s="28" t="n">
        <v>84618</v>
      </c>
      <c r="F60" s="28" t="n">
        <v>25858</v>
      </c>
      <c r="G60" s="28" t="n">
        <v>57253</v>
      </c>
      <c r="H60" s="28" t="n">
        <v>25858</v>
      </c>
      <c r="I60" s="28" t="n">
        <v>26000</v>
      </c>
      <c r="J60" s="31" t="n">
        <v>52</v>
      </c>
      <c r="K60" s="31" t="n">
        <v>33.04</v>
      </c>
      <c r="L60" s="17" t="n">
        <f aca="false">G60/C60*100</f>
        <v>40.3556752260857</v>
      </c>
      <c r="M60" s="17" t="n">
        <f aca="false">(1-H60/F60)*100</f>
        <v>0</v>
      </c>
    </row>
    <row r="61" customFormat="false" ht="15" hidden="false" customHeight="false" outlineLevel="0" collapsed="false">
      <c r="A61" s="12" t="s">
        <v>484</v>
      </c>
      <c r="B61" s="12" t="s">
        <v>542</v>
      </c>
      <c r="C61" s="28" t="n">
        <v>141872</v>
      </c>
      <c r="D61" s="28" t="n">
        <v>26148</v>
      </c>
      <c r="E61" s="28" t="n">
        <v>83937</v>
      </c>
      <c r="F61" s="28" t="n">
        <v>26148</v>
      </c>
      <c r="G61" s="28" t="n">
        <v>57935</v>
      </c>
      <c r="H61" s="28" t="n">
        <v>26148</v>
      </c>
      <c r="I61" s="28" t="n">
        <v>26300</v>
      </c>
      <c r="J61" s="31" t="n">
        <v>53</v>
      </c>
      <c r="K61" s="31" t="n">
        <v>33.85</v>
      </c>
      <c r="L61" s="17" t="n">
        <f aca="false">G61/C61*100</f>
        <v>40.8361057854968</v>
      </c>
      <c r="M61" s="17" t="n">
        <f aca="false">(1-H61/F61)*100</f>
        <v>0</v>
      </c>
    </row>
    <row r="62" customFormat="false" ht="15" hidden="false" customHeight="false" outlineLevel="0" collapsed="false">
      <c r="A62" s="12" t="s">
        <v>484</v>
      </c>
      <c r="B62" s="12" t="s">
        <v>543</v>
      </c>
      <c r="C62" s="28" t="n">
        <v>141872</v>
      </c>
      <c r="D62" s="28" t="n">
        <v>26458</v>
      </c>
      <c r="E62" s="28" t="n">
        <v>82939</v>
      </c>
      <c r="F62" s="28" t="n">
        <v>26457</v>
      </c>
      <c r="G62" s="28" t="n">
        <v>58933</v>
      </c>
      <c r="H62" s="28" t="n">
        <v>26459</v>
      </c>
      <c r="I62" s="28" t="n">
        <v>26616</v>
      </c>
      <c r="J62" s="31" t="n">
        <v>54</v>
      </c>
      <c r="K62" s="31" t="n">
        <v>34.68</v>
      </c>
      <c r="L62" s="17" t="n">
        <f aca="false">G62/C62*100</f>
        <v>41.5395567835796</v>
      </c>
      <c r="M62" s="17" t="n">
        <f aca="false">(1-H62/F62)*100</f>
        <v>-0.00755943606607357</v>
      </c>
    </row>
    <row r="63" customFormat="false" ht="15" hidden="false" customHeight="false" outlineLevel="0" collapsed="false">
      <c r="A63" s="12" t="s">
        <v>484</v>
      </c>
      <c r="B63" s="12" t="s">
        <v>544</v>
      </c>
      <c r="C63" s="28" t="n">
        <v>141871</v>
      </c>
      <c r="D63" s="28" t="n">
        <v>26779</v>
      </c>
      <c r="E63" s="28" t="n">
        <v>83453</v>
      </c>
      <c r="F63" s="28" t="n">
        <v>26779</v>
      </c>
      <c r="G63" s="28" t="n">
        <v>58418</v>
      </c>
      <c r="H63" s="28" t="n">
        <v>26779</v>
      </c>
      <c r="I63" s="28" t="n">
        <v>26942</v>
      </c>
      <c r="J63" s="31" t="n">
        <v>55</v>
      </c>
      <c r="K63" s="31" t="n">
        <v>35.51</v>
      </c>
      <c r="L63" s="17" t="n">
        <f aca="false">G63/C63*100</f>
        <v>41.176843752423</v>
      </c>
      <c r="M63" s="17" t="n">
        <f aca="false">(1-H63/F63)*100</f>
        <v>0</v>
      </c>
    </row>
    <row r="64" customFormat="false" ht="15" hidden="false" customHeight="false" outlineLevel="0" collapsed="false">
      <c r="A64" s="12" t="s">
        <v>484</v>
      </c>
      <c r="B64" s="12" t="s">
        <v>545</v>
      </c>
      <c r="C64" s="28" t="n">
        <v>141872</v>
      </c>
      <c r="D64" s="28" t="n">
        <v>27099</v>
      </c>
      <c r="E64" s="28" t="n">
        <v>83333</v>
      </c>
      <c r="F64" s="28" t="n">
        <v>27098</v>
      </c>
      <c r="G64" s="28" t="n">
        <v>58539</v>
      </c>
      <c r="H64" s="28" t="n">
        <v>27101</v>
      </c>
      <c r="I64" s="28" t="n">
        <v>27269</v>
      </c>
      <c r="J64" s="31" t="n">
        <v>56</v>
      </c>
      <c r="K64" s="31" t="n">
        <v>36.36</v>
      </c>
      <c r="L64" s="17" t="n">
        <f aca="false">G64/C64*100</f>
        <v>41.261841660088</v>
      </c>
      <c r="M64" s="17" t="n">
        <f aca="false">(1-H64/F64)*100</f>
        <v>-0.0110709277437504</v>
      </c>
    </row>
    <row r="65" customFormat="false" ht="15" hidden="false" customHeight="false" outlineLevel="0" collapsed="false">
      <c r="A65" s="12" t="s">
        <v>484</v>
      </c>
      <c r="B65" s="12" t="s">
        <v>546</v>
      </c>
      <c r="C65" s="28" t="n">
        <v>141872</v>
      </c>
      <c r="D65" s="28" t="n">
        <v>27442</v>
      </c>
      <c r="E65" s="28" t="n">
        <v>82589</v>
      </c>
      <c r="F65" s="28" t="n">
        <v>27442</v>
      </c>
      <c r="G65" s="28" t="n">
        <v>59283</v>
      </c>
      <c r="H65" s="28" t="n">
        <v>27441</v>
      </c>
      <c r="I65" s="28" t="n">
        <v>27615</v>
      </c>
      <c r="J65" s="31" t="n">
        <v>57</v>
      </c>
      <c r="K65" s="31" t="n">
        <v>37.21</v>
      </c>
      <c r="L65" s="17" t="n">
        <f aca="false">G65/C65*100</f>
        <v>41.7862580354122</v>
      </c>
      <c r="M65" s="17" t="n">
        <f aca="false">(1-H65/F65)*100</f>
        <v>0.00364404926754824</v>
      </c>
    </row>
    <row r="66" customFormat="false" ht="15" hidden="false" customHeight="false" outlineLevel="0" collapsed="false">
      <c r="A66" s="12" t="s">
        <v>484</v>
      </c>
      <c r="B66" s="12" t="s">
        <v>547</v>
      </c>
      <c r="C66" s="28" t="n">
        <v>141872</v>
      </c>
      <c r="D66" s="28" t="n">
        <v>27789</v>
      </c>
      <c r="E66" s="28" t="n">
        <v>82211</v>
      </c>
      <c r="F66" s="28" t="n">
        <v>27789</v>
      </c>
      <c r="G66" s="28" t="n">
        <v>59661</v>
      </c>
      <c r="H66" s="28" t="n">
        <v>27789</v>
      </c>
      <c r="I66" s="28" t="n">
        <v>27971</v>
      </c>
      <c r="J66" s="31" t="n">
        <v>58</v>
      </c>
      <c r="K66" s="31" t="n">
        <v>38.08</v>
      </c>
      <c r="L66" s="17" t="n">
        <f aca="false">G66/C66*100</f>
        <v>42.0526953873915</v>
      </c>
      <c r="M66" s="17" t="n">
        <f aca="false">(1-H66/F66)*100</f>
        <v>0</v>
      </c>
    </row>
    <row r="67" customFormat="false" ht="15" hidden="false" customHeight="false" outlineLevel="0" collapsed="false">
      <c r="A67" s="12" t="s">
        <v>484</v>
      </c>
      <c r="B67" s="12" t="s">
        <v>548</v>
      </c>
      <c r="C67" s="28" t="n">
        <v>141871</v>
      </c>
      <c r="D67" s="28" t="n">
        <v>28148</v>
      </c>
      <c r="E67" s="28" t="n">
        <v>82009</v>
      </c>
      <c r="F67" s="28" t="n">
        <v>28148</v>
      </c>
      <c r="G67" s="28" t="n">
        <v>59862</v>
      </c>
      <c r="H67" s="28" t="n">
        <v>28149</v>
      </c>
      <c r="I67" s="28" t="n">
        <v>28337</v>
      </c>
      <c r="J67" s="31" t="n">
        <v>59</v>
      </c>
      <c r="K67" s="31" t="n">
        <v>38.96</v>
      </c>
      <c r="L67" s="17" t="n">
        <f aca="false">G67/C67*100</f>
        <v>42.1946698056685</v>
      </c>
      <c r="M67" s="17" t="n">
        <f aca="false">(1-H67/F67)*100</f>
        <v>-0.0035526502771166</v>
      </c>
    </row>
    <row r="68" customFormat="false" ht="15" hidden="false" customHeight="false" outlineLevel="0" collapsed="false">
      <c r="A68" s="12" t="s">
        <v>484</v>
      </c>
      <c r="B68" s="12" t="s">
        <v>549</v>
      </c>
      <c r="C68" s="28" t="n">
        <v>141872</v>
      </c>
      <c r="D68" s="28" t="n">
        <v>28532</v>
      </c>
      <c r="E68" s="28" t="n">
        <v>82230</v>
      </c>
      <c r="F68" s="28" t="n">
        <v>28532</v>
      </c>
      <c r="G68" s="28" t="n">
        <v>59642</v>
      </c>
      <c r="H68" s="28" t="n">
        <v>28532</v>
      </c>
      <c r="I68" s="28" t="n">
        <v>28730</v>
      </c>
      <c r="J68" s="31" t="n">
        <v>60</v>
      </c>
      <c r="K68" s="31" t="n">
        <v>39.85</v>
      </c>
      <c r="L68" s="17" t="n">
        <f aca="false">G68/C68*100</f>
        <v>42.0393030337205</v>
      </c>
      <c r="M68" s="17" t="n">
        <f aca="false">(1-H68/F68)*100</f>
        <v>0</v>
      </c>
    </row>
    <row r="69" customFormat="false" ht="15" hidden="false" customHeight="false" outlineLevel="0" collapsed="false">
      <c r="A69" s="12" t="s">
        <v>482</v>
      </c>
      <c r="B69" s="12" t="s">
        <v>550</v>
      </c>
      <c r="C69" s="28" t="n">
        <v>1418717</v>
      </c>
      <c r="D69" s="28" t="n">
        <v>30918</v>
      </c>
      <c r="E69" s="28" t="n">
        <v>815228</v>
      </c>
      <c r="F69" s="28" t="n">
        <v>30918</v>
      </c>
      <c r="G69" s="28" t="n">
        <v>603489</v>
      </c>
      <c r="H69" s="28" t="n">
        <v>30918</v>
      </c>
      <c r="I69" s="28" t="n">
        <v>33432</v>
      </c>
      <c r="J69" s="31" t="n">
        <v>70</v>
      </c>
      <c r="K69" s="31" t="n">
        <v>49.49</v>
      </c>
      <c r="L69" s="17" t="n">
        <f aca="false">G69/C69*100</f>
        <v>42.5376590257254</v>
      </c>
      <c r="M69" s="17" t="n">
        <f aca="false">(1-H69/F69)*100</f>
        <v>0</v>
      </c>
    </row>
    <row r="70" customFormat="false" ht="15" hidden="false" customHeight="false" outlineLevel="0" collapsed="false">
      <c r="A70" s="12" t="s">
        <v>484</v>
      </c>
      <c r="B70" s="12" t="s">
        <v>551</v>
      </c>
      <c r="C70" s="28" t="n">
        <v>141872</v>
      </c>
      <c r="D70" s="28" t="n">
        <v>28933</v>
      </c>
      <c r="E70" s="28" t="n">
        <v>81972</v>
      </c>
      <c r="F70" s="28" t="n">
        <v>28932</v>
      </c>
      <c r="G70" s="28" t="n">
        <v>59900</v>
      </c>
      <c r="H70" s="28" t="n">
        <v>28933</v>
      </c>
      <c r="I70" s="28" t="n">
        <v>29136</v>
      </c>
      <c r="J70" s="31" t="n">
        <v>61</v>
      </c>
      <c r="K70" s="31" t="n">
        <v>40.75</v>
      </c>
      <c r="L70" s="17" t="n">
        <f aca="false">G70/C70*100</f>
        <v>42.2211570993572</v>
      </c>
      <c r="M70" s="17" t="n">
        <f aca="false">(1-H70/F70)*100</f>
        <v>-0.00345638047836161</v>
      </c>
    </row>
    <row r="71" customFormat="false" ht="15" hidden="false" customHeight="false" outlineLevel="0" collapsed="false">
      <c r="A71" s="12" t="s">
        <v>484</v>
      </c>
      <c r="B71" s="12" t="s">
        <v>552</v>
      </c>
      <c r="C71" s="28" t="n">
        <v>141871</v>
      </c>
      <c r="D71" s="28" t="n">
        <v>29348</v>
      </c>
      <c r="E71" s="28" t="n">
        <v>82259</v>
      </c>
      <c r="F71" s="28" t="n">
        <v>29347</v>
      </c>
      <c r="G71" s="28" t="n">
        <v>59612</v>
      </c>
      <c r="H71" s="28" t="n">
        <v>29349</v>
      </c>
      <c r="I71" s="28" t="n">
        <v>29559</v>
      </c>
      <c r="J71" s="31" t="n">
        <v>62</v>
      </c>
      <c r="K71" s="31" t="n">
        <v>41.66</v>
      </c>
      <c r="L71" s="17" t="n">
        <f aca="false">G71/C71*100</f>
        <v>42.0184533837077</v>
      </c>
      <c r="M71" s="17" t="n">
        <f aca="false">(1-H71/F71)*100</f>
        <v>-0.00681500664463375</v>
      </c>
    </row>
    <row r="72" customFormat="false" ht="15" hidden="false" customHeight="false" outlineLevel="0" collapsed="false">
      <c r="A72" s="12" t="s">
        <v>484</v>
      </c>
      <c r="B72" s="12" t="s">
        <v>553</v>
      </c>
      <c r="C72" s="28" t="n">
        <v>141872</v>
      </c>
      <c r="D72" s="28" t="n">
        <v>29779</v>
      </c>
      <c r="E72" s="28" t="n">
        <v>81620</v>
      </c>
      <c r="F72" s="28" t="n">
        <v>29778</v>
      </c>
      <c r="G72" s="28" t="n">
        <v>60252</v>
      </c>
      <c r="H72" s="28" t="n">
        <v>29779</v>
      </c>
      <c r="I72" s="28" t="n">
        <v>30000</v>
      </c>
      <c r="J72" s="31" t="n">
        <v>63</v>
      </c>
      <c r="K72" s="31" t="n">
        <v>42.59</v>
      </c>
      <c r="L72" s="17" t="n">
        <f aca="false">G72/C72*100</f>
        <v>42.4692680726288</v>
      </c>
      <c r="M72" s="17" t="n">
        <f aca="false">(1-H72/F72)*100</f>
        <v>-0.00335818389414211</v>
      </c>
    </row>
    <row r="73" customFormat="false" ht="15" hidden="false" customHeight="false" outlineLevel="0" collapsed="false">
      <c r="A73" s="12" t="s">
        <v>484</v>
      </c>
      <c r="B73" s="12" t="s">
        <v>554</v>
      </c>
      <c r="C73" s="28" t="n">
        <v>141872</v>
      </c>
      <c r="D73" s="28" t="n">
        <v>30203</v>
      </c>
      <c r="E73" s="28" t="n">
        <v>81601</v>
      </c>
      <c r="F73" s="28" t="n">
        <v>30201</v>
      </c>
      <c r="G73" s="28" t="n">
        <v>60271</v>
      </c>
      <c r="H73" s="28" t="n">
        <v>30205</v>
      </c>
      <c r="I73" s="28" t="n">
        <v>30412</v>
      </c>
      <c r="J73" s="31" t="n">
        <v>64</v>
      </c>
      <c r="K73" s="31" t="n">
        <v>43.53</v>
      </c>
      <c r="L73" s="17" t="n">
        <f aca="false">G73/C73*100</f>
        <v>42.4826604262998</v>
      </c>
      <c r="M73" s="17" t="n">
        <f aca="false">(1-H73/F73)*100</f>
        <v>-0.0132445945498549</v>
      </c>
    </row>
    <row r="74" customFormat="false" ht="15" hidden="false" customHeight="false" outlineLevel="0" collapsed="false">
      <c r="A74" s="12" t="s">
        <v>484</v>
      </c>
      <c r="B74" s="12" t="s">
        <v>555</v>
      </c>
      <c r="C74" s="28" t="n">
        <v>141871</v>
      </c>
      <c r="D74" s="28" t="n">
        <v>30612</v>
      </c>
      <c r="E74" s="28" t="n">
        <v>79363</v>
      </c>
      <c r="F74" s="28" t="n">
        <v>30612</v>
      </c>
      <c r="G74" s="28" t="n">
        <v>62508</v>
      </c>
      <c r="H74" s="28" t="n">
        <v>30611</v>
      </c>
      <c r="I74" s="28" t="n">
        <v>30817</v>
      </c>
      <c r="J74" s="31" t="n">
        <v>65</v>
      </c>
      <c r="K74" s="31" t="n">
        <v>44.49</v>
      </c>
      <c r="L74" s="17" t="n">
        <f aca="false">G74/C74*100</f>
        <v>44.0597444157016</v>
      </c>
      <c r="M74" s="17" t="n">
        <f aca="false">(1-H74/F74)*100</f>
        <v>0.00326669280020786</v>
      </c>
    </row>
    <row r="75" customFormat="false" ht="15" hidden="false" customHeight="false" outlineLevel="0" collapsed="false">
      <c r="A75" s="12" t="s">
        <v>484</v>
      </c>
      <c r="B75" s="12" t="s">
        <v>556</v>
      </c>
      <c r="C75" s="28" t="n">
        <v>141872</v>
      </c>
      <c r="D75" s="28" t="n">
        <v>31037</v>
      </c>
      <c r="E75" s="28" t="n">
        <v>80298</v>
      </c>
      <c r="F75" s="28" t="n">
        <v>31038</v>
      </c>
      <c r="G75" s="28" t="n">
        <v>61574</v>
      </c>
      <c r="H75" s="28" t="n">
        <v>31035</v>
      </c>
      <c r="I75" s="28" t="n">
        <v>31268</v>
      </c>
      <c r="J75" s="31" t="n">
        <v>66</v>
      </c>
      <c r="K75" s="31" t="n">
        <v>45.46</v>
      </c>
      <c r="L75" s="17" t="n">
        <f aca="false">G75/C75*100</f>
        <v>43.4010939438367</v>
      </c>
      <c r="M75" s="17" t="n">
        <f aca="false">(1-H75/F75)*100</f>
        <v>0.00966557123526224</v>
      </c>
    </row>
    <row r="76" customFormat="false" ht="15" hidden="false" customHeight="false" outlineLevel="0" collapsed="false">
      <c r="A76" s="12" t="s">
        <v>484</v>
      </c>
      <c r="B76" s="12" t="s">
        <v>557</v>
      </c>
      <c r="C76" s="28" t="n">
        <v>141872</v>
      </c>
      <c r="D76" s="28" t="n">
        <v>31514</v>
      </c>
      <c r="E76" s="28" t="n">
        <v>82474</v>
      </c>
      <c r="F76" s="28" t="n">
        <v>31514</v>
      </c>
      <c r="G76" s="28" t="n">
        <v>59398</v>
      </c>
      <c r="H76" s="28" t="n">
        <v>31515</v>
      </c>
      <c r="I76" s="28" t="n">
        <v>31772</v>
      </c>
      <c r="J76" s="31" t="n">
        <v>67</v>
      </c>
      <c r="K76" s="31" t="n">
        <v>46.44</v>
      </c>
      <c r="L76" s="17" t="n">
        <f aca="false">G76/C76*100</f>
        <v>41.8673170181572</v>
      </c>
      <c r="M76" s="17" t="n">
        <f aca="false">(1-H76/F76)*100</f>
        <v>-0.00317319286666784</v>
      </c>
    </row>
    <row r="77" customFormat="false" ht="15" hidden="false" customHeight="false" outlineLevel="0" collapsed="false">
      <c r="A77" s="12" t="s">
        <v>484</v>
      </c>
      <c r="B77" s="12" t="s">
        <v>558</v>
      </c>
      <c r="C77" s="28" t="n">
        <v>141871</v>
      </c>
      <c r="D77" s="28" t="n">
        <v>32035</v>
      </c>
      <c r="E77" s="28" t="n">
        <v>82006</v>
      </c>
      <c r="F77" s="28" t="n">
        <v>32035</v>
      </c>
      <c r="G77" s="28" t="n">
        <v>59865</v>
      </c>
      <c r="H77" s="28" t="n">
        <v>32036</v>
      </c>
      <c r="I77" s="28" t="n">
        <v>32300</v>
      </c>
      <c r="J77" s="31" t="n">
        <v>68</v>
      </c>
      <c r="K77" s="31" t="n">
        <v>47.44</v>
      </c>
      <c r="L77" s="17" t="n">
        <f aca="false">G77/C77*100</f>
        <v>42.1967844027321</v>
      </c>
      <c r="M77" s="17" t="n">
        <f aca="false">(1-H77/F77)*100</f>
        <v>-0.00312158576556421</v>
      </c>
    </row>
    <row r="78" customFormat="false" ht="15" hidden="false" customHeight="false" outlineLevel="0" collapsed="false">
      <c r="A78" s="12" t="s">
        <v>484</v>
      </c>
      <c r="B78" s="12" t="s">
        <v>559</v>
      </c>
      <c r="C78" s="28" t="n">
        <v>141872</v>
      </c>
      <c r="D78" s="28" t="n">
        <v>32578</v>
      </c>
      <c r="E78" s="28" t="n">
        <v>81866</v>
      </c>
      <c r="F78" s="28" t="n">
        <v>32578</v>
      </c>
      <c r="G78" s="28" t="n">
        <v>60006</v>
      </c>
      <c r="H78" s="28" t="n">
        <v>32578</v>
      </c>
      <c r="I78" s="28" t="n">
        <v>32860</v>
      </c>
      <c r="J78" s="31" t="n">
        <v>69</v>
      </c>
      <c r="K78" s="31" t="n">
        <v>48.45</v>
      </c>
      <c r="L78" s="17" t="n">
        <f aca="false">G78/C78*100</f>
        <v>42.2958723356265</v>
      </c>
      <c r="M78" s="17" t="n">
        <f aca="false">(1-H78/F78)*100</f>
        <v>0</v>
      </c>
    </row>
    <row r="79" customFormat="false" ht="15" hidden="false" customHeight="false" outlineLevel="0" collapsed="false">
      <c r="A79" s="12" t="s">
        <v>484</v>
      </c>
      <c r="B79" s="12" t="s">
        <v>560</v>
      </c>
      <c r="C79" s="28" t="n">
        <v>141872</v>
      </c>
      <c r="D79" s="28" t="n">
        <v>33143</v>
      </c>
      <c r="E79" s="28" t="n">
        <v>81769</v>
      </c>
      <c r="F79" s="28" t="n">
        <v>33142</v>
      </c>
      <c r="G79" s="28" t="n">
        <v>60103</v>
      </c>
      <c r="H79" s="28" t="n">
        <v>33146</v>
      </c>
      <c r="I79" s="28" t="n">
        <v>33432</v>
      </c>
      <c r="J79" s="31" t="n">
        <v>70</v>
      </c>
      <c r="K79" s="31" t="n">
        <v>49.49</v>
      </c>
      <c r="L79" s="17" t="n">
        <f aca="false">G79/C79*100</f>
        <v>42.3642438254201</v>
      </c>
      <c r="M79" s="17" t="n">
        <f aca="false">(1-H79/F79)*100</f>
        <v>-0.0120692776537368</v>
      </c>
    </row>
    <row r="80" customFormat="false" ht="15" hidden="false" customHeight="false" outlineLevel="0" collapsed="false">
      <c r="A80" s="12" t="s">
        <v>482</v>
      </c>
      <c r="B80" s="12" t="s">
        <v>561</v>
      </c>
      <c r="C80" s="28" t="n">
        <v>1418717</v>
      </c>
      <c r="D80" s="28" t="n">
        <v>36628</v>
      </c>
      <c r="E80" s="28" t="n">
        <v>772910</v>
      </c>
      <c r="F80" s="28" t="n">
        <v>36597</v>
      </c>
      <c r="G80" s="28" t="n">
        <v>645807</v>
      </c>
      <c r="H80" s="28" t="n">
        <v>36666</v>
      </c>
      <c r="I80" s="28" t="n">
        <v>40085</v>
      </c>
      <c r="J80" s="31" t="n">
        <v>80</v>
      </c>
      <c r="K80" s="31" t="n">
        <v>60.9</v>
      </c>
      <c r="L80" s="17" t="n">
        <f aca="false">G80/C80*100</f>
        <v>45.5204949260494</v>
      </c>
      <c r="M80" s="17" t="n">
        <f aca="false">(1-H80/F80)*100</f>
        <v>-0.188540044265917</v>
      </c>
    </row>
    <row r="81" customFormat="false" ht="15" hidden="false" customHeight="false" outlineLevel="0" collapsed="false">
      <c r="A81" s="12" t="s">
        <v>484</v>
      </c>
      <c r="B81" s="12" t="s">
        <v>562</v>
      </c>
      <c r="C81" s="28" t="n">
        <v>141871</v>
      </c>
      <c r="D81" s="28" t="n">
        <v>33732</v>
      </c>
      <c r="E81" s="28" t="n">
        <v>79837</v>
      </c>
      <c r="F81" s="28" t="n">
        <v>33729</v>
      </c>
      <c r="G81" s="28" t="n">
        <v>62034</v>
      </c>
      <c r="H81" s="28" t="n">
        <v>33735</v>
      </c>
      <c r="I81" s="28" t="n">
        <v>34025</v>
      </c>
      <c r="J81" s="31" t="n">
        <v>71</v>
      </c>
      <c r="K81" s="31" t="n">
        <v>50.54</v>
      </c>
      <c r="L81" s="17" t="n">
        <f aca="false">G81/C81*100</f>
        <v>43.7256380796639</v>
      </c>
      <c r="M81" s="17" t="n">
        <f aca="false">(1-H81/F81)*100</f>
        <v>-0.0177888463933185</v>
      </c>
    </row>
    <row r="82" customFormat="false" ht="15" hidden="false" customHeight="false" outlineLevel="0" collapsed="false">
      <c r="A82" s="12" t="s">
        <v>484</v>
      </c>
      <c r="B82" s="12" t="s">
        <v>563</v>
      </c>
      <c r="C82" s="28" t="n">
        <v>141872</v>
      </c>
      <c r="D82" s="28" t="n">
        <v>34334</v>
      </c>
      <c r="E82" s="28" t="n">
        <v>79229</v>
      </c>
      <c r="F82" s="28" t="n">
        <v>34332</v>
      </c>
      <c r="G82" s="28" t="n">
        <v>62643</v>
      </c>
      <c r="H82" s="28" t="n">
        <v>34336</v>
      </c>
      <c r="I82" s="28" t="n">
        <v>34642</v>
      </c>
      <c r="J82" s="31" t="n">
        <v>72</v>
      </c>
      <c r="K82" s="31" t="n">
        <v>51.61</v>
      </c>
      <c r="L82" s="17" t="n">
        <f aca="false">G82/C82*100</f>
        <v>44.1545900530055</v>
      </c>
      <c r="M82" s="17" t="n">
        <f aca="false">(1-H82/F82)*100</f>
        <v>-0.0116509379004981</v>
      </c>
    </row>
    <row r="83" customFormat="false" ht="15" hidden="false" customHeight="false" outlineLevel="0" collapsed="false">
      <c r="A83" s="12" t="s">
        <v>484</v>
      </c>
      <c r="B83" s="12" t="s">
        <v>564</v>
      </c>
      <c r="C83" s="28" t="n">
        <v>141872</v>
      </c>
      <c r="D83" s="28" t="n">
        <v>34948</v>
      </c>
      <c r="E83" s="28" t="n">
        <v>78611</v>
      </c>
      <c r="F83" s="28" t="n">
        <v>34949</v>
      </c>
      <c r="G83" s="28" t="n">
        <v>63261</v>
      </c>
      <c r="H83" s="28" t="n">
        <v>34948</v>
      </c>
      <c r="I83" s="28" t="n">
        <v>35254</v>
      </c>
      <c r="J83" s="31" t="n">
        <v>73</v>
      </c>
      <c r="K83" s="31" t="n">
        <v>52.7</v>
      </c>
      <c r="L83" s="17" t="n">
        <f aca="false">G83/C83*100</f>
        <v>44.59019397767</v>
      </c>
      <c r="M83" s="17" t="n">
        <f aca="false">(1-H83/F83)*100</f>
        <v>0.00286131219777719</v>
      </c>
    </row>
    <row r="84" customFormat="false" ht="15" hidden="false" customHeight="false" outlineLevel="0" collapsed="false">
      <c r="A84" s="12" t="s">
        <v>484</v>
      </c>
      <c r="B84" s="12" t="s">
        <v>565</v>
      </c>
      <c r="C84" s="28" t="n">
        <v>141872</v>
      </c>
      <c r="D84" s="28" t="n">
        <v>35576</v>
      </c>
      <c r="E84" s="28" t="n">
        <v>77656</v>
      </c>
      <c r="F84" s="28" t="n">
        <v>35576</v>
      </c>
      <c r="G84" s="28" t="n">
        <v>64216</v>
      </c>
      <c r="H84" s="28" t="n">
        <v>35575</v>
      </c>
      <c r="I84" s="28" t="n">
        <v>35906</v>
      </c>
      <c r="J84" s="31" t="n">
        <v>74</v>
      </c>
      <c r="K84" s="31" t="n">
        <v>53.81</v>
      </c>
      <c r="L84" s="17" t="n">
        <f aca="false">G84/C84*100</f>
        <v>45.2633359648134</v>
      </c>
      <c r="M84" s="17" t="n">
        <f aca="false">(1-H84/F84)*100</f>
        <v>0.00281088374184391</v>
      </c>
    </row>
    <row r="85" customFormat="false" ht="15" hidden="false" customHeight="false" outlineLevel="0" collapsed="false">
      <c r="A85" s="12" t="s">
        <v>484</v>
      </c>
      <c r="B85" s="12" t="s">
        <v>566</v>
      </c>
      <c r="C85" s="28" t="n">
        <v>141871</v>
      </c>
      <c r="D85" s="28" t="n">
        <v>36233</v>
      </c>
      <c r="E85" s="28" t="n">
        <v>77415</v>
      </c>
      <c r="F85" s="28" t="n">
        <v>36231</v>
      </c>
      <c r="G85" s="28" t="n">
        <v>64456</v>
      </c>
      <c r="H85" s="28" t="n">
        <v>36234</v>
      </c>
      <c r="I85" s="28" t="n">
        <v>36571</v>
      </c>
      <c r="J85" s="31" t="n">
        <v>75</v>
      </c>
      <c r="K85" s="31" t="n">
        <v>54.93</v>
      </c>
      <c r="L85" s="17" t="n">
        <f aca="false">G85/C85*100</f>
        <v>45.4328227756201</v>
      </c>
      <c r="M85" s="17" t="n">
        <f aca="false">(1-H85/F85)*100</f>
        <v>-0.00828020203693658</v>
      </c>
    </row>
    <row r="86" customFormat="false" ht="15" hidden="false" customHeight="false" outlineLevel="0" collapsed="false">
      <c r="A86" s="12" t="s">
        <v>484</v>
      </c>
      <c r="B86" s="12" t="s">
        <v>567</v>
      </c>
      <c r="C86" s="28" t="n">
        <v>141872</v>
      </c>
      <c r="D86" s="28" t="n">
        <v>36911</v>
      </c>
      <c r="E86" s="28" t="n">
        <v>75684</v>
      </c>
      <c r="F86" s="28" t="n">
        <v>36911</v>
      </c>
      <c r="G86" s="28" t="n">
        <v>66188</v>
      </c>
      <c r="H86" s="28" t="n">
        <v>36911</v>
      </c>
      <c r="I86" s="28" t="n">
        <v>37247</v>
      </c>
      <c r="J86" s="31" t="n">
        <v>76</v>
      </c>
      <c r="K86" s="31" t="n">
        <v>56.09</v>
      </c>
      <c r="L86" s="17" t="n">
        <f aca="false">G86/C86*100</f>
        <v>46.6533213037104</v>
      </c>
      <c r="M86" s="17" t="n">
        <f aca="false">(1-H86/F86)*100</f>
        <v>0</v>
      </c>
    </row>
    <row r="87" customFormat="false" ht="15" hidden="false" customHeight="false" outlineLevel="0" collapsed="false">
      <c r="A87" s="12" t="s">
        <v>484</v>
      </c>
      <c r="B87" s="12" t="s">
        <v>568</v>
      </c>
      <c r="C87" s="28" t="n">
        <v>141872</v>
      </c>
      <c r="D87" s="28" t="n">
        <v>37582</v>
      </c>
      <c r="E87" s="28" t="n">
        <v>76079</v>
      </c>
      <c r="F87" s="28" t="n">
        <v>37582</v>
      </c>
      <c r="G87" s="28" t="n">
        <v>65793</v>
      </c>
      <c r="H87" s="28" t="n">
        <v>37583</v>
      </c>
      <c r="I87" s="28" t="n">
        <v>37929</v>
      </c>
      <c r="J87" s="31" t="n">
        <v>77</v>
      </c>
      <c r="K87" s="31" t="n">
        <v>57.26</v>
      </c>
      <c r="L87" s="17" t="n">
        <f aca="false">G87/C87*100</f>
        <v>46.3749013194993</v>
      </c>
      <c r="M87" s="17" t="n">
        <f aca="false">(1-H87/F87)*100</f>
        <v>-0.00266084827842406</v>
      </c>
    </row>
    <row r="88" customFormat="false" ht="15" hidden="false" customHeight="false" outlineLevel="0" collapsed="false">
      <c r="A88" s="12" t="s">
        <v>484</v>
      </c>
      <c r="B88" s="12" t="s">
        <v>569</v>
      </c>
      <c r="C88" s="28" t="n">
        <v>141871</v>
      </c>
      <c r="D88" s="28" t="n">
        <v>38271</v>
      </c>
      <c r="E88" s="28" t="n">
        <v>76169</v>
      </c>
      <c r="F88" s="28" t="n">
        <v>38270</v>
      </c>
      <c r="G88" s="28" t="n">
        <v>65702</v>
      </c>
      <c r="H88" s="28" t="n">
        <v>38271</v>
      </c>
      <c r="I88" s="28" t="n">
        <v>38625</v>
      </c>
      <c r="J88" s="31" t="n">
        <v>78</v>
      </c>
      <c r="K88" s="31" t="n">
        <v>58.45</v>
      </c>
      <c r="L88" s="17" t="n">
        <f aca="false">G88/C88*100</f>
        <v>46.3110854226727</v>
      </c>
      <c r="M88" s="17" t="n">
        <f aca="false">(1-H88/F88)*100</f>
        <v>-0.00261301280375381</v>
      </c>
    </row>
    <row r="89" customFormat="false" ht="15" hidden="false" customHeight="false" outlineLevel="0" collapsed="false">
      <c r="A89" s="12" t="s">
        <v>484</v>
      </c>
      <c r="B89" s="12" t="s">
        <v>570</v>
      </c>
      <c r="C89" s="28" t="n">
        <v>141872</v>
      </c>
      <c r="D89" s="28" t="n">
        <v>38983</v>
      </c>
      <c r="E89" s="28" t="n">
        <v>75989</v>
      </c>
      <c r="F89" s="28" t="n">
        <v>38982</v>
      </c>
      <c r="G89" s="28" t="n">
        <v>65883</v>
      </c>
      <c r="H89" s="28" t="n">
        <v>38983</v>
      </c>
      <c r="I89" s="28" t="n">
        <v>39343</v>
      </c>
      <c r="J89" s="31" t="n">
        <v>79</v>
      </c>
      <c r="K89" s="31" t="n">
        <v>59.67</v>
      </c>
      <c r="L89" s="17" t="n">
        <f aca="false">G89/C89*100</f>
        <v>46.4383387842562</v>
      </c>
      <c r="M89" s="17" t="n">
        <f aca="false">(1-H89/F89)*100</f>
        <v>-0.00256528654249966</v>
      </c>
    </row>
    <row r="90" customFormat="false" ht="15" hidden="false" customHeight="false" outlineLevel="0" collapsed="false">
      <c r="A90" s="12" t="s">
        <v>484</v>
      </c>
      <c r="B90" s="12" t="s">
        <v>571</v>
      </c>
      <c r="C90" s="28" t="n">
        <v>141872</v>
      </c>
      <c r="D90" s="28" t="n">
        <v>39716</v>
      </c>
      <c r="E90" s="28" t="n">
        <v>76241</v>
      </c>
      <c r="F90" s="28" t="n">
        <v>39718</v>
      </c>
      <c r="G90" s="28" t="n">
        <v>65631</v>
      </c>
      <c r="H90" s="28" t="n">
        <v>39713</v>
      </c>
      <c r="I90" s="28" t="n">
        <v>40085</v>
      </c>
      <c r="J90" s="31" t="n">
        <v>80</v>
      </c>
      <c r="K90" s="31" t="n">
        <v>60.9</v>
      </c>
      <c r="L90" s="17" t="n">
        <f aca="false">G90/C90*100</f>
        <v>46.2607138829367</v>
      </c>
      <c r="M90" s="17" t="n">
        <f aca="false">(1-H90/F90)*100</f>
        <v>0.0125887506923772</v>
      </c>
    </row>
    <row r="91" customFormat="false" ht="15" hidden="false" customHeight="false" outlineLevel="0" collapsed="false">
      <c r="A91" s="12" t="s">
        <v>482</v>
      </c>
      <c r="B91" s="12" t="s">
        <v>572</v>
      </c>
      <c r="C91" s="28" t="n">
        <v>1418717</v>
      </c>
      <c r="D91" s="28" t="n">
        <v>45223</v>
      </c>
      <c r="E91" s="28" t="n">
        <v>793678</v>
      </c>
      <c r="F91" s="28" t="n">
        <v>45336</v>
      </c>
      <c r="G91" s="28" t="n">
        <v>625039</v>
      </c>
      <c r="H91" s="28" t="n">
        <v>45080</v>
      </c>
      <c r="I91" s="28" t="n">
        <v>52095</v>
      </c>
      <c r="J91" s="31" t="n">
        <v>90</v>
      </c>
      <c r="K91" s="31" t="n">
        <v>75</v>
      </c>
      <c r="L91" s="17" t="n">
        <f aca="false">G91/C91*100</f>
        <v>44.0566370882988</v>
      </c>
      <c r="M91" s="17" t="n">
        <f aca="false">(1-H91/F91)*100</f>
        <v>0.564672666313748</v>
      </c>
    </row>
    <row r="92" customFormat="false" ht="15" hidden="false" customHeight="false" outlineLevel="0" collapsed="false">
      <c r="A92" s="12" t="s">
        <v>484</v>
      </c>
      <c r="B92" s="12" t="s">
        <v>573</v>
      </c>
      <c r="C92" s="28" t="n">
        <v>141871</v>
      </c>
      <c r="D92" s="28" t="n">
        <v>40479</v>
      </c>
      <c r="E92" s="28" t="n">
        <v>75881</v>
      </c>
      <c r="F92" s="28" t="n">
        <v>40481</v>
      </c>
      <c r="G92" s="28" t="n">
        <v>65990</v>
      </c>
      <c r="H92" s="28" t="n">
        <v>40476</v>
      </c>
      <c r="I92" s="28" t="n">
        <v>40892</v>
      </c>
      <c r="J92" s="31" t="n">
        <v>81</v>
      </c>
      <c r="K92" s="31" t="n">
        <v>62.17</v>
      </c>
      <c r="L92" s="17" t="n">
        <f aca="false">G92/C92*100</f>
        <v>46.5140867407715</v>
      </c>
      <c r="M92" s="17" t="n">
        <f aca="false">(1-H92/F92)*100</f>
        <v>0.0123514735307917</v>
      </c>
    </row>
    <row r="93" customFormat="false" ht="15" hidden="false" customHeight="false" outlineLevel="0" collapsed="false">
      <c r="A93" s="12" t="s">
        <v>484</v>
      </c>
      <c r="B93" s="12" t="s">
        <v>574</v>
      </c>
      <c r="C93" s="28" t="n">
        <v>141872</v>
      </c>
      <c r="D93" s="28" t="n">
        <v>41316</v>
      </c>
      <c r="E93" s="28" t="n">
        <v>75719</v>
      </c>
      <c r="F93" s="28" t="n">
        <v>41317</v>
      </c>
      <c r="G93" s="28" t="n">
        <v>66153</v>
      </c>
      <c r="H93" s="28" t="n">
        <v>41315</v>
      </c>
      <c r="I93" s="28" t="n">
        <v>41747</v>
      </c>
      <c r="J93" s="31" t="n">
        <v>82</v>
      </c>
      <c r="K93" s="31" t="n">
        <v>63.45</v>
      </c>
      <c r="L93" s="17" t="n">
        <f aca="false">G93/C93*100</f>
        <v>46.6286511785271</v>
      </c>
      <c r="M93" s="17" t="n">
        <f aca="false">(1-H93/F93)*100</f>
        <v>0.00484062250405426</v>
      </c>
    </row>
    <row r="94" customFormat="false" ht="15" hidden="false" customHeight="false" outlineLevel="0" collapsed="false">
      <c r="A94" s="12" t="s">
        <v>484</v>
      </c>
      <c r="B94" s="12" t="s">
        <v>575</v>
      </c>
      <c r="C94" s="28" t="n">
        <v>141872</v>
      </c>
      <c r="D94" s="28" t="n">
        <v>42204</v>
      </c>
      <c r="E94" s="28" t="n">
        <v>77199</v>
      </c>
      <c r="F94" s="28" t="n">
        <v>42204</v>
      </c>
      <c r="G94" s="28" t="n">
        <v>64673</v>
      </c>
      <c r="H94" s="28" t="n">
        <v>42204</v>
      </c>
      <c r="I94" s="28" t="n">
        <v>42683</v>
      </c>
      <c r="J94" s="31" t="n">
        <v>83</v>
      </c>
      <c r="K94" s="31" t="n">
        <v>64.77</v>
      </c>
      <c r="L94" s="17" t="n">
        <f aca="false">G94/C94*100</f>
        <v>45.5854573136348</v>
      </c>
      <c r="M94" s="17" t="n">
        <f aca="false">(1-H94/F94)*100</f>
        <v>0</v>
      </c>
    </row>
    <row r="95" customFormat="false" ht="15" hidden="false" customHeight="false" outlineLevel="0" collapsed="false">
      <c r="A95" s="12" t="s">
        <v>484</v>
      </c>
      <c r="B95" s="12" t="s">
        <v>576</v>
      </c>
      <c r="C95" s="28" t="n">
        <v>141871</v>
      </c>
      <c r="D95" s="28" t="n">
        <v>43196</v>
      </c>
      <c r="E95" s="28" t="n">
        <v>78102</v>
      </c>
      <c r="F95" s="28" t="n">
        <v>43197</v>
      </c>
      <c r="G95" s="28" t="n">
        <v>63769</v>
      </c>
      <c r="H95" s="28" t="n">
        <v>43195</v>
      </c>
      <c r="I95" s="28" t="n">
        <v>43726</v>
      </c>
      <c r="J95" s="31" t="n">
        <v>84</v>
      </c>
      <c r="K95" s="31" t="n">
        <v>66.12</v>
      </c>
      <c r="L95" s="17" t="n">
        <f aca="false">G95/C95*100</f>
        <v>44.9485800480718</v>
      </c>
      <c r="M95" s="17" t="n">
        <f aca="false">(1-H95/F95)*100</f>
        <v>0.00462995115401155</v>
      </c>
    </row>
    <row r="96" customFormat="false" ht="15" hidden="false" customHeight="false" outlineLevel="0" collapsed="false">
      <c r="A96" s="12" t="s">
        <v>484</v>
      </c>
      <c r="B96" s="12" t="s">
        <v>577</v>
      </c>
      <c r="C96" s="28" t="n">
        <v>141872</v>
      </c>
      <c r="D96" s="28" t="n">
        <v>44275</v>
      </c>
      <c r="E96" s="28" t="n">
        <v>78804</v>
      </c>
      <c r="F96" s="28" t="n">
        <v>44274</v>
      </c>
      <c r="G96" s="28" t="n">
        <v>63068</v>
      </c>
      <c r="H96" s="28" t="n">
        <v>44275</v>
      </c>
      <c r="I96" s="28" t="n">
        <v>44831</v>
      </c>
      <c r="J96" s="31" t="n">
        <v>85</v>
      </c>
      <c r="K96" s="31" t="n">
        <v>67.5</v>
      </c>
      <c r="L96" s="17" t="n">
        <f aca="false">G96/C96*100</f>
        <v>44.4541558588023</v>
      </c>
      <c r="M96" s="17" t="n">
        <f aca="false">(1-H96/F96)*100</f>
        <v>-0.00225866196865709</v>
      </c>
    </row>
    <row r="97" customFormat="false" ht="15" hidden="false" customHeight="false" outlineLevel="0" collapsed="false">
      <c r="A97" s="12" t="s">
        <v>484</v>
      </c>
      <c r="B97" s="12" t="s">
        <v>578</v>
      </c>
      <c r="C97" s="28" t="n">
        <v>141872</v>
      </c>
      <c r="D97" s="28" t="n">
        <v>45405</v>
      </c>
      <c r="E97" s="28" t="n">
        <v>79807</v>
      </c>
      <c r="F97" s="28" t="n">
        <v>45405</v>
      </c>
      <c r="G97" s="28" t="n">
        <v>62065</v>
      </c>
      <c r="H97" s="28" t="n">
        <v>45406</v>
      </c>
      <c r="I97" s="28" t="n">
        <v>46010</v>
      </c>
      <c r="J97" s="31" t="n">
        <v>86</v>
      </c>
      <c r="K97" s="31" t="n">
        <v>68.91</v>
      </c>
      <c r="L97" s="17" t="n">
        <f aca="false">G97/C97*100</f>
        <v>43.7471805571219</v>
      </c>
      <c r="M97" s="17" t="n">
        <f aca="false">(1-H97/F97)*100</f>
        <v>-0.00220240061667987</v>
      </c>
    </row>
    <row r="98" customFormat="false" ht="15" hidden="false" customHeight="false" outlineLevel="0" collapsed="false">
      <c r="A98" s="12" t="s">
        <v>484</v>
      </c>
      <c r="B98" s="12" t="s">
        <v>579</v>
      </c>
      <c r="C98" s="28" t="n">
        <v>141872</v>
      </c>
      <c r="D98" s="28" t="n">
        <v>46656</v>
      </c>
      <c r="E98" s="28" t="n">
        <v>80338</v>
      </c>
      <c r="F98" s="28" t="n">
        <v>46656</v>
      </c>
      <c r="G98" s="28" t="n">
        <v>61534</v>
      </c>
      <c r="H98" s="28" t="n">
        <v>46657</v>
      </c>
      <c r="I98" s="28" t="n">
        <v>47318</v>
      </c>
      <c r="J98" s="31" t="n">
        <v>87</v>
      </c>
      <c r="K98" s="31" t="n">
        <v>70.37</v>
      </c>
      <c r="L98" s="17" t="n">
        <f aca="false">G98/C98*100</f>
        <v>43.3728995150558</v>
      </c>
      <c r="M98" s="17" t="n">
        <f aca="false">(1-H98/F98)*100</f>
        <v>-0.0021433470507537</v>
      </c>
    </row>
    <row r="99" customFormat="false" ht="15" hidden="false" customHeight="false" outlineLevel="0" collapsed="false">
      <c r="A99" s="12" t="s">
        <v>484</v>
      </c>
      <c r="B99" s="12" t="s">
        <v>580</v>
      </c>
      <c r="C99" s="28" t="n">
        <v>141871</v>
      </c>
      <c r="D99" s="28" t="n">
        <v>48018</v>
      </c>
      <c r="E99" s="28" t="n">
        <v>80762</v>
      </c>
      <c r="F99" s="28" t="n">
        <v>48020</v>
      </c>
      <c r="G99" s="28" t="n">
        <v>61109</v>
      </c>
      <c r="H99" s="28" t="n">
        <v>48015</v>
      </c>
      <c r="I99" s="28" t="n">
        <v>48738</v>
      </c>
      <c r="J99" s="31" t="n">
        <v>88</v>
      </c>
      <c r="K99" s="31" t="n">
        <v>71.86</v>
      </c>
      <c r="L99" s="17" t="n">
        <f aca="false">G99/C99*100</f>
        <v>43.073637318409</v>
      </c>
      <c r="M99" s="17" t="n">
        <f aca="false">(1-H99/F99)*100</f>
        <v>0.0104123281965851</v>
      </c>
    </row>
    <row r="100" customFormat="false" ht="15" hidden="false" customHeight="false" outlineLevel="0" collapsed="false">
      <c r="A100" s="12" t="s">
        <v>484</v>
      </c>
      <c r="B100" s="12" t="s">
        <v>581</v>
      </c>
      <c r="C100" s="28" t="n">
        <v>141872</v>
      </c>
      <c r="D100" s="28" t="n">
        <v>49507</v>
      </c>
      <c r="E100" s="28" t="n">
        <v>83320</v>
      </c>
      <c r="F100" s="28" t="n">
        <v>49511</v>
      </c>
      <c r="G100" s="28" t="n">
        <v>58552</v>
      </c>
      <c r="H100" s="28" t="n">
        <v>49502</v>
      </c>
      <c r="I100" s="28" t="n">
        <v>50299</v>
      </c>
      <c r="J100" s="31" t="n">
        <v>89</v>
      </c>
      <c r="K100" s="31" t="n">
        <v>73.41</v>
      </c>
      <c r="L100" s="17" t="n">
        <f aca="false">G100/C100*100</f>
        <v>41.2710048494418</v>
      </c>
      <c r="M100" s="17" t="n">
        <f aca="false">(1-H100/F100)*100</f>
        <v>0.0181777786754433</v>
      </c>
    </row>
    <row r="101" customFormat="false" ht="15" hidden="false" customHeight="false" outlineLevel="0" collapsed="false">
      <c r="A101" s="12" t="s">
        <v>484</v>
      </c>
      <c r="B101" s="12" t="s">
        <v>582</v>
      </c>
      <c r="C101" s="28" t="n">
        <v>141872</v>
      </c>
      <c r="D101" s="28" t="n">
        <v>51176</v>
      </c>
      <c r="E101" s="28" t="n">
        <v>83746</v>
      </c>
      <c r="F101" s="28" t="n">
        <v>51178</v>
      </c>
      <c r="G101" s="28" t="n">
        <v>58126</v>
      </c>
      <c r="H101" s="28" t="n">
        <v>51172</v>
      </c>
      <c r="I101" s="28" t="n">
        <v>52095</v>
      </c>
      <c r="J101" s="31" t="n">
        <v>90</v>
      </c>
      <c r="K101" s="31" t="n">
        <v>75</v>
      </c>
      <c r="L101" s="17" t="n">
        <f aca="false">G101/C101*100</f>
        <v>40.9707341829255</v>
      </c>
      <c r="M101" s="17" t="n">
        <f aca="false">(1-H101/F101)*100</f>
        <v>0.0117237875649656</v>
      </c>
    </row>
    <row r="102" customFormat="false" ht="15" hidden="false" customHeight="false" outlineLevel="0" collapsed="false">
      <c r="A102" s="12" t="s">
        <v>482</v>
      </c>
      <c r="B102" s="12" t="s">
        <v>583</v>
      </c>
      <c r="C102" s="28" t="n">
        <v>1418717</v>
      </c>
      <c r="D102" s="28" t="n">
        <v>80189</v>
      </c>
      <c r="E102" s="28" t="n">
        <v>885112</v>
      </c>
      <c r="F102" s="28" t="n">
        <v>82655</v>
      </c>
      <c r="G102" s="28" t="n">
        <v>533605</v>
      </c>
      <c r="H102" s="28" t="n">
        <v>76099</v>
      </c>
      <c r="I102" s="28" t="n">
        <v>719998</v>
      </c>
      <c r="J102" s="31" t="n">
        <v>100</v>
      </c>
      <c r="K102" s="31" t="n">
        <v>100</v>
      </c>
      <c r="L102" s="17" t="n">
        <f aca="false">G102/C102*100</f>
        <v>37.6117999572854</v>
      </c>
      <c r="M102" s="17" t="n">
        <f aca="false">(1-H102/F102)*100</f>
        <v>7.93176456354727</v>
      </c>
    </row>
    <row r="103" customFormat="false" ht="15" hidden="false" customHeight="false" outlineLevel="0" collapsed="false">
      <c r="A103" s="12" t="s">
        <v>484</v>
      </c>
      <c r="B103" s="12" t="s">
        <v>584</v>
      </c>
      <c r="C103" s="28" t="n">
        <v>141871</v>
      </c>
      <c r="D103" s="28" t="n">
        <v>53101</v>
      </c>
      <c r="E103" s="28" t="n">
        <v>83998</v>
      </c>
      <c r="F103" s="28" t="n">
        <v>53103</v>
      </c>
      <c r="G103" s="28" t="n">
        <v>57873</v>
      </c>
      <c r="H103" s="28" t="n">
        <v>53099</v>
      </c>
      <c r="I103" s="28" t="n">
        <v>54152</v>
      </c>
      <c r="J103" s="31" t="n">
        <v>91</v>
      </c>
      <c r="K103" s="31" t="n">
        <v>76.66</v>
      </c>
      <c r="L103" s="17" t="n">
        <f aca="false">G103/C103*100</f>
        <v>40.7926919525484</v>
      </c>
      <c r="M103" s="17" t="n">
        <f aca="false">(1-H103/F103)*100</f>
        <v>0.00753253111877017</v>
      </c>
    </row>
    <row r="104" customFormat="false" ht="15" hidden="false" customHeight="false" outlineLevel="0" collapsed="false">
      <c r="A104" s="12" t="s">
        <v>484</v>
      </c>
      <c r="B104" s="12" t="s">
        <v>585</v>
      </c>
      <c r="C104" s="28" t="n">
        <v>141872</v>
      </c>
      <c r="D104" s="28" t="n">
        <v>55330</v>
      </c>
      <c r="E104" s="28" t="n">
        <v>86032</v>
      </c>
      <c r="F104" s="28" t="n">
        <v>55336</v>
      </c>
      <c r="G104" s="28" t="n">
        <v>55840</v>
      </c>
      <c r="H104" s="28" t="n">
        <v>55321</v>
      </c>
      <c r="I104" s="28" t="n">
        <v>56585</v>
      </c>
      <c r="J104" s="31" t="n">
        <v>92</v>
      </c>
      <c r="K104" s="31" t="n">
        <v>78.38</v>
      </c>
      <c r="L104" s="17" t="n">
        <f aca="false">G104/C104*100</f>
        <v>39.3594225780986</v>
      </c>
      <c r="M104" s="17" t="n">
        <f aca="false">(1-H104/F104)*100</f>
        <v>0.027107127367354</v>
      </c>
    </row>
    <row r="105" customFormat="false" ht="15" hidden="false" customHeight="false" outlineLevel="0" collapsed="false">
      <c r="A105" s="12" t="s">
        <v>484</v>
      </c>
      <c r="B105" s="12" t="s">
        <v>586</v>
      </c>
      <c r="C105" s="28" t="n">
        <v>141872</v>
      </c>
      <c r="D105" s="28" t="n">
        <v>58012</v>
      </c>
      <c r="E105" s="28" t="n">
        <v>87229</v>
      </c>
      <c r="F105" s="28" t="n">
        <v>58015</v>
      </c>
      <c r="G105" s="28" t="n">
        <v>54643</v>
      </c>
      <c r="H105" s="28" t="n">
        <v>58007</v>
      </c>
      <c r="I105" s="28" t="n">
        <v>59539</v>
      </c>
      <c r="J105" s="31" t="n">
        <v>93</v>
      </c>
      <c r="K105" s="31" t="n">
        <v>80.19</v>
      </c>
      <c r="L105" s="17" t="n">
        <f aca="false">G105/C105*100</f>
        <v>38.515704296831</v>
      </c>
      <c r="M105" s="17" t="n">
        <f aca="false">(1-H105/F105)*100</f>
        <v>0.0137895371886576</v>
      </c>
    </row>
    <row r="106" customFormat="false" ht="15" hidden="false" customHeight="false" outlineLevel="0" collapsed="false">
      <c r="A106" s="12" t="s">
        <v>484</v>
      </c>
      <c r="B106" s="12" t="s">
        <v>587</v>
      </c>
      <c r="C106" s="28" t="n">
        <v>141871</v>
      </c>
      <c r="D106" s="28" t="n">
        <v>61226</v>
      </c>
      <c r="E106" s="28" t="n">
        <v>87649</v>
      </c>
      <c r="F106" s="28" t="n">
        <v>61226</v>
      </c>
      <c r="G106" s="28" t="n">
        <v>54222</v>
      </c>
      <c r="H106" s="28" t="n">
        <v>61226</v>
      </c>
      <c r="I106" s="28" t="n">
        <v>63072</v>
      </c>
      <c r="J106" s="31" t="n">
        <v>94</v>
      </c>
      <c r="K106" s="31" t="n">
        <v>82.1</v>
      </c>
      <c r="L106" s="17" t="n">
        <f aca="false">G106/C106*100</f>
        <v>38.219227326233</v>
      </c>
      <c r="M106" s="17" t="n">
        <f aca="false">(1-H106/F106)*100</f>
        <v>0</v>
      </c>
    </row>
    <row r="107" customFormat="false" ht="15" hidden="false" customHeight="false" outlineLevel="0" collapsed="false">
      <c r="A107" s="12" t="s">
        <v>484</v>
      </c>
      <c r="B107" s="12" t="s">
        <v>588</v>
      </c>
      <c r="C107" s="28" t="n">
        <v>141872</v>
      </c>
      <c r="D107" s="28" t="n">
        <v>65175</v>
      </c>
      <c r="E107" s="28" t="n">
        <v>87219</v>
      </c>
      <c r="F107" s="28" t="n">
        <v>65172</v>
      </c>
      <c r="G107" s="28" t="n">
        <v>54653</v>
      </c>
      <c r="H107" s="28" t="n">
        <v>65180</v>
      </c>
      <c r="I107" s="28" t="n">
        <v>67410</v>
      </c>
      <c r="J107" s="31" t="n">
        <v>95</v>
      </c>
      <c r="K107" s="31" t="n">
        <v>84.13</v>
      </c>
      <c r="L107" s="17" t="n">
        <f aca="false">G107/C107*100</f>
        <v>38.5227529040262</v>
      </c>
      <c r="M107" s="17" t="n">
        <f aca="false">(1-H107/F107)*100</f>
        <v>-0.0122752102129642</v>
      </c>
    </row>
    <row r="108" customFormat="false" ht="15" hidden="false" customHeight="false" outlineLevel="0" collapsed="false">
      <c r="A108" s="12" t="s">
        <v>484</v>
      </c>
      <c r="B108" s="12" t="s">
        <v>589</v>
      </c>
      <c r="C108" s="28" t="n">
        <v>141872</v>
      </c>
      <c r="D108" s="28" t="n">
        <v>70041</v>
      </c>
      <c r="E108" s="28" t="n">
        <v>86948</v>
      </c>
      <c r="F108" s="28" t="n">
        <v>70039</v>
      </c>
      <c r="G108" s="28" t="n">
        <v>54924</v>
      </c>
      <c r="H108" s="28" t="n">
        <v>70043</v>
      </c>
      <c r="I108" s="28" t="n">
        <v>72917</v>
      </c>
      <c r="J108" s="31" t="n">
        <v>96</v>
      </c>
      <c r="K108" s="31" t="n">
        <v>86.31</v>
      </c>
      <c r="L108" s="17" t="n">
        <f aca="false">G108/C108*100</f>
        <v>38.7137701590166</v>
      </c>
      <c r="M108" s="17" t="n">
        <f aca="false">(1-H108/F108)*100</f>
        <v>-0.00571110381359929</v>
      </c>
    </row>
    <row r="109" customFormat="false" ht="15" hidden="false" customHeight="false" outlineLevel="0" collapsed="false">
      <c r="A109" s="12" t="s">
        <v>484</v>
      </c>
      <c r="B109" s="12" t="s">
        <v>590</v>
      </c>
      <c r="C109" s="28" t="n">
        <v>141871</v>
      </c>
      <c r="D109" s="28" t="n">
        <v>76477</v>
      </c>
      <c r="E109" s="28" t="n">
        <v>85833</v>
      </c>
      <c r="F109" s="28" t="n">
        <v>76473</v>
      </c>
      <c r="G109" s="28" t="n">
        <v>56038</v>
      </c>
      <c r="H109" s="28" t="n">
        <v>76483</v>
      </c>
      <c r="I109" s="28" t="n">
        <v>80429</v>
      </c>
      <c r="J109" s="31" t="n">
        <v>97</v>
      </c>
      <c r="K109" s="31" t="n">
        <v>88.7</v>
      </c>
      <c r="L109" s="17" t="n">
        <f aca="false">G109/C109*100</f>
        <v>39.4992634153562</v>
      </c>
      <c r="M109" s="17" t="n">
        <f aca="false">(1-H109/F109)*100</f>
        <v>-0.0130765106638897</v>
      </c>
    </row>
    <row r="110" customFormat="false" ht="15" hidden="false" customHeight="false" outlineLevel="0" collapsed="false">
      <c r="A110" s="12" t="s">
        <v>484</v>
      </c>
      <c r="B110" s="12" t="s">
        <v>591</v>
      </c>
      <c r="C110" s="28" t="n">
        <v>141872</v>
      </c>
      <c r="D110" s="28" t="n">
        <v>85640</v>
      </c>
      <c r="E110" s="28" t="n">
        <v>85909</v>
      </c>
      <c r="F110" s="28" t="n">
        <v>85653</v>
      </c>
      <c r="G110" s="28" t="n">
        <v>55963</v>
      </c>
      <c r="H110" s="28" t="n">
        <v>85621</v>
      </c>
      <c r="I110" s="28" t="n">
        <v>91706</v>
      </c>
      <c r="J110" s="31" t="n">
        <v>98</v>
      </c>
      <c r="K110" s="31" t="n">
        <v>91.37</v>
      </c>
      <c r="L110" s="17" t="n">
        <f aca="false">G110/C110*100</f>
        <v>39.4461204465998</v>
      </c>
      <c r="M110" s="17" t="n">
        <f aca="false">(1-H110/F110)*100</f>
        <v>0.037360045766055</v>
      </c>
    </row>
    <row r="111" customFormat="false" ht="15" hidden="false" customHeight="false" outlineLevel="0" collapsed="false">
      <c r="A111" s="12" t="s">
        <v>484</v>
      </c>
      <c r="B111" s="12" t="s">
        <v>592</v>
      </c>
      <c r="C111" s="28" t="n">
        <v>141872</v>
      </c>
      <c r="D111" s="28" t="n">
        <v>100981</v>
      </c>
      <c r="E111" s="28" t="n">
        <v>90186</v>
      </c>
      <c r="F111" s="28" t="n">
        <v>101146</v>
      </c>
      <c r="G111" s="28" t="n">
        <v>51686</v>
      </c>
      <c r="H111" s="28" t="n">
        <v>100691</v>
      </c>
      <c r="I111" s="28" t="n">
        <v>113906</v>
      </c>
      <c r="J111" s="31" t="n">
        <v>99</v>
      </c>
      <c r="K111" s="31" t="n">
        <v>94.52</v>
      </c>
      <c r="L111" s="17" t="n">
        <f aca="false">G111/C111*100</f>
        <v>36.4314311492049</v>
      </c>
      <c r="M111" s="17" t="n">
        <f aca="false">(1-H111/F111)*100</f>
        <v>0.449844778834552</v>
      </c>
    </row>
    <row r="112" customFormat="false" ht="15" hidden="false" customHeight="false" outlineLevel="0" collapsed="false">
      <c r="A112" s="12" t="s">
        <v>484</v>
      </c>
      <c r="B112" s="12" t="s">
        <v>593</v>
      </c>
      <c r="C112" s="28" t="n">
        <v>141872</v>
      </c>
      <c r="D112" s="28" t="n">
        <v>175911</v>
      </c>
      <c r="E112" s="28" t="n">
        <v>104109</v>
      </c>
      <c r="F112" s="28" t="n">
        <v>179551</v>
      </c>
      <c r="G112" s="28" t="n">
        <v>37763</v>
      </c>
      <c r="H112" s="28" t="n">
        <v>165875</v>
      </c>
      <c r="I112" s="28" t="n">
        <v>719998</v>
      </c>
      <c r="J112" s="31" t="n">
        <v>100</v>
      </c>
      <c r="K112" s="31" t="n">
        <v>100</v>
      </c>
      <c r="L112" s="17" t="n">
        <f aca="false">G112/C112*100</f>
        <v>26.6176553513026</v>
      </c>
      <c r="M112" s="17" t="n">
        <f aca="false">(1-H112/F112)*100</f>
        <v>7.6167774058624</v>
      </c>
    </row>
    <row r="114" customFormat="false" ht="15" hidden="false" customHeight="false" outlineLevel="0" collapsed="false">
      <c r="A114" s="11" t="s">
        <v>594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5" min="5" style="0" width="32"/>
    <col collapsed="false" customWidth="true" hidden="false" outlineLevel="0" max="6" min="6" style="0" width="70"/>
  </cols>
  <sheetData>
    <row r="1" customFormat="false" ht="23.85" hidden="false" customHeight="false" outlineLevel="0" collapsed="false">
      <c r="A1" s="4" t="s">
        <v>152</v>
      </c>
      <c r="B1" s="4" t="s">
        <v>595</v>
      </c>
      <c r="C1" s="4" t="s">
        <v>596</v>
      </c>
      <c r="D1" s="4" t="s">
        <v>597</v>
      </c>
      <c r="E1" s="4" t="s">
        <v>598</v>
      </c>
      <c r="F1" s="4" t="s">
        <v>599</v>
      </c>
    </row>
    <row r="2" customFormat="false" ht="15" hidden="false" customHeight="false" outlineLevel="0" collapsed="false">
      <c r="A2" s="23" t="n">
        <v>2004</v>
      </c>
      <c r="B2" s="22" t="n">
        <v>490.8</v>
      </c>
      <c r="C2" s="32" t="n">
        <f aca="false">B2*14</f>
        <v>6871.2</v>
      </c>
      <c r="D2" s="12"/>
      <c r="E2" s="12"/>
      <c r="F2" s="12" t="s">
        <v>600</v>
      </c>
    </row>
    <row r="3" customFormat="false" ht="15" hidden="false" customHeight="false" outlineLevel="0" collapsed="false">
      <c r="A3" s="23" t="n">
        <v>2005</v>
      </c>
      <c r="B3" s="22" t="n">
        <v>513</v>
      </c>
      <c r="C3" s="32" t="n">
        <f aca="false">B3*14</f>
        <v>7182</v>
      </c>
      <c r="D3" s="17" t="n">
        <f aca="false">(B3/B2-1)*100</f>
        <v>4.52322738386308</v>
      </c>
      <c r="E3" s="12"/>
      <c r="F3" s="12" t="s">
        <v>600</v>
      </c>
    </row>
    <row r="4" customFormat="false" ht="15" hidden="false" customHeight="false" outlineLevel="0" collapsed="false">
      <c r="A4" s="23" t="n">
        <v>2006</v>
      </c>
      <c r="B4" s="22" t="n">
        <v>540.9</v>
      </c>
      <c r="C4" s="32" t="n">
        <f aca="false">B4*14</f>
        <v>7572.6</v>
      </c>
      <c r="D4" s="17" t="n">
        <f aca="false">(B4/B3-1)*100</f>
        <v>5.43859649122807</v>
      </c>
      <c r="E4" s="12"/>
      <c r="F4" s="12" t="s">
        <v>600</v>
      </c>
    </row>
    <row r="5" customFormat="false" ht="15" hidden="false" customHeight="false" outlineLevel="0" collapsed="false">
      <c r="A5" s="23" t="n">
        <v>2007</v>
      </c>
      <c r="B5" s="22" t="n">
        <v>570.6</v>
      </c>
      <c r="C5" s="32" t="n">
        <f aca="false">B5*14</f>
        <v>7988.4</v>
      </c>
      <c r="D5" s="17" t="n">
        <f aca="false">(B5/B4-1)*100</f>
        <v>5.49084858569053</v>
      </c>
      <c r="E5" s="12"/>
      <c r="F5" s="12" t="s">
        <v>600</v>
      </c>
    </row>
    <row r="6" customFormat="false" ht="15" hidden="false" customHeight="false" outlineLevel="0" collapsed="false">
      <c r="A6" s="23" t="n">
        <v>2008</v>
      </c>
      <c r="B6" s="22" t="n">
        <v>600</v>
      </c>
      <c r="C6" s="32" t="n">
        <f aca="false">B6*14</f>
        <v>8400</v>
      </c>
      <c r="D6" s="17" t="n">
        <f aca="false">(B6/B5-1)*100</f>
        <v>5.15247108307044</v>
      </c>
      <c r="E6" s="21" t="n">
        <f aca="false">C6/EES_Distribucion!E5*100</f>
        <v>46.0415250707066</v>
      </c>
      <c r="F6" s="12" t="s">
        <v>600</v>
      </c>
    </row>
    <row r="7" customFormat="false" ht="15" hidden="false" customHeight="false" outlineLevel="0" collapsed="false">
      <c r="A7" s="23" t="n">
        <v>2009</v>
      </c>
      <c r="B7" s="22" t="n">
        <v>624</v>
      </c>
      <c r="C7" s="32" t="n">
        <f aca="false">B7*14</f>
        <v>8736</v>
      </c>
      <c r="D7" s="17" t="n">
        <f aca="false">(B7/B6-1)*100</f>
        <v>4</v>
      </c>
      <c r="E7" s="21" t="n">
        <f aca="false">C7/EES_Distribucion!F5*100</f>
        <v>46.4599793227565</v>
      </c>
      <c r="F7" s="12" t="s">
        <v>600</v>
      </c>
    </row>
    <row r="8" customFormat="false" ht="15" hidden="false" customHeight="false" outlineLevel="0" collapsed="false">
      <c r="A8" s="23" t="n">
        <v>2010</v>
      </c>
      <c r="B8" s="22" t="n">
        <v>633.3</v>
      </c>
      <c r="C8" s="32" t="n">
        <f aca="false">B8*14</f>
        <v>8866.2</v>
      </c>
      <c r="D8" s="17" t="n">
        <f aca="false">(B8/B7-1)*100</f>
        <v>1.4903846153846</v>
      </c>
      <c r="E8" s="21" t="n">
        <f aca="false">C8/EES_Distribucion!G5*100</f>
        <v>46.6222750168401</v>
      </c>
      <c r="F8" s="12" t="s">
        <v>600</v>
      </c>
    </row>
    <row r="9" customFormat="false" ht="15" hidden="false" customHeight="false" outlineLevel="0" collapsed="false">
      <c r="A9" s="23" t="n">
        <v>2011</v>
      </c>
      <c r="B9" s="22" t="n">
        <v>641.4</v>
      </c>
      <c r="C9" s="32" t="n">
        <f aca="false">B9*14</f>
        <v>8979.6</v>
      </c>
      <c r="D9" s="17" t="n">
        <f aca="false">(B9/B8-1)*100</f>
        <v>1.27901468498342</v>
      </c>
      <c r="E9" s="21" t="n">
        <f aca="false">C9/EES_Distribucion!H5*100</f>
        <v>46.5179648675293</v>
      </c>
      <c r="F9" s="12" t="s">
        <v>600</v>
      </c>
    </row>
    <row r="10" customFormat="false" ht="15" hidden="false" customHeight="false" outlineLevel="0" collapsed="false">
      <c r="A10" s="23" t="n">
        <v>2012</v>
      </c>
      <c r="B10" s="22" t="n">
        <v>641.4</v>
      </c>
      <c r="C10" s="32" t="n">
        <f aca="false">B10*14</f>
        <v>8979.6</v>
      </c>
      <c r="D10" s="17" t="n">
        <f aca="false">(B10/B9-1)*100</f>
        <v>0</v>
      </c>
      <c r="E10" s="21" t="n">
        <f aca="false">C10/EES_Distribucion!I5*100</f>
        <v>47.1593373870463</v>
      </c>
      <c r="F10" s="12" t="s">
        <v>600</v>
      </c>
    </row>
    <row r="11" customFormat="false" ht="15" hidden="false" customHeight="false" outlineLevel="0" collapsed="false">
      <c r="A11" s="23" t="n">
        <v>2013</v>
      </c>
      <c r="B11" s="22" t="n">
        <v>645.3</v>
      </c>
      <c r="C11" s="32" t="n">
        <f aca="false">B11*14</f>
        <v>9034.2</v>
      </c>
      <c r="D11" s="17" t="n">
        <f aca="false">(B11/B10-1)*100</f>
        <v>0.608044901777349</v>
      </c>
      <c r="E11" s="21" t="n">
        <f aca="false">C11/EES_Distribucion!J5*100</f>
        <v>47.4743111542718</v>
      </c>
      <c r="F11" s="12" t="s">
        <v>600</v>
      </c>
    </row>
    <row r="12" customFormat="false" ht="15" hidden="false" customHeight="false" outlineLevel="0" collapsed="false">
      <c r="A12" s="23" t="n">
        <v>2014</v>
      </c>
      <c r="B12" s="22" t="n">
        <v>645.3</v>
      </c>
      <c r="C12" s="32" t="n">
        <f aca="false">B12*14</f>
        <v>9034.2</v>
      </c>
      <c r="D12" s="17" t="n">
        <f aca="false">(B12/B11-1)*100</f>
        <v>0</v>
      </c>
      <c r="E12" s="21" t="n">
        <f aca="false">C12/EES_Distribucion!K5*100</f>
        <v>46.8973379056447</v>
      </c>
      <c r="F12" s="12" t="s">
        <v>600</v>
      </c>
    </row>
    <row r="13" customFormat="false" ht="15" hidden="false" customHeight="false" outlineLevel="0" collapsed="false">
      <c r="A13" s="23" t="n">
        <v>2015</v>
      </c>
      <c r="B13" s="22" t="n">
        <v>648.6</v>
      </c>
      <c r="C13" s="32" t="n">
        <f aca="false">B13*14</f>
        <v>9080.4</v>
      </c>
      <c r="D13" s="17" t="n">
        <f aca="false">(B13/B12-1)*100</f>
        <v>0.511390051139027</v>
      </c>
      <c r="E13" s="21" t="n">
        <f aca="false">C13/EES_Distribucion!L5*100</f>
        <v>46.6463137422309</v>
      </c>
      <c r="F13" s="12" t="s">
        <v>600</v>
      </c>
    </row>
    <row r="14" customFormat="false" ht="15" hidden="false" customHeight="false" outlineLevel="0" collapsed="false">
      <c r="A14" s="23" t="n">
        <v>2016</v>
      </c>
      <c r="B14" s="22" t="n">
        <v>655.2</v>
      </c>
      <c r="C14" s="32" t="n">
        <f aca="false">B14*14</f>
        <v>9172.8</v>
      </c>
      <c r="D14" s="17" t="n">
        <f aca="false">(B14/B13-1)*100</f>
        <v>1.01757631822388</v>
      </c>
      <c r="E14" s="21" t="n">
        <f aca="false">C14/EES_Distribucion!M5*100</f>
        <v>47.2031048824091</v>
      </c>
      <c r="F14" s="12" t="s">
        <v>600</v>
      </c>
    </row>
    <row r="15" customFormat="false" ht="15" hidden="false" customHeight="false" outlineLevel="0" collapsed="false">
      <c r="A15" s="23" t="n">
        <v>2017</v>
      </c>
      <c r="B15" s="22" t="n">
        <v>707.7</v>
      </c>
      <c r="C15" s="32" t="n">
        <f aca="false">B15*14</f>
        <v>9907.8</v>
      </c>
      <c r="D15" s="17" t="n">
        <f aca="false">(B15/B14-1)*100</f>
        <v>8.01282051282051</v>
      </c>
      <c r="E15" s="21" t="n">
        <f aca="false">C15/EES_Distribucion!N5*100</f>
        <v>49.9633890263902</v>
      </c>
      <c r="F15" s="12" t="s">
        <v>600</v>
      </c>
    </row>
    <row r="16" customFormat="false" ht="15" hidden="false" customHeight="false" outlineLevel="0" collapsed="false">
      <c r="A16" s="23" t="n">
        <v>2018</v>
      </c>
      <c r="B16" s="22" t="n">
        <v>735.9</v>
      </c>
      <c r="C16" s="32" t="n">
        <f aca="false">B16*14</f>
        <v>10302.6</v>
      </c>
      <c r="D16" s="17" t="n">
        <f aca="false">(B16/B15-1)*100</f>
        <v>3.98473929631198</v>
      </c>
      <c r="E16" s="21" t="n">
        <f aca="false">C16/EES_Distribucion!O5*100</f>
        <v>51.3117552957302</v>
      </c>
      <c r="F16" s="12" t="s">
        <v>601</v>
      </c>
    </row>
    <row r="17" customFormat="false" ht="15" hidden="false" customHeight="false" outlineLevel="0" collapsed="false">
      <c r="A17" s="23" t="n">
        <v>2019</v>
      </c>
      <c r="B17" s="22" t="n">
        <v>900</v>
      </c>
      <c r="C17" s="32" t="n">
        <f aca="false">B17*14</f>
        <v>12600</v>
      </c>
      <c r="D17" s="17" t="n">
        <f aca="false">(B17/B16-1)*100</f>
        <v>22.2992254382389</v>
      </c>
      <c r="E17" s="21" t="n">
        <f aca="false">C17/EES_Distribucion!P5*100</f>
        <v>61.9133586424661</v>
      </c>
      <c r="F17" s="12" t="s">
        <v>602</v>
      </c>
    </row>
    <row r="18" customFormat="false" ht="15" hidden="false" customHeight="false" outlineLevel="0" collapsed="false">
      <c r="A18" s="23" t="n">
        <v>2020</v>
      </c>
      <c r="B18" s="22" t="n">
        <v>950</v>
      </c>
      <c r="C18" s="32" t="n">
        <f aca="false">B18*14</f>
        <v>13300</v>
      </c>
      <c r="D18" s="17" t="n">
        <f aca="false">(B18/B17-1)*100</f>
        <v>5.55555555555556</v>
      </c>
      <c r="E18" s="21" t="n">
        <f aca="false">C18/EES_Distribucion!Q5*100</f>
        <v>63.575161136743</v>
      </c>
      <c r="F18" s="12" t="s">
        <v>602</v>
      </c>
    </row>
    <row r="19" customFormat="false" ht="15" hidden="false" customHeight="false" outlineLevel="0" collapsed="false">
      <c r="A19" s="23" t="n">
        <v>2021</v>
      </c>
      <c r="B19" s="22" t="n">
        <v>965</v>
      </c>
      <c r="C19" s="32" t="n">
        <f aca="false">B19*14</f>
        <v>13510</v>
      </c>
      <c r="D19" s="17" t="n">
        <f aca="false">(B19/B18-1)*100</f>
        <v>1.57894736842106</v>
      </c>
      <c r="E19" s="21" t="n">
        <f aca="false">C19/EES_Distribucion!R5*100</f>
        <v>62.4344634541185</v>
      </c>
      <c r="F19" s="12" t="s">
        <v>602</v>
      </c>
    </row>
    <row r="20" customFormat="false" ht="15" hidden="false" customHeight="false" outlineLevel="0" collapsed="false">
      <c r="A20" s="23" t="n">
        <v>2022</v>
      </c>
      <c r="B20" s="22" t="n">
        <v>1000</v>
      </c>
      <c r="C20" s="32" t="n">
        <f aca="false">B20*14</f>
        <v>14000</v>
      </c>
      <c r="D20" s="17" t="n">
        <f aca="false">(B20/B19-1)*100</f>
        <v>3.62694300518134</v>
      </c>
      <c r="E20" s="21" t="n">
        <f aca="false">C20/EES_Distribucion!S5*100</f>
        <v>62.5471616768179</v>
      </c>
      <c r="F20" s="12" t="s">
        <v>602</v>
      </c>
    </row>
    <row r="21" customFormat="false" ht="15" hidden="false" customHeight="false" outlineLevel="0" collapsed="false">
      <c r="A21" s="23" t="n">
        <v>2023</v>
      </c>
      <c r="B21" s="22" t="n">
        <v>1080</v>
      </c>
      <c r="C21" s="32" t="n">
        <f aca="false">B21*14</f>
        <v>15120</v>
      </c>
      <c r="D21" s="17" t="n">
        <f aca="false">(B21/B20-1)*100</f>
        <v>8.00000000000001</v>
      </c>
      <c r="E21" s="21" t="n">
        <f aca="false">C21/EES_Distribucion!T5*100</f>
        <v>64.7565206218682</v>
      </c>
      <c r="F21" s="12" t="s">
        <v>602</v>
      </c>
    </row>
    <row r="22" customFormat="false" ht="15" hidden="false" customHeight="false" outlineLevel="0" collapsed="false">
      <c r="A22" s="23" t="n">
        <v>2024</v>
      </c>
      <c r="B22" s="22" t="n">
        <v>1134</v>
      </c>
      <c r="C22" s="32" t="n">
        <f aca="false">B22*14</f>
        <v>15876</v>
      </c>
      <c r="D22" s="17" t="n">
        <f aca="false">(B22/B21-1)*100</f>
        <v>5</v>
      </c>
      <c r="E22" s="21" t="n">
        <f aca="false">C22/EES_Distribucion!U5*100</f>
        <v>64.8074859259253</v>
      </c>
      <c r="F22" s="12" t="s">
        <v>602</v>
      </c>
    </row>
    <row r="23" customFormat="false" ht="15" hidden="false" customHeight="false" outlineLevel="0" collapsed="false">
      <c r="A23" s="23" t="n">
        <v>2025</v>
      </c>
      <c r="B23" s="22" t="n">
        <v>1184</v>
      </c>
      <c r="C23" s="32" t="n">
        <f aca="false">B23*14</f>
        <v>16576</v>
      </c>
      <c r="D23" s="17" t="n">
        <f aca="false">(B23/B22-1)*100</f>
        <v>4.40917107583774</v>
      </c>
      <c r="E23" s="12"/>
      <c r="F23" s="12" t="s">
        <v>603</v>
      </c>
    </row>
    <row r="24" customFormat="false" ht="15" hidden="false" customHeight="false" outlineLevel="0" collapsed="false">
      <c r="A24" s="23" t="n">
        <v>2026</v>
      </c>
      <c r="B24" s="22" t="n">
        <v>1221</v>
      </c>
      <c r="C24" s="32" t="n">
        <f aca="false">B24*14</f>
        <v>17094</v>
      </c>
      <c r="D24" s="17" t="n">
        <f aca="false">(B24/B23-1)*100</f>
        <v>3.125</v>
      </c>
      <c r="E24" s="12"/>
      <c r="F24" s="12" t="s">
        <v>604</v>
      </c>
    </row>
    <row r="26" customFormat="false" ht="15" hidden="false" customHeight="false" outlineLevel="0" collapsed="false">
      <c r="A26" s="11" t="s">
        <v>605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2"/>
    <col collapsed="false" customWidth="true" hidden="false" outlineLevel="0" max="3" min="3" style="0" width="26"/>
    <col collapsed="false" customWidth="true" hidden="false" outlineLevel="0" max="4" min="4" style="0" width="70"/>
    <col collapsed="false" customWidth="true" hidden="false" outlineLevel="0" max="5" min="5" style="0" width="32"/>
    <col collapsed="false" customWidth="true" hidden="false" outlineLevel="0" max="6" min="6" style="0" width="16"/>
    <col collapsed="false" customWidth="true" hidden="false" outlineLevel="0" max="7" min="7" style="0" width="60"/>
  </cols>
  <sheetData>
    <row r="1" customFormat="false" ht="23.85" hidden="false" customHeight="false" outlineLevel="0" collapsed="false">
      <c r="A1" s="4" t="s">
        <v>606</v>
      </c>
      <c r="B1" s="4" t="s">
        <v>607</v>
      </c>
      <c r="C1" s="4" t="s">
        <v>608</v>
      </c>
      <c r="D1" s="4" t="s">
        <v>609</v>
      </c>
      <c r="E1" s="4" t="s">
        <v>7</v>
      </c>
      <c r="F1" s="4" t="s">
        <v>610</v>
      </c>
      <c r="G1" s="4" t="s">
        <v>611</v>
      </c>
    </row>
    <row r="2" customFormat="false" ht="15" hidden="false" customHeight="false" outlineLevel="0" collapsed="false">
      <c r="A2" s="5" t="s">
        <v>612</v>
      </c>
      <c r="B2" s="5" t="s">
        <v>613</v>
      </c>
      <c r="C2" s="5" t="s">
        <v>614</v>
      </c>
      <c r="D2" s="5" t="s">
        <v>615</v>
      </c>
      <c r="E2" s="5" t="s">
        <v>616</v>
      </c>
      <c r="F2" s="5" t="s">
        <v>617</v>
      </c>
      <c r="G2" s="5" t="s">
        <v>618</v>
      </c>
    </row>
    <row r="3" customFormat="false" ht="23.85" hidden="false" customHeight="false" outlineLevel="0" collapsed="false">
      <c r="A3" s="5" t="s">
        <v>619</v>
      </c>
      <c r="B3" s="5" t="s">
        <v>613</v>
      </c>
      <c r="C3" s="5" t="s">
        <v>620</v>
      </c>
      <c r="D3" s="5" t="s">
        <v>621</v>
      </c>
      <c r="E3" s="5" t="s">
        <v>622</v>
      </c>
      <c r="F3" s="5" t="s">
        <v>617</v>
      </c>
      <c r="G3" s="5"/>
    </row>
    <row r="4" customFormat="false" ht="15" hidden="false" customHeight="false" outlineLevel="0" collapsed="false">
      <c r="A4" s="5" t="s">
        <v>623</v>
      </c>
      <c r="B4" s="5" t="s">
        <v>613</v>
      </c>
      <c r="C4" s="5" t="s">
        <v>624</v>
      </c>
      <c r="D4" s="5" t="s">
        <v>625</v>
      </c>
      <c r="E4" s="5" t="s">
        <v>626</v>
      </c>
      <c r="F4" s="5" t="s">
        <v>617</v>
      </c>
      <c r="G4" s="5"/>
    </row>
    <row r="5" customFormat="false" ht="15" hidden="false" customHeight="false" outlineLevel="0" collapsed="false">
      <c r="A5" s="5" t="s">
        <v>627</v>
      </c>
      <c r="B5" s="5" t="s">
        <v>613</v>
      </c>
      <c r="C5" s="5" t="s">
        <v>628</v>
      </c>
      <c r="D5" s="5" t="s">
        <v>629</v>
      </c>
      <c r="E5" s="5" t="s">
        <v>626</v>
      </c>
      <c r="F5" s="5" t="s">
        <v>617</v>
      </c>
      <c r="G5" s="5" t="s">
        <v>630</v>
      </c>
    </row>
    <row r="6" customFormat="false" ht="15" hidden="false" customHeight="false" outlineLevel="0" collapsed="false">
      <c r="A6" s="5" t="s">
        <v>631</v>
      </c>
      <c r="B6" s="5" t="s">
        <v>613</v>
      </c>
      <c r="C6" s="5" t="s">
        <v>632</v>
      </c>
      <c r="D6" s="5" t="s">
        <v>633</v>
      </c>
      <c r="E6" s="5" t="s">
        <v>626</v>
      </c>
      <c r="F6" s="5" t="s">
        <v>617</v>
      </c>
      <c r="G6" s="5" t="s">
        <v>634</v>
      </c>
    </row>
    <row r="7" customFormat="false" ht="15" hidden="false" customHeight="false" outlineLevel="0" collapsed="false">
      <c r="A7" s="5" t="s">
        <v>635</v>
      </c>
      <c r="B7" s="5" t="s">
        <v>613</v>
      </c>
      <c r="C7" s="5" t="s">
        <v>636</v>
      </c>
      <c r="D7" s="5" t="s">
        <v>637</v>
      </c>
      <c r="E7" s="5" t="s">
        <v>626</v>
      </c>
      <c r="F7" s="5" t="s">
        <v>617</v>
      </c>
      <c r="G7" s="5" t="s">
        <v>638</v>
      </c>
    </row>
    <row r="8" customFormat="false" ht="15" hidden="false" customHeight="false" outlineLevel="0" collapsed="false">
      <c r="A8" s="5" t="s">
        <v>639</v>
      </c>
      <c r="B8" s="5" t="s">
        <v>613</v>
      </c>
      <c r="C8" s="5" t="s">
        <v>640</v>
      </c>
      <c r="D8" s="5" t="s">
        <v>641</v>
      </c>
      <c r="E8" s="5" t="s">
        <v>626</v>
      </c>
      <c r="F8" s="5" t="s">
        <v>617</v>
      </c>
      <c r="G8" s="5"/>
    </row>
    <row r="9" customFormat="false" ht="23.85" hidden="false" customHeight="false" outlineLevel="0" collapsed="false">
      <c r="A9" s="5" t="s">
        <v>642</v>
      </c>
      <c r="B9" s="5" t="s">
        <v>613</v>
      </c>
      <c r="C9" s="5" t="s">
        <v>643</v>
      </c>
      <c r="D9" s="5" t="s">
        <v>644</v>
      </c>
      <c r="E9" s="5" t="s">
        <v>10</v>
      </c>
      <c r="F9" s="5" t="s">
        <v>617</v>
      </c>
      <c r="G9" s="5"/>
    </row>
    <row r="10" customFormat="false" ht="23.85" hidden="false" customHeight="false" outlineLevel="0" collapsed="false">
      <c r="A10" s="5" t="s">
        <v>645</v>
      </c>
      <c r="B10" s="5" t="s">
        <v>613</v>
      </c>
      <c r="C10" s="5" t="s">
        <v>646</v>
      </c>
      <c r="D10" s="5" t="s">
        <v>647</v>
      </c>
      <c r="E10" s="5" t="s">
        <v>648</v>
      </c>
      <c r="F10" s="5" t="s">
        <v>617</v>
      </c>
      <c r="G10" s="5" t="s">
        <v>649</v>
      </c>
    </row>
    <row r="11" customFormat="false" ht="46.25" hidden="false" customHeight="false" outlineLevel="0" collapsed="false">
      <c r="A11" s="5" t="s">
        <v>650</v>
      </c>
      <c r="B11" s="5" t="s">
        <v>651</v>
      </c>
      <c r="C11" s="5" t="s">
        <v>652</v>
      </c>
      <c r="D11" s="5" t="s">
        <v>653</v>
      </c>
      <c r="E11" s="5" t="s">
        <v>10</v>
      </c>
      <c r="F11" s="5" t="s">
        <v>617</v>
      </c>
      <c r="G11" s="5" t="s">
        <v>654</v>
      </c>
    </row>
    <row r="12" customFormat="false" ht="23.85" hidden="false" customHeight="false" outlineLevel="0" collapsed="false">
      <c r="A12" s="5" t="s">
        <v>655</v>
      </c>
      <c r="B12" s="5" t="s">
        <v>656</v>
      </c>
      <c r="C12" s="5" t="s">
        <v>657</v>
      </c>
      <c r="D12" s="5" t="s">
        <v>658</v>
      </c>
      <c r="E12" s="5" t="s">
        <v>34</v>
      </c>
      <c r="F12" s="5" t="s">
        <v>617</v>
      </c>
      <c r="G12" s="5" t="s">
        <v>659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2026-10-21T11:00:21Z</dcterms:created>
  <dc:creator>openpyxl</dc:creator>
  <dc:description/>
  <dc:language>en-US</dc:language>
  <cp:lastModifiedBy/>
  <dcterms:modified xsi:type="dcterms:W3CDTF">2026-10-21T11:00:21Z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