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_Poblacion" sheetId="2" state="visible" r:id="rId4"/>
    <sheet name="Pob_CCAA_1jul2026" sheetId="3" state="visible" r:id="rId5"/>
    <sheet name="Edad_Total" sheetId="4" state="visible" r:id="rId6"/>
    <sheet name="Edad_Hombres" sheetId="5" state="visible" r:id="rId7"/>
    <sheet name="Edad_Mujeres" sheetId="6" state="visible" r:id="rId8"/>
    <sheet name="Edad_Extranjeros" sheetId="7" state="visible" r:id="rId9"/>
    <sheet name="Estructura_Edad" sheetId="8" state="visible" r:id="rId10"/>
    <sheet name="Piramide_Mad_vs_Esp" sheetId="9" state="visible" r:id="rId11"/>
    <sheet name="Historico_1971_2026" sheetId="10" state="visible" r:id="rId12"/>
    <sheet name="Trimestral_2021_2026" sheetId="11" state="visible" r:id="rId13"/>
    <sheet name="Indicadores_Demograficos" sheetId="12" state="visible" r:id="rId14"/>
    <sheet name="Proyecciones_INE" sheetId="13" state="visible" r:id="rId15"/>
    <sheet name="Madrid_Ciudad_Padron_2026" sheetId="14" state="visible" r:id="rId16"/>
    <sheet name="FUENT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<sst xmlns="http://schemas.openxmlformats.org/spreadsheetml/2006/main" count="735" uniqueCount="422">
  <si>
    <t xml:space="preserve">Base de conocimiento — Población (España y Comunidad de Madrid)</t>
  </si>
  <si>
    <t xml:space="preserve">Descripción</t>
  </si>
  <si>
    <t xml:space="preserve">Población residente por sexo, edad (grupos de 5 años), nacionalidad (española/extranjera) y comunidad autónoma a 1 de julio de 2026 (INE, provisional), histórico 1971–2026, indicadores demográficos (esperanza de vida, fecundidad, edad mediana, envejecimiento), proyecciones del INE 2026–2076 y el padrón de Madrid capital.</t>
  </si>
  <si>
    <t xml:space="preserve">Fecha de consulta: 2026-10-21. Los cálculos propios están en fórmulas visibles; los indicadores en amarillo son aproximaciones no oficiales.</t>
  </si>
  <si>
    <t xml:space="preserve">Índice de hojas</t>
  </si>
  <si>
    <t xml:space="preserve">Hoja</t>
  </si>
  <si>
    <t xml:space="preserve">Contenido</t>
  </si>
  <si>
    <t xml:space="preserve">Cobertura</t>
  </si>
  <si>
    <t xml:space="preserve">Resumen_Poblacion</t>
  </si>
  <si>
    <t xml:space="preserve">Cuadro de indicadores clave España frente a Madrid.</t>
  </si>
  <si>
    <t xml:space="preserve">Último dato</t>
  </si>
  <si>
    <t xml:space="preserve">Pob_CCAA_1jul2026</t>
  </si>
  <si>
    <t xml:space="preserve">Población por CCAA: total, sexo, nacionalidad, peso, personas por hogar.</t>
  </si>
  <si>
    <t xml:space="preserve">1-jul-2026</t>
  </si>
  <si>
    <t xml:space="preserve">Edad_Total / _Hombres / _Mujeres / _Extranjeros</t>
  </si>
  <si>
    <t xml:space="preserve">Población por grupo quinquenal de edad (0–4 … 90+) y territorio (España + 19 CCAA), con comprobaciones de suma.</t>
  </si>
  <si>
    <t xml:space="preserve">Estructura_Edad</t>
  </si>
  <si>
    <t xml:space="preserve">% por tramos de edad, índice de envejecimiento, dependencia, % de extranjeros y rankings por CCAA.</t>
  </si>
  <si>
    <t xml:space="preserve">Piramide_Mad_vs_Esp</t>
  </si>
  <si>
    <t xml:space="preserve">Pirámides comparables (% por edad y sexo) de Madrid y España.</t>
  </si>
  <si>
    <t xml:space="preserve">Historico_1971_2026</t>
  </si>
  <si>
    <t xml:space="preserve">Población a 1 de enero de España y Madrid, por sexo, con tasas y TCAC calculables.</t>
  </si>
  <si>
    <t xml:space="preserve">1971–2026</t>
  </si>
  <si>
    <t xml:space="preserve">Trimestral_2021_2026</t>
  </si>
  <si>
    <t xml:space="preserve">Población trimestral de España y Madrid.</t>
  </si>
  <si>
    <t xml:space="preserve">2021T1–2026T3 (1-jul)</t>
  </si>
  <si>
    <t xml:space="preserve">Indicadores_Demograficos</t>
  </si>
  <si>
    <t xml:space="preserve">Esperanza de vida, edad mediana y media, índice de envejecimiento, natalidad, mortalidad, fecundidad por CCAA.</t>
  </si>
  <si>
    <t xml:space="preserve">2024 / 1-ene-2025</t>
  </si>
  <si>
    <t xml:space="preserve">Proyecciones_INE</t>
  </si>
  <si>
    <t xml:space="preserve">Proyecciones de población 2026–2076 (INE, 17-jun-2026) y comparación con la de 2024.</t>
  </si>
  <si>
    <t xml:space="preserve">2026–2076</t>
  </si>
  <si>
    <t xml:space="preserve">Madrid_Ciudad_Padron_2026</t>
  </si>
  <si>
    <t xml:space="preserve">Padrón del municipio de Madrid a 1-ene-2026: población, componentes del cambio.</t>
  </si>
  <si>
    <t xml:space="preserve">2025–2026</t>
  </si>
  <si>
    <t xml:space="preserve">FUENTES</t>
  </si>
  <si>
    <t xml:space="preserve">Origen de cada bloque.</t>
  </si>
  <si>
    <t xml:space="preserve">Notas, límites y huecos conocidos</t>
  </si>
  <si>
    <t xml:space="preserve">• Los datos del INE a 1-jul-2026 son provisionales y se revisarán. Las estimaciones trimestrales de la ECP no coinciden exactamente con el padrón continuo de enero que publica el INE cada año ni con el padrón del Ayuntamiento de Madrid.</t>
  </si>
  <si>
    <t xml:space="preserve">• Madrid = Comunidad de Madrid (7,2 millones). El municipio de Madrid (3,5 millones) solo aparece en la hoja Madrid_Ciudad_Padron_2026.</t>
  </si>
  <si>
    <t xml:space="preserve">• Edades en grupos de 5 años por CCAA. La población por edad simple existe en las tablas 59238 (CCAA) y 59583 (nacional) del INE, no incluidas aquí. La estructura por nacionalidad se limita a española/extranjera; no se ha cargado el país de origen (tablas 77019, 56942).</t>
  </si>
  <si>
    <t xml:space="preserve">• Indicadores demográficos de 2024 (IDB) y edades medias a 1-ene-2025: son los últimos publicados por el INE. España no figura en la tabla de esperanza de vida por CCAA; se añadió de la tabla nacional.</t>
  </si>
  <si>
    <t xml:space="preserve">• No incluidos: población por provincia y municipio (excepto Madrid capital en totales), por distrito de Madrid (datos.madrid.es bloqueó la lectura automatizada), movimientos migratorios y flujos interiores, hogares por tamaño (tabla 60131), país de nacimiento.</t>
  </si>
  <si>
    <t xml:space="preserve">• Las series históricas de 2003–2012 de España son estimaciones (con decimales en la fuente, aquí redondeadas); cualquier comparación de crecimiento entre periodos debe leerse con esa cautela.</t>
  </si>
  <si>
    <t xml:space="preserve">Convención de colores</t>
  </si>
  <si>
    <t xml:space="preserve">Azul: dato copiado de la fuente (valor fijo)</t>
  </si>
  <si>
    <t xml:space="preserve">Negro: fórmula de esta hoja</t>
  </si>
  <si>
    <t xml:space="preserve">Verde: fórmula que enlaza con otra hoja</t>
  </si>
  <si>
    <t xml:space="preserve">Fondo naranja claro: dato con muestra pequeña / poco fiable según la fuente</t>
  </si>
  <si>
    <t xml:space="preserve">Fondo amarillo claro: estimación no oficial (elaboración propia)</t>
  </si>
  <si>
    <t xml:space="preserve">Resumen de población — España y Comunidad de Madrid</t>
  </si>
  <si>
    <t xml:space="preserve">Población residente a 1 de julio de 2026 (provisional, INE). Los valores enlazan con las hojas de detalle (verde).</t>
  </si>
  <si>
    <t xml:space="preserve">Indicador</t>
  </si>
  <si>
    <t xml:space="preserve">Periodo</t>
  </si>
  <si>
    <t xml:space="preserve">España</t>
  </si>
  <si>
    <t xml:space="preserve">Madrid</t>
  </si>
  <si>
    <t xml:space="preserve">Madrid − España</t>
  </si>
  <si>
    <t xml:space="preserve">Madrid / España</t>
  </si>
  <si>
    <t xml:space="preserve">Nota</t>
  </si>
  <si>
    <t xml:space="preserve">Población total</t>
  </si>
  <si>
    <t xml:space="preserve">Madrid = Comunidad de Madrid</t>
  </si>
  <si>
    <t xml:space="preserve">Madrid como % de la población de España</t>
  </si>
  <si>
    <t xml:space="preserve">Hombres</t>
  </si>
  <si>
    <t xml:space="preserve">Mujeres</t>
  </si>
  <si>
    <t xml:space="preserve">Mujeres por 100 hombres</t>
  </si>
  <si>
    <t xml:space="preserve">Población de nacionalidad extranjera</t>
  </si>
  <si>
    <t xml:space="preserve">% de nacionalidad extranjera</t>
  </si>
  <si>
    <t xml:space="preserve">% de 0 a 14 años</t>
  </si>
  <si>
    <t xml:space="preserve">% de 15 a 64 años</t>
  </si>
  <si>
    <t xml:space="preserve">% de 65 años y más</t>
  </si>
  <si>
    <t xml:space="preserve">% de 80 años y más</t>
  </si>
  <si>
    <t xml:space="preserve">Índice de envejecimiento (65+ ÷ 0–14 × 100)</t>
  </si>
  <si>
    <t xml:space="preserve">Cálculo propio con grupos de 5 años</t>
  </si>
  <si>
    <t xml:space="preserve">Tasa de dependencia (0–14 y 65+ sobre 15–64)</t>
  </si>
  <si>
    <t xml:space="preserve">Edad mediana (años)</t>
  </si>
  <si>
    <t xml:space="preserve">1-ene-2025</t>
  </si>
  <si>
    <t xml:space="preserve">INE, indicadores demográficos básicos</t>
  </si>
  <si>
    <t xml:space="preserve">Edad media (años)</t>
  </si>
  <si>
    <t xml:space="preserve">Esperanza de vida al nacer (años)</t>
  </si>
  <si>
    <t xml:space="preserve">2024</t>
  </si>
  <si>
    <t xml:space="preserve">Indicador coyuntural de fecundidad (hijos por mujer)</t>
  </si>
  <si>
    <t xml:space="preserve">Natalidad (‰)</t>
  </si>
  <si>
    <t xml:space="preserve">Mortalidad (‰)</t>
  </si>
  <si>
    <t xml:space="preserve">Saldo vegetativo (‰)</t>
  </si>
  <si>
    <t xml:space="preserve">Madrid, junto con Baleares, Murcia, Ceuta y Melilla, tiene saldo natural no negativo</t>
  </si>
  <si>
    <t xml:space="preserve">Personas por hogar</t>
  </si>
  <si>
    <t xml:space="preserve">Hogares estimados (población ÷ tamaño medio)</t>
  </si>
  <si>
    <t xml:space="preserve">Cálculo propio</t>
  </si>
  <si>
    <t xml:space="preserve">Crecimiento de la población 1-jul-2021 a 1-jul-2026 (%)</t>
  </si>
  <si>
    <t xml:space="preserve">5 años</t>
  </si>
  <si>
    <t xml:space="preserve">Crecimiento de la población 1-jul-2025 a 1-jul-2026 (%)</t>
  </si>
  <si>
    <t xml:space="preserve">1 año</t>
  </si>
  <si>
    <t xml:space="preserve">Crecimiento de la población 1971–2026 (%)</t>
  </si>
  <si>
    <t xml:space="preserve">55 años</t>
  </si>
  <si>
    <t xml:space="preserve">Variación proyectada 2026–2041 (INE, %)</t>
  </si>
  <si>
    <t xml:space="preserve">2041</t>
  </si>
  <si>
    <t xml:space="preserve">Proyecciones_INE (publicadas 17-jun-2026)</t>
  </si>
  <si>
    <t xml:space="preserve">territorio</t>
  </si>
  <si>
    <t xml:space="preserve">Españoles</t>
  </si>
  <si>
    <t xml:space="preserve">Extranjeros</t>
  </si>
  <si>
    <t xml:space="preserve">% de la población de España</t>
  </si>
  <si>
    <t xml:space="preserve">% mujeres</t>
  </si>
  <si>
    <t xml:space="preserve">% extranjeros</t>
  </si>
  <si>
    <t xml:space="preserve">Hombres por 100 mujeres</t>
  </si>
  <si>
    <t xml:space="preserve">Personas por hogar (INE)</t>
  </si>
  <si>
    <t xml:space="preserve">ranking por población (1 = mayor)</t>
  </si>
  <si>
    <t xml:space="preserve">Andalucía</t>
  </si>
  <si>
    <t xml:space="preserve">Aragón</t>
  </si>
  <si>
    <t xml:space="preserve">Asturias</t>
  </si>
  <si>
    <t xml:space="preserve">Baleares</t>
  </si>
  <si>
    <t xml:space="preserve">Canarias</t>
  </si>
  <si>
    <t xml:space="preserve">Cantabria</t>
  </si>
  <si>
    <t xml:space="preserve">Castilla y León</t>
  </si>
  <si>
    <t xml:space="preserve">Castilla-La Mancha</t>
  </si>
  <si>
    <t xml:space="preserve">Cataluña</t>
  </si>
  <si>
    <t xml:space="preserve">Comunitat Valenciana</t>
  </si>
  <si>
    <t xml:space="preserve">Extremadura</t>
  </si>
  <si>
    <t xml:space="preserve">Galicia</t>
  </si>
  <si>
    <t xml:space="preserve">Murcia</t>
  </si>
  <si>
    <t xml:space="preserve">Navarra</t>
  </si>
  <si>
    <t xml:space="preserve">País Vasco</t>
  </si>
  <si>
    <t xml:space="preserve">La Rioja</t>
  </si>
  <si>
    <t xml:space="preserve">Ceuta</t>
  </si>
  <si>
    <t xml:space="preserve">Melilla</t>
  </si>
  <si>
    <t xml:space="preserve">Suma de las 19 CCAA</t>
  </si>
  <si>
    <t xml:space="preserve">Diferencia con el total nacional</t>
  </si>
  <si>
    <t xml:space="preserve">Población residente a 1 de julio de 2026 (provisional), Estadística Continua de Población del INE. Los datos enlazan con las hojas Edad_*. Tamaño medio del hogar: INE tabla 60132 (1-jul-2026); los hogares estimados son población ÷ tamaño medio (cálculo propio, amarillo; el INE publica el número exacto de hogares en la tabla 60131, no descargada).</t>
  </si>
  <si>
    <t xml:space="preserve">grupo de edad</t>
  </si>
  <si>
    <t xml:space="preserve">Todas las edades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</si>
  <si>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</si>
  <si>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</si>
  <si>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</si>
  <si>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</si>
  <si>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</si>
  <si>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</si>
  <si>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</si>
  <si>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</si>
  <si>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</si>
  <si>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</si>
  <si>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</si>
  <si>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</si>
  <si>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</si>
  <si>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</si>
  <si>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</si>
  <si>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</si>
  <si>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</si>
  <si>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</si>
  <si>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90+</t>
  </si>
  <si>
    <t xml:space="preserve">Suma de los 19 grupos de edad</t>
  </si>
  <si>
    <t xml:space="preserve">Diferencia con "Todas las edades"</t>
  </si>
  <si>
    <t xml:space="preserve">Estadística Continua de Población (INE, tabla 59587), población residente a 1 de julio de 2026 (datos provisionales). Todas las nacionalidades, ambos sexos. Fila 22-23: comprobaciones (deben ser 0).</t>
  </si>
  <si>
    <t xml:space="preserve">Estadística Continua de Población (INE, tabla 59587), población residente a 1 de julio de 2026 (datos provisionales). Hombres, todas las nacionalidades.</t>
  </si>
  <si>
    <t xml:space="preserve">Estadística Continua de Población (INE, tabla 59587), población residente a 1 de julio de 2026 (datos provisionales). Mujeres, todas las nacionalidades.</t>
  </si>
  <si>
    <t xml:space="preserve">Estadística Continua de Población (INE, tabla 59587), población residente a 1 de julio de 2026 (datos provisionales). Nacionalidad extranjera, ambos sexos. La columna España es la suma de las 19 CCAA (el INE da el total nacional de extranjeros: 7.437.543, que coincide).</t>
  </si>
  <si>
    <t xml:space="preserve">Población</t>
  </si>
  <si>
    <t xml:space="preserve">% 0–14 años</t>
  </si>
  <si>
    <t xml:space="preserve">% 15–64 años</t>
  </si>
  <si>
    <t xml:space="preserve">% 65 y más</t>
  </si>
  <si>
    <t xml:space="preserve">% 80 y más</t>
  </si>
  <si>
    <t xml:space="preserve">Tasa de dependencia (0–14 + 65+) ÷ (15–64) × 100</t>
  </si>
  <si>
    <t xml:space="preserve">Dependencia de mayores 65+ ÷ (15–64) × 100</t>
  </si>
  <si>
    <t xml:space="preserve">% de 20 a 39 años</t>
  </si>
  <si>
    <t xml:space="preserve">85+ como % de los 65+</t>
  </si>
  <si>
    <t xml:space="preserve">% extranjeros entre 20 y 44 años</t>
  </si>
  <si>
    <t xml:space="preserve">Mujeres por 100 hombres (total)</t>
  </si>
  <si>
    <t xml:space="preserve">Mujeres por 100 hombres (65+)</t>
  </si>
  <si>
    <t xml:space="preserve">ranking % 65+ (1 = más envejecida)</t>
  </si>
  <si>
    <t xml:space="preserve">ranking % extranjeros (1 = más)</t>
  </si>
  <si>
    <t xml:space="preserve">Cálculos propios con la población a 1-jul-2026 por grupos quinquenales (hojas Edad_*). Con grupos de 5 años no se puede separar a los menores de 16: el índice de envejecimiento aquí usa 0–14 años (el índice oficial del INE usa menores de 16 y está en Indicadores_Demograficos), por lo que no coincide exactamente. La tasa de dependencia usa 15–64 años como población en edad de trabajar.</t>
  </si>
  <si>
    <t xml:space="preserve">España: hombres (% de la población)</t>
  </si>
  <si>
    <t xml:space="preserve">España: mujeres (% de la población)</t>
  </si>
  <si>
    <t xml:space="preserve">Madrid: hombres (% de la población)</t>
  </si>
  <si>
    <t xml:space="preserve">Madrid: mujeres (% de la población)</t>
  </si>
  <si>
    <t xml:space="preserve">España: total (%)</t>
  </si>
  <si>
    <t xml:space="preserve">Madrid: total (%)</t>
  </si>
  <si>
    <t xml:space="preserve">Madrid − España (puntos)</t>
  </si>
  <si>
    <t xml:space="preserve">Madrid como % de España (personas)</t>
  </si>
  <si>
    <t xml:space="preserve">% extranjeros España</t>
  </si>
  <si>
    <t xml:space="preserve">% extranjeros Madrid</t>
  </si>
  <si>
    <t xml:space="preserve">Mujeres por 100 hombres España</t>
  </si>
  <si>
    <t xml:space="preserve">Mujeres por 100 hombres Madrid</t>
  </si>
  <si>
    <t xml:space="preserve">Suma (debe ser 100)</t>
  </si>
  <si>
    <t xml:space="preserve">Cada columna de porcentaje es la proporción de la población total de ese territorio (España o Madrid) que hay en ese grupo y sexo. Sirve para dibujar pirámides comparables. Madrid como % de España en el total de edades: ver Resumen_Poblacion.</t>
  </si>
  <si>
    <t xml:space="preserve">año (1 de enero)</t>
  </si>
  <si>
    <t xml:space="preserve">España: población</t>
  </si>
  <si>
    <t xml:space="preserve">España: hombres</t>
  </si>
  <si>
    <t xml:space="preserve">España: mujeres</t>
  </si>
  <si>
    <t xml:space="preserve">España: variación anual %</t>
  </si>
  <si>
    <t xml:space="preserve">Madrid: población</t>
  </si>
  <si>
    <t xml:space="preserve">Madrid: hombres</t>
  </si>
  <si>
    <t xml:space="preserve">Madrid: mujeres</t>
  </si>
  <si>
    <t xml:space="preserve">Madrid: variación anual %</t>
  </si>
  <si>
    <t xml:space="preserve">Madrid como % de España</t>
  </si>
  <si>
    <t xml:space="preserve">España: índice 1971 = 100</t>
  </si>
  <si>
    <t xml:space="preserve">Madrid: índice 1971 = 100</t>
  </si>
  <si>
    <t xml:space="preserve">España: mujeres por 100 hombres</t>
  </si>
  <si>
    <t xml:space="preserve">Madrid: mujeres por 100 hombres</t>
  </si>
  <si>
    <t xml:space="preserve">Crecimiento medio anual compuesto (TCAC) entre dos años (cambie los años en azul)</t>
  </si>
  <si>
    <t xml:space="preserve">periodo</t>
  </si>
  <si>
    <t xml:space="preserve">año inicial</t>
  </si>
  <si>
    <t xml:space="preserve">año final</t>
  </si>
  <si>
    <t xml:space="preserve">TCAC España %</t>
  </si>
  <si>
    <t xml:space="preserve">TCAC Madrid %</t>
  </si>
  <si>
    <t xml:space="preserve">Δ personas España</t>
  </si>
  <si>
    <t xml:space="preserve">Δ personas Madrid</t>
  </si>
  <si>
    <t xml:space="preserve">Δ % España</t>
  </si>
  <si>
    <t xml:space="preserve">Δ % Madrid</t>
  </si>
  <si>
    <t xml:space="preserve">Todo el periodo</t>
  </si>
  <si>
    <t xml:space="preserve">Boom migratorio</t>
  </si>
  <si>
    <t xml:space="preserve">Crisis y retroceso</t>
  </si>
  <si>
    <t xml:space="preserve">Recuperación</t>
  </si>
  <si>
    <t xml:space="preserve">Tras la pandemia</t>
  </si>
  <si>
    <t xml:space="preserve">Últimos 10 años</t>
  </si>
  <si>
    <t xml:space="preserve">Desde 2002</t>
  </si>
  <si>
    <t xml:space="preserve">INE, Estadística Continua de Población (series ECP320, ECP319, ECP115490, ECP113551). Cifras a 1 de enero; 2026 es provisional. Las cifras de España de 2003 a 2012 venían con decimales en la fuente (son estimaciones) y aquí están redondeadas. El fuerte aumento de 2002 a 2008 coincide con el boom migratorio; antes de 2002 el crecimiento era muy inferior.</t>
  </si>
  <si>
    <t xml:space="preserve">fecha</t>
  </si>
  <si>
    <t xml:space="preserve">España: var. trimestral %</t>
  </si>
  <si>
    <t xml:space="preserve">España: var. anual %</t>
  </si>
  <si>
    <t xml:space="preserve">Madrid: var. trimestral %</t>
  </si>
  <si>
    <t xml:space="preserve">Madrid: var. anual %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</si>
  <si>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</si>
  <si>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</si>
  <si>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</si>
  <si>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</si>
  <si>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</si>
  <si>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</si>
  <si>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</si>
  <si>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</si>
  <si>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</si>
  <si>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</si>
  <si>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</si>
  <si>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</si>
  <si>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</si>
  <si>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</si>
  <si>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</si>
  <si>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</si>
  <si>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</si>
  <si>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</si>
  <si>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</si>
  <si>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</si>
  <si>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</si>
  <si>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</si>
  <si>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</si>
  <si>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INE, Estadística Continua de Población: población residente a 1 de enero, abril, julio y octubre. Las cifras desde abril de 2025 son provisionales. 1 de julio de 2026 es el último dato publicado.</t>
  </si>
  <si>
    <t xml:space="preserve">Esperanza de vida al nacer: ambos</t>
  </si>
  <si>
    <t xml:space="preserve">Esperanza de vida: hombres</t>
  </si>
  <si>
    <t xml:space="preserve">Esperanza de vida: mujeres</t>
  </si>
  <si>
    <t xml:space="preserve">Brecha mujeres − hombres (años)</t>
  </si>
  <si>
    <t xml:space="preserve">Edad mediana: total</t>
  </si>
  <si>
    <t xml:space="preserve">Edad mediana: hombres</t>
  </si>
  <si>
    <t xml:space="preserve">Edad mediana: mujeres</t>
  </si>
  <si>
    <t xml:space="preserve">Edad media: total</t>
  </si>
  <si>
    <t xml:space="preserve">Edad media: hombres</t>
  </si>
  <si>
    <t xml:space="preserve">Edad media: mujeres</t>
  </si>
  <si>
    <t xml:space="preserve">Índice de envejecimiento INE (65+ ÷ menores de 16 × 100)</t>
  </si>
  <si>
    <t xml:space="preserve">Indicador coyuntural de fecundidad (hijos/mujer)</t>
  </si>
  <si>
    <t xml:space="preserve">ranking esperanza de vida (1 = mayor)</t>
  </si>
  <si>
    <t xml:space="preserve">ranking edad mediana (1 = más envejecida)</t>
  </si>
  <si>
    <t xml:space="preserve">ranking fecundidad (1 = mayor)</t>
  </si>
  <si>
    <t xml:space="preserve">INE, Indicadores Demográficos Básicos (nota de prensa de 19-nov-2025; tablas 1448 y 1414 esperanza de vida, 1726 edad mediana, 3198 edad media, 1452 envejecimiento, 1450 saldo vegetativo, 67222 natalidad, 67228 mortalidad, 1441 fecundidad). Esperanza de vida, saldo vegetativo, natalidad, mortalidad y fecundidad: año 2024. Edad mediana, edad media e índice de envejecimiento: 1 de enero de 2025. Natalidad, mortalidad y saldo vegetativo por 1.000 habitantes. El saldo vegetativo nacional publicado (−2,37) difiere en una centésima de natalidad − mortalidad por redondeo. España: la tabla de esperanza de vida por CCAA no incluye el total nacional; se tomó de la tabla 1414 (84,01 años, nota de prensa).</t>
  </si>
  <si>
    <t xml:space="preserve">Proyecciones de población del INE 2026–2076 (publicadas el 17-jun-2026)</t>
  </si>
  <si>
    <t xml:space="preserve">Son simulaciones basadas en tendencias actuales y en opinión de expertos; el INE advierte de que no son predicciones de la evolución más probable. El comunicado no publica población por CCAA, solo variaciones.</t>
  </si>
  <si>
    <t xml:space="preserve">concepto</t>
  </si>
  <si>
    <t xml:space="preserve">valor</t>
  </si>
  <si>
    <t xml:space="preserve">unidad</t>
  </si>
  <si>
    <t xml:space="preserve">horizonte / nota</t>
  </si>
  <si>
    <t xml:space="preserve">España: población a 1-ene-2026 (INE, ECP)</t>
  </si>
  <si>
    <t xml:space="preserve">personas</t>
  </si>
  <si>
    <t xml:space="preserve">Dato real provisional (enlazado)</t>
  </si>
  <si>
    <t xml:space="preserve">España: variación 2026–2041</t>
  </si>
  <si>
    <t xml:space="preserve">+8,6 % en 15 años; supera los 53,8 millones en 2041</t>
  </si>
  <si>
    <t xml:space="preserve">España: variación 2026–2041 (%)</t>
  </si>
  <si>
    <t xml:space="preserve">%</t>
  </si>
  <si>
    <t xml:space="preserve">Del comunicado</t>
  </si>
  <si>
    <t xml:space="preserve">España: población 2041 (implícita)</t>
  </si>
  <si>
    <t xml:space="preserve">Cálculo: población 2026 + variación</t>
  </si>
  <si>
    <t xml:space="preserve">España: población 2076</t>
  </si>
  <si>
    <t xml:space="preserve">millones</t>
  </si>
  <si>
    <t xml:space="preserve">+3,38 millones respecto a 2026</t>
  </si>
  <si>
    <t xml:space="preserve">España: escenario mínimo a 50 años</t>
  </si>
  <si>
    <t xml:space="preserve">Combinación de escenarios</t>
  </si>
  <si>
    <t xml:space="preserve">España: escenario máximo a 50 años</t>
  </si>
  <si>
    <t xml:space="preserve">España: sin saldo migratorio</t>
  </si>
  <si>
    <t xml:space="preserve">Escenario sin migración neta</t>
  </si>
  <si>
    <t xml:space="preserve">Madrid: variación 2026–2041 (%)</t>
  </si>
  <si>
    <t xml:space="preserve">Tercera CCAA con mayor aumento</t>
  </si>
  <si>
    <t xml:space="preserve">Madrid: variación 2026–2041 (personas)</t>
  </si>
  <si>
    <t xml:space="preserve">Según prensa que cita el INE</t>
  </si>
  <si>
    <t xml:space="preserve">Madrid: población 2041 (prensa)</t>
  </si>
  <si>
    <t xml:space="preserve">Eldebate.com, 17-jun-2026, citando al INE</t>
  </si>
  <si>
    <t xml:space="preserve">Madrid: población 2041 (estimada = 1-ene-2026 × (1 + variación))</t>
  </si>
  <si>
    <t xml:space="preserve">Cálculo propio para contrastar con la cifra de prensa</t>
  </si>
  <si>
    <t xml:space="preserve">Comunitat Valenciana: variación 2026–2041 (%)</t>
  </si>
  <si>
    <t xml:space="preserve">Mayor aumento</t>
  </si>
  <si>
    <t xml:space="preserve">Illes Balears: variación 2026–2041 (%)</t>
  </si>
  <si>
    <t xml:space="preserve">Extremadura: variación 2026–2041 (%)</t>
  </si>
  <si>
    <t xml:space="preserve">Mayor descenso</t>
  </si>
  <si>
    <t xml:space="preserve">Principado de Asturias: variación 2026–2041 (%)</t>
  </si>
  <si>
    <t xml:space="preserve">Castilla y León: variación 2026–2041 (%)</t>
  </si>
  <si>
    <t xml:space="preserve">Nº de CCAA que crecen / decrecen</t>
  </si>
  <si>
    <t xml:space="preserve">13 / 4</t>
  </si>
  <si>
    <t xml:space="preserve">Solo se citan seis en el comunicado</t>
  </si>
  <si>
    <t xml:space="preserve">Población de 65 y más: hoy</t>
  </si>
  <si>
    <t xml:space="preserve">Población de 65 y más: máximo (2076)</t>
  </si>
  <si>
    <t xml:space="preserve">Tasa de dependencia máxima (2076)</t>
  </si>
  <si>
    <t xml:space="preserve">Nacidos en España: hoy</t>
  </si>
  <si>
    <t xml:space="preserve">Nacidos en España: dentro de 50 años</t>
  </si>
  <si>
    <t xml:space="preserve">Fecundidad (hijos por mujer): 2024</t>
  </si>
  <si>
    <t xml:space="preserve">hijos/mujer</t>
  </si>
  <si>
    <t xml:space="preserve">Dato real</t>
  </si>
  <si>
    <t xml:space="preserve">Fecundidad (hijos por mujer): 2040</t>
  </si>
  <si>
    <t xml:space="preserve">Supuesto</t>
  </si>
  <si>
    <t xml:space="preserve">Nacimientos 2026–2040</t>
  </si>
  <si>
    <t xml:space="preserve">6,2 % menos que en los 15 años previos; repunte desde 2061</t>
  </si>
  <si>
    <t xml:space="preserve">Defunciones: máximo en</t>
  </si>
  <si>
    <t xml:space="preserve">año</t>
  </si>
  <si>
    <t xml:space="preserve">Crecimiento vegetativo negativo en todo el periodo; mínimo hacia 2063</t>
  </si>
  <si>
    <t xml:space="preserve">Esperanza de vida al nacer 2075: hombres</t>
  </si>
  <si>
    <t xml:space="preserve">años</t>
  </si>
  <si>
    <t xml:space="preserve">+5,6 años</t>
  </si>
  <si>
    <t xml:space="preserve">Esperanza de vida al nacer 2075: mujeres</t>
  </si>
  <si>
    <t xml:space="preserve">+3,5 años</t>
  </si>
  <si>
    <t xml:space="preserve">Esperanza de vida a los 65 en 2075: hombres</t>
  </si>
  <si>
    <t xml:space="preserve">+3,7 años</t>
  </si>
  <si>
    <t xml:space="preserve">Esperanza de vida a los 65 en 2075: mujeres</t>
  </si>
  <si>
    <t xml:space="preserve">+2,7 años</t>
  </si>
  <si>
    <t xml:space="preserve">Inmigraciones 2024</t>
  </si>
  <si>
    <t xml:space="preserve">Emigraciones 2024</t>
  </si>
  <si>
    <t xml:space="preserve">Saldo migratorio 2024</t>
  </si>
  <si>
    <t xml:space="preserve">El comunicado da 626.268: la fórmula debe coincidir</t>
  </si>
  <si>
    <t xml:space="preserve">Saldo migratorio acumulado: primeros 5 años</t>
  </si>
  <si>
    <t xml:space="preserve">Saldo migratorio acumulado: hasta 2040</t>
  </si>
  <si>
    <t xml:space="preserve">Saldo migratorio acumulado: hasta 2075</t>
  </si>
  <si>
    <t xml:space="preserve">Comparación con la proyección anterior (INE, oct-2024; horizonte 2024–2074)</t>
  </si>
  <si>
    <t xml:space="preserve">España 2039 (+10,6 % sobre 2024)</t>
  </si>
  <si>
    <t xml:space="preserve">más de 53,7 millones</t>
  </si>
  <si>
    <t xml:space="preserve">España 2074</t>
  </si>
  <si>
    <t xml:space="preserve">54,6 millones</t>
  </si>
  <si>
    <t xml:space="preserve">Población 65+: hoy / máximo</t>
  </si>
  <si>
    <t xml:space="preserve">20,4 % / 30,5 % (2055)</t>
  </si>
  <si>
    <t xml:space="preserve">Fecundidad 2038</t>
  </si>
  <si>
    <t xml:space="preserve">1,24 hijos por mujer (frente a 1,16 en 2022)</t>
  </si>
  <si>
    <t xml:space="preserve">Cambios 2024–2039 por CCAA citados</t>
  </si>
  <si>
    <t xml:space="preserve">Baleares +19,0 %, C. Valenciana +19,0 %, Murcia +17,2 %, Asturias −4,1 %, Extremadura −3,4 %, Castilla y León −0,7 %</t>
  </si>
  <si>
    <t xml:space="preserve">La proyección de 2026 supone una fecundidad más baja y menor crecimiento que la de 2024. El comunicado de 2026 no cita Murcia; el de 2024 no cita Madrid.</t>
  </si>
  <si>
    <t xml:space="preserve">Madrid capital: padrón municipal a 1 de enero de 2026 (Ayuntamiento de Madrid)</t>
  </si>
  <si>
    <t xml:space="preserve">Primeros resultados del padrón (30-abr-2026). Es la población del municipio de Madrid (no de la Comunidad). Cifras del Ayuntamiento, distintas de las del INE.</t>
  </si>
  <si>
    <t xml:space="preserve">nota</t>
  </si>
  <si>
    <t xml:space="preserve">Población 1-ene-2025</t>
  </si>
  <si>
    <t xml:space="preserve">Población 1-ene-2026</t>
  </si>
  <si>
    <t xml:space="preserve">Variación</t>
  </si>
  <si>
    <t xml:space="preserve">Debe coincidir con −30.647</t>
  </si>
  <si>
    <t xml:space="preserve">Variación (%)</t>
  </si>
  <si>
    <t xml:space="preserve">Comprobación hombres + mujeres − total</t>
  </si>
  <si>
    <t xml:space="preserve">Debe ser 0</t>
  </si>
  <si>
    <t xml:space="preserve">Nacidos en España</t>
  </si>
  <si>
    <t xml:space="preserve">69,5 %</t>
  </si>
  <si>
    <t xml:space="preserve">Nacidos en el extranjero</t>
  </si>
  <si>
    <t xml:space="preserve">30,5 %</t>
  </si>
  <si>
    <t xml:space="preserve">% nacidos en el extranjero</t>
  </si>
  <si>
    <t xml:space="preserve">Comprobación nacidos España + extranjero − total</t>
  </si>
  <si>
    <t xml:space="preserve">Nacionalidad extranjera (%)</t>
  </si>
  <si>
    <t xml:space="preserve">Los españoles son el 80,6 %</t>
  </si>
  <si>
    <t xml:space="preserve">Nacimientos 2025</t>
  </si>
  <si>
    <t xml:space="preserve">884 más que en 2024</t>
  </si>
  <si>
    <t xml:space="preserve">Defunciones 2025</t>
  </si>
  <si>
    <t xml:space="preserve">Crecimiento natural</t>
  </si>
  <si>
    <t xml:space="preserve">El Ayuntamiento da +564</t>
  </si>
  <si>
    <t xml:space="preserve">Migración interior: saldo</t>
  </si>
  <si>
    <t xml:space="preserve">Llegadas 82.235, salidas 120.192 (la resta da −37.957; la fuente da −37.953)</t>
  </si>
  <si>
    <t xml:space="preserve">Migración exterior: saldo</t>
  </si>
  <si>
    <t xml:space="preserve">Llegadas 117.706, salidas 11.589</t>
  </si>
  <si>
    <t xml:space="preserve">Altas menos bajas por gestión padronal (saldo)</t>
  </si>
  <si>
    <t xml:space="preserve">Altas 28.450, bajas 127.825</t>
  </si>
  <si>
    <t xml:space="preserve">Suma de componentes</t>
  </si>
  <si>
    <t xml:space="preserve">Debe coincidir con la variación</t>
  </si>
  <si>
    <t xml:space="preserve">Diferencia suma − variación</t>
  </si>
  <si>
    <t xml:space="preserve">Distritos (solo lo que figura en el documento): Carabanchel 278.090; Puente de Vallecas 257.924; Fuencarral-El Pardo 256.037; Latina 251.139; Vicálvaro 97.860 (+2.627); Moratalaz 94.405; Barajas 50.613 (+74). Solo Vicálvaro, Villa de Vallecas y Barajas ganaron población; todos los distritos tuvieron saldo interior negativo y exterior positivo. La tabla completa por distrito y barrio (datos.madrid.es) no se pudo leer desde este entorno (bloqueo de robots).</t>
  </si>
  <si>
    <t xml:space="preserve">Tema</t>
  </si>
  <si>
    <t xml:space="preserve">Organismo</t>
  </si>
  <si>
    <t xml:space="preserve">Tabla / identificador</t>
  </si>
  <si>
    <t xml:space="preserve">URL (API o página)</t>
  </si>
  <si>
    <t xml:space="preserve">Fecha de consulta</t>
  </si>
  <si>
    <t xml:space="preserve">Observaciones</t>
  </si>
  <si>
    <t xml:space="preserve">Población por edad, sexo y nacionalidad</t>
  </si>
  <si>
    <t xml:space="preserve">INE (Estadística Continua de Población)</t>
  </si>
  <si>
    <t xml:space="preserve">Tabla 59587</t>
  </si>
  <si>
    <t xml:space="preserve">https://servicios.ine.es/wstempus/js/ES/DATOS_TABLA/59587?nult=1&amp;tip=A&amp;tv=70:9009</t>
  </si>
  <si>
    <t xml:space="preserve">19 CCAA + total; 1-jul-2026 (provisional)</t>
  </si>
  <si>
    <t xml:space="preserve">2026-10-21</t>
  </si>
  <si>
    <t xml:space="preserve">Una petición por CCAA (tv=70:id). Nacional por tv=349:16473 o agregado.</t>
  </si>
  <si>
    <t xml:space="preserve">Series históricas de población</t>
  </si>
  <si>
    <t xml:space="preserve">INE (ECP)</t>
  </si>
  <si>
    <t xml:space="preserve">Series ECP320, ECP319 (España); ECP115490, ECP113551 (Madrid)</t>
  </si>
  <si>
    <t xml:space="preserve">https://servicios.ine.es/wstempus/js/ES/DATOS_SERIE/ECP320?nult=400&amp;tip=A</t>
  </si>
  <si>
    <t xml:space="preserve">Tablas 56934 (nacional) y 56940 (CCAA), “desde 1971”.</t>
  </si>
  <si>
    <t xml:space="preserve">Tamaño medio del hogar</t>
  </si>
  <si>
    <t xml:space="preserve">Tabla 60132</t>
  </si>
  <si>
    <t xml:space="preserve">https://servicios.ine.es/wstempus/js/ES/DATOS_TABLA/60132?nult=3&amp;tip=A</t>
  </si>
  <si>
    <t xml:space="preserve">CCAA; 1-jul-2026</t>
  </si>
  <si>
    <t xml:space="preserve">Número de hogares por tamaño en la tabla 60131 (no descargada).</t>
  </si>
  <si>
    <t xml:space="preserve">Indicadores demográficos básicos</t>
  </si>
  <si>
    <t xml:space="preserve">INE</t>
  </si>
  <si>
    <t xml:space="preserve">Tablas 1448, 1414, 1726, 3198, 1452, 1450, 67222, 67228, 1441</t>
  </si>
  <si>
    <t xml:space="preserve">https://servicios.ine.es/wstempus/js/ES/TABLAS_OPERACION/33</t>
  </si>
  <si>
    <t xml:space="preserve">CCAA; 2024 y 1-ene-2025</t>
  </si>
  <si>
    <t xml:space="preserve">Nota de prensa de 19-nov-2025: https://www.ine.es/uc/6tBC03TH</t>
  </si>
  <si>
    <t xml:space="preserve">Proyecciones de población 2026–2076</t>
  </si>
  <si>
    <t xml:space="preserve">Nota de prensa 17-jun-2026</t>
  </si>
  <si>
    <t xml:space="preserve">https://www.ine.es/dyngs/Prensa/PROP20262076.pdf</t>
  </si>
  <si>
    <t xml:space="preserve">España; variaciones por CCAA (seis citadas)</t>
  </si>
  <si>
    <t xml:space="preserve">Dato de Madrid (+14,4 %, 8,2 M en 2041) vía prensa: https://www.eldebate.com/espana/madrid/20260617/ine-estima-comunidad-madrid-superara-82-millones-habitantes-15-anos_429692.html</t>
  </si>
  <si>
    <t xml:space="preserve">Proyecciones 2024–2074 (anterior)</t>
  </si>
  <si>
    <t xml:space="preserve">Nota de prensa oct-2024</t>
  </si>
  <si>
    <t xml:space="preserve">https://www.ine.es/dyngs/Prensa/PROP20242074.pdf</t>
  </si>
  <si>
    <t xml:space="preserve">Sustituida por la de 2026; se conserva solo para comparar.</t>
  </si>
  <si>
    <t xml:space="preserve">Padrón de Madrid capital</t>
  </si>
  <si>
    <t xml:space="preserve">Ayuntamiento de Madrid</t>
  </si>
  <si>
    <t xml:space="preserve">Primeros resultados 2026 (30-abr-2026)</t>
  </si>
  <si>
    <t xml:space="preserve">https://www.madrid.es/UnidadesDescentralizadas/UDCEstadistica/Nuevaweb/Demograf%C3%ADa%20y%20poblaci%C3%B3n/Cifras%20de%20poblaci%C3%B3n/PMH/Avance/Primeros_resultados_2026.pdf</t>
  </si>
  <si>
    <t xml:space="preserve">Municipio de Madrid, 2025–2026</t>
  </si>
  <si>
    <t xml:space="preserve">La tabla por distrito y barrio (https://datos.madrid.es/egob/catalogo/300557-0-poblacion-distrito-barrio) estaba bloqueada para lectura automática.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</si>
</sst>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"/>
    <numFmt numFmtId="167" formatCode="0.00"/>
    <numFmt numFmtId="168" formatCode="0.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A5" s="3" t="s">
        <v>3</v>
      </c>
      <c r="B5" s="3"/>
      <c r="C5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</row>
    <row r="9" customFormat="false" ht="15" hidden="false" customHeight="true" outlineLevel="0" collapsed="false">
      <c r="A9" s="2" t="s">
        <v>8</v>
      </c>
      <c r="B9" s="5" t="s">
        <v>9</v>
      </c>
      <c r="C9" s="5" t="s">
        <v>10</v>
      </c>
    </row>
    <row r="10" customFormat="false" ht="15" hidden="false" customHeight="true" outlineLevel="0" collapsed="false">
      <c r="A10" s="2" t="s">
        <v>11</v>
      </c>
      <c r="B10" s="5" t="s">
        <v>12</v>
      </c>
      <c r="C10" s="5" t="s">
        <v>13</v>
      </c>
    </row>
    <row r="11" customFormat="false" ht="30" hidden="false" customHeight="true" outlineLevel="0" collapsed="false">
      <c r="A11" s="2" t="s">
        <v>14</v>
      </c>
      <c r="B11" s="5" t="s">
        <v>15</v>
      </c>
      <c r="C11" s="5" t="s">
        <v>13</v>
      </c>
    </row>
    <row r="12" customFormat="false" ht="30" hidden="false" customHeight="true" outlineLevel="0" collapsed="false">
      <c r="A12" s="2" t="s">
        <v>16</v>
      </c>
      <c r="B12" s="5" t="s">
        <v>17</v>
      </c>
      <c r="C12" s="5" t="s">
        <v>13</v>
      </c>
    </row>
    <row r="13" customFormat="false" ht="15" hidden="false" customHeight="true" outlineLevel="0" collapsed="false">
      <c r="A13" s="2" t="s">
        <v>18</v>
      </c>
      <c r="B13" s="5" t="s">
        <v>19</v>
      </c>
      <c r="C13" s="5" t="s">
        <v>13</v>
      </c>
    </row>
    <row r="14" customFormat="false" ht="30" hidden="false" customHeight="true" outlineLevel="0" collapsed="false">
      <c r="A14" s="2" t="s">
        <v>20</v>
      </c>
      <c r="B14" s="5" t="s">
        <v>21</v>
      </c>
      <c r="C14" s="5" t="s">
        <v>22</v>
      </c>
    </row>
    <row r="15" customFormat="false" ht="15" hidden="false" customHeight="true" outlineLevel="0" collapsed="false">
      <c r="A15" s="2" t="s">
        <v>23</v>
      </c>
      <c r="B15" s="5" t="s">
        <v>24</v>
      </c>
      <c r="C15" s="5" t="s">
        <v>25</v>
      </c>
    </row>
    <row r="16" customFormat="false" ht="30" hidden="false" customHeight="true" outlineLevel="0" collapsed="false">
      <c r="A16" s="2" t="s">
        <v>26</v>
      </c>
      <c r="B16" s="5" t="s">
        <v>27</v>
      </c>
      <c r="C16" s="5" t="s">
        <v>28</v>
      </c>
    </row>
    <row r="17" customFormat="false" ht="30" hidden="false" customHeight="true" outlineLevel="0" collapsed="false">
      <c r="A17" s="2" t="s">
        <v>29</v>
      </c>
      <c r="B17" s="5" t="s">
        <v>30</v>
      </c>
      <c r="C17" s="5" t="s">
        <v>31</v>
      </c>
    </row>
    <row r="18" customFormat="false" ht="15" hidden="false" customHeight="true" outlineLevel="0" collapsed="false">
      <c r="A18" s="2" t="s">
        <v>32</v>
      </c>
      <c r="B18" s="5" t="s">
        <v>33</v>
      </c>
      <c r="C18" s="5" t="s">
        <v>34</v>
      </c>
    </row>
    <row r="19" customFormat="false" ht="15" hidden="false" customHeight="true" outlineLevel="0" collapsed="false">
      <c r="A19" s="2" t="s">
        <v>35</v>
      </c>
      <c r="B19" s="5" t="s">
        <v>36</v>
      </c>
      <c r="C19" s="5"/>
    </row>
    <row r="21" customFormat="false" ht="15" hidden="false" customHeight="false" outlineLevel="0" collapsed="false">
      <c r="A21" s="2" t="s">
        <v>37</v>
      </c>
    </row>
    <row r="22" customFormat="false" ht="45" hidden="false" customHeight="true" outlineLevel="0" collapsed="false">
      <c r="A22" s="3" t="s">
        <v>38</v>
      </c>
      <c r="B22" s="3"/>
      <c r="C22" s="3"/>
    </row>
    <row r="23" customFormat="false" ht="30" hidden="false" customHeight="true" outlineLevel="0" collapsed="false">
      <c r="A23" s="3" t="s">
        <v>39</v>
      </c>
      <c r="B23" s="3"/>
      <c r="C23" s="3"/>
    </row>
    <row r="24" customFormat="false" ht="45" hidden="false" customHeight="true" outlineLevel="0" collapsed="false">
      <c r="A24" s="3" t="s">
        <v>40</v>
      </c>
      <c r="B24" s="3"/>
      <c r="C24" s="3"/>
    </row>
    <row r="25" customFormat="false" ht="30" hidden="false" customHeight="true" outlineLevel="0" collapsed="false">
      <c r="A25" s="3" t="s">
        <v>41</v>
      </c>
      <c r="B25" s="3"/>
      <c r="C25" s="3"/>
    </row>
    <row r="26" customFormat="false" ht="45" hidden="false" customHeight="true" outlineLevel="0" collapsed="false">
      <c r="A26" s="3" t="s">
        <v>42</v>
      </c>
      <c r="B26" s="3"/>
      <c r="C26" s="3"/>
    </row>
    <row r="27" customFormat="false" ht="30" hidden="false" customHeight="true" outlineLevel="0" collapsed="false">
      <c r="A27" s="3" t="s">
        <v>43</v>
      </c>
      <c r="B27" s="3"/>
      <c r="C27" s="3"/>
    </row>
    <row r="29" customFormat="false" ht="15" hidden="false" customHeight="false" outlineLevel="0" collapsed="false">
      <c r="A29" s="2" t="s">
        <v>44</v>
      </c>
    </row>
    <row r="30" customFormat="false" ht="15" hidden="false" customHeight="false" outlineLevel="0" collapsed="false">
      <c r="A30" s="6" t="s">
        <v>45</v>
      </c>
    </row>
    <row r="31" customFormat="false" ht="15" hidden="false" customHeight="false" outlineLevel="0" collapsed="false">
      <c r="A31" s="7" t="s">
        <v>46</v>
      </c>
    </row>
    <row r="32" customFormat="false" ht="15" hidden="false" customHeight="false" outlineLevel="0" collapsed="false">
      <c r="A32" s="8" t="s">
        <v>47</v>
      </c>
    </row>
    <row r="33" customFormat="false" ht="15" hidden="false" customHeight="false" outlineLevel="0" collapsed="false">
      <c r="A33" s="9" t="s">
        <v>48</v>
      </c>
    </row>
    <row r="34" customFormat="false" ht="15" hidden="false" customHeight="false" outlineLevel="0" collapsed="false">
      <c r="A34" s="10" t="s">
        <v>49</v>
      </c>
    </row>
  </sheetData>
  <mergeCells count="8">
    <mergeCell ref="A4:C4"/>
    <mergeCell ref="A5:C5"/>
    <mergeCell ref="A22:C22"/>
    <mergeCell ref="A23:C23"/>
    <mergeCell ref="A24:C24"/>
    <mergeCell ref="A25:C25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11" t="s">
        <v>51</v>
      </c>
    </row>
    <row r="4" customFormat="false" ht="1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customFormat="false" ht="15" hidden="false" customHeight="false" outlineLevel="0" collapsed="false">
      <c r="A5" s="12" t="s">
        <v>59</v>
      </c>
      <c r="B5" s="12" t="s">
        <v>13</v>
      </c>
      <c r="C5" s="13" t="n">
        <f aca="false">Edad_Total!B2</f>
        <v>49801559</v>
      </c>
      <c r="D5" s="13" t="n">
        <f aca="false">Edad_Total!O2</f>
        <v>7201554</v>
      </c>
      <c r="F5" s="14" t="n">
        <f aca="false">D5/C5</f>
        <v>0.144604991181099</v>
      </c>
      <c r="G5" s="11" t="s">
        <v>60</v>
      </c>
    </row>
    <row r="6" customFormat="false" ht="15" hidden="false" customHeight="false" outlineLevel="0" collapsed="false">
      <c r="A6" s="12" t="s">
        <v>61</v>
      </c>
      <c r="B6" s="12" t="s">
        <v>13</v>
      </c>
      <c r="D6" s="15" t="n">
        <f aca="false">Edad_Total!O2/Edad_Total!B2*100</f>
        <v>14.4604991181099</v>
      </c>
      <c r="G6" s="11"/>
    </row>
    <row r="7" customFormat="false" ht="15" hidden="false" customHeight="false" outlineLevel="0" collapsed="false">
      <c r="A7" s="12" t="s">
        <v>62</v>
      </c>
      <c r="B7" s="12" t="s">
        <v>13</v>
      </c>
      <c r="C7" s="13" t="n">
        <f aca="false">Edad_Hombres!B2</f>
        <v>24462607</v>
      </c>
      <c r="D7" s="13" t="n">
        <f aca="false">Edad_Hombres!O2</f>
        <v>3450616</v>
      </c>
      <c r="G7" s="11"/>
    </row>
    <row r="8" customFormat="false" ht="15" hidden="false" customHeight="false" outlineLevel="0" collapsed="false">
      <c r="A8" s="12" t="s">
        <v>63</v>
      </c>
      <c r="B8" s="12" t="s">
        <v>13</v>
      </c>
      <c r="C8" s="13" t="n">
        <f aca="false">Edad_Mujeres!B2</f>
        <v>25338952</v>
      </c>
      <c r="D8" s="13" t="n">
        <f aca="false">Edad_Mujeres!O2</f>
        <v>3750938</v>
      </c>
      <c r="G8" s="11"/>
    </row>
    <row r="9" customFormat="false" ht="15" hidden="false" customHeight="false" outlineLevel="0" collapsed="false">
      <c r="A9" s="12" t="s">
        <v>64</v>
      </c>
      <c r="B9" s="12" t="s">
        <v>13</v>
      </c>
      <c r="C9" s="16" t="n">
        <f aca="false">Estructura_Edad!N2</f>
        <v>103.58238596565</v>
      </c>
      <c r="D9" s="16" t="n">
        <f aca="false">Estructura_Edad!N15</f>
        <v>108.703431503245</v>
      </c>
      <c r="E9" s="17" t="n">
        <f aca="false">D9-C9</f>
        <v>5.12104553759512</v>
      </c>
      <c r="G9" s="11"/>
    </row>
    <row r="10" customFormat="false" ht="15" hidden="false" customHeight="false" outlineLevel="0" collapsed="false">
      <c r="A10" s="12" t="s">
        <v>65</v>
      </c>
      <c r="B10" s="12" t="s">
        <v>13</v>
      </c>
      <c r="C10" s="13" t="n">
        <f aca="false">Edad_Extranjeros!B2</f>
        <v>7437543</v>
      </c>
      <c r="D10" s="13" t="n">
        <f aca="false">Edad_Extranjeros!O2</f>
        <v>1229486</v>
      </c>
      <c r="G10" s="11"/>
    </row>
    <row r="11" customFormat="false" ht="15" hidden="false" customHeight="false" outlineLevel="0" collapsed="false">
      <c r="A11" s="12" t="s">
        <v>66</v>
      </c>
      <c r="B11" s="12" t="s">
        <v>13</v>
      </c>
      <c r="C11" s="16" t="n">
        <f aca="false">Estructura_Edad!L2</f>
        <v>14.9343577778358</v>
      </c>
      <c r="D11" s="16" t="n">
        <f aca="false">Estructura_Edad!L15</f>
        <v>17.0725096277831</v>
      </c>
      <c r="E11" s="17" t="n">
        <f aca="false">D11-C11</f>
        <v>2.13815184994728</v>
      </c>
      <c r="G11" s="11"/>
    </row>
    <row r="12" customFormat="false" ht="15" hidden="false" customHeight="false" outlineLevel="0" collapsed="false">
      <c r="A12" s="12" t="s">
        <v>67</v>
      </c>
      <c r="B12" s="12" t="s">
        <v>13</v>
      </c>
      <c r="C12" s="16" t="n">
        <f aca="false">Estructura_Edad!C2</f>
        <v>12.3892567298947</v>
      </c>
      <c r="D12" s="16" t="n">
        <f aca="false">Estructura_Edad!C15</f>
        <v>12.7050356075925</v>
      </c>
      <c r="E12" s="17" t="n">
        <f aca="false">D12-C12</f>
        <v>0.315778877697731</v>
      </c>
      <c r="G12" s="11"/>
    </row>
    <row r="13" customFormat="false" ht="15" hidden="false" customHeight="false" outlineLevel="0" collapsed="false">
      <c r="A13" s="12" t="s">
        <v>68</v>
      </c>
      <c r="B13" s="12" t="s">
        <v>13</v>
      </c>
      <c r="C13" s="16" t="n">
        <f aca="false">Estructura_Edad!D2</f>
        <v>66.4042625653546</v>
      </c>
      <c r="D13" s="16" t="n">
        <f aca="false">Estructura_Edad!D15</f>
        <v>67.9216874580125</v>
      </c>
      <c r="E13" s="17" t="n">
        <f aca="false">D13-C13</f>
        <v>1.51742489265791</v>
      </c>
      <c r="G13" s="11"/>
    </row>
    <row r="14" customFormat="false" ht="15" hidden="false" customHeight="false" outlineLevel="0" collapsed="false">
      <c r="A14" s="12" t="s">
        <v>69</v>
      </c>
      <c r="B14" s="12" t="s">
        <v>13</v>
      </c>
      <c r="C14" s="16" t="n">
        <f aca="false">Estructura_Edad!E2</f>
        <v>21.2064807047506</v>
      </c>
      <c r="D14" s="16" t="n">
        <f aca="false">Estructura_Edad!E15</f>
        <v>19.373276934395</v>
      </c>
      <c r="E14" s="17" t="n">
        <f aca="false">D14-C14</f>
        <v>-1.83320377035563</v>
      </c>
      <c r="G14" s="11"/>
    </row>
    <row r="15" customFormat="false" ht="15" hidden="false" customHeight="false" outlineLevel="0" collapsed="false">
      <c r="A15" s="12" t="s">
        <v>70</v>
      </c>
      <c r="B15" s="12" t="s">
        <v>13</v>
      </c>
      <c r="C15" s="16" t="n">
        <f aca="false">Estructura_Edad!F2</f>
        <v>6.3486566755872</v>
      </c>
      <c r="D15" s="16" t="n">
        <f aca="false">Estructura_Edad!F15</f>
        <v>5.98679118423607</v>
      </c>
      <c r="E15" s="17" t="n">
        <f aca="false">D15-C15</f>
        <v>-0.361865491351135</v>
      </c>
      <c r="G15" s="11"/>
    </row>
    <row r="16" customFormat="false" ht="15" hidden="false" customHeight="false" outlineLevel="0" collapsed="false">
      <c r="A16" s="12" t="s">
        <v>71</v>
      </c>
      <c r="B16" s="12" t="s">
        <v>13</v>
      </c>
      <c r="C16" s="16" t="n">
        <f aca="false">Estructura_Edad!G2</f>
        <v>171.168304661734</v>
      </c>
      <c r="D16" s="16" t="n">
        <f aca="false">Estructura_Edad!G15</f>
        <v>152.485026667832</v>
      </c>
      <c r="E16" s="17" t="n">
        <f aca="false">D16-C16</f>
        <v>-18.6832779939016</v>
      </c>
      <c r="G16" s="11" t="s">
        <v>72</v>
      </c>
    </row>
    <row r="17" customFormat="false" ht="15" hidden="false" customHeight="false" outlineLevel="0" collapsed="false">
      <c r="A17" s="12" t="s">
        <v>73</v>
      </c>
      <c r="B17" s="12" t="s">
        <v>13</v>
      </c>
      <c r="C17" s="16" t="n">
        <f aca="false">Estructura_Edad!H2</f>
        <v>50.5927422981027</v>
      </c>
      <c r="D17" s="16" t="n">
        <f aca="false">Estructura_Edad!H15</f>
        <v>47.228379833492</v>
      </c>
      <c r="E17" s="17" t="n">
        <f aca="false">D17-C17</f>
        <v>-3.36436246461072</v>
      </c>
      <c r="G17" s="11"/>
    </row>
    <row r="18" customFormat="false" ht="15" hidden="false" customHeight="false" outlineLevel="0" collapsed="false">
      <c r="A18" s="12" t="s">
        <v>74</v>
      </c>
      <c r="B18" s="12" t="s">
        <v>75</v>
      </c>
      <c r="C18" s="16" t="n">
        <f aca="false">Indicadores_Demograficos!F2</f>
        <v>45.83</v>
      </c>
      <c r="D18" s="16" t="n">
        <f aca="false">Indicadores_Demograficos!F15</f>
        <v>44.22</v>
      </c>
      <c r="E18" s="17" t="n">
        <f aca="false">D18-C18</f>
        <v>-1.61</v>
      </c>
      <c r="G18" s="11" t="s">
        <v>76</v>
      </c>
    </row>
    <row r="19" customFormat="false" ht="15" hidden="false" customHeight="false" outlineLevel="0" collapsed="false">
      <c r="A19" s="12" t="s">
        <v>77</v>
      </c>
      <c r="B19" s="12" t="s">
        <v>75</v>
      </c>
      <c r="C19" s="16" t="n">
        <f aca="false">Indicadores_Demograficos!I2</f>
        <v>44.55</v>
      </c>
      <c r="D19" s="16" t="n">
        <f aca="false">Indicadores_Demograficos!I15</f>
        <v>43.42</v>
      </c>
      <c r="E19" s="17" t="n">
        <f aca="false">D19-C19</f>
        <v>-1.13</v>
      </c>
      <c r="G19" s="11"/>
    </row>
    <row r="20" customFormat="false" ht="15" hidden="false" customHeight="false" outlineLevel="0" collapsed="false">
      <c r="A20" s="12" t="s">
        <v>78</v>
      </c>
      <c r="B20" s="12" t="s">
        <v>79</v>
      </c>
      <c r="C20" s="16" t="n">
        <f aca="false">Indicadores_Demograficos!B2</f>
        <v>84.01</v>
      </c>
      <c r="D20" s="16" t="n">
        <f aca="false">Indicadores_Demograficos!B15</f>
        <v>85.58</v>
      </c>
      <c r="E20" s="17" t="n">
        <f aca="false">D20-C20</f>
        <v>1.56999999999999</v>
      </c>
      <c r="G20" s="11"/>
    </row>
    <row r="21" customFormat="false" ht="15" hidden="false" customHeight="false" outlineLevel="0" collapsed="false">
      <c r="A21" s="12" t="s">
        <v>80</v>
      </c>
      <c r="B21" s="12" t="s">
        <v>79</v>
      </c>
      <c r="C21" s="15" t="n">
        <f aca="false">Indicadores_Demograficos!P2</f>
        <v>1.1</v>
      </c>
      <c r="D21" s="15" t="n">
        <f aca="false">Indicadores_Demograficos!P15</f>
        <v>1.09</v>
      </c>
      <c r="E21" s="18" t="n">
        <f aca="false">D21-C21</f>
        <v>-0.01</v>
      </c>
      <c r="G21" s="11"/>
    </row>
    <row r="22" customFormat="false" ht="15" hidden="false" customHeight="false" outlineLevel="0" collapsed="false">
      <c r="A22" s="12" t="s">
        <v>81</v>
      </c>
      <c r="B22" s="12" t="s">
        <v>79</v>
      </c>
      <c r="C22" s="16" t="n">
        <f aca="false">Indicadores_Demograficos!N2</f>
        <v>6.49</v>
      </c>
      <c r="D22" s="16" t="n">
        <f aca="false">Indicadores_Demograficos!N15</f>
        <v>7.19</v>
      </c>
      <c r="E22" s="17" t="n">
        <f aca="false">D22-C22</f>
        <v>0.7</v>
      </c>
      <c r="G22" s="11"/>
    </row>
    <row r="23" customFormat="false" ht="15" hidden="false" customHeight="false" outlineLevel="0" collapsed="false">
      <c r="A23" s="12" t="s">
        <v>82</v>
      </c>
      <c r="B23" s="12" t="s">
        <v>79</v>
      </c>
      <c r="C23" s="16" t="n">
        <f aca="false">Indicadores_Demograficos!O2</f>
        <v>8.87</v>
      </c>
      <c r="D23" s="16" t="n">
        <f aca="false">Indicadores_Demograficos!O15</f>
        <v>7</v>
      </c>
      <c r="E23" s="17" t="n">
        <f aca="false">D23-C23</f>
        <v>-1.87</v>
      </c>
      <c r="G23" s="11"/>
    </row>
    <row r="24" customFormat="false" ht="15" hidden="false" customHeight="false" outlineLevel="0" collapsed="false">
      <c r="A24" s="12" t="s">
        <v>83</v>
      </c>
      <c r="B24" s="12" t="s">
        <v>79</v>
      </c>
      <c r="C24" s="16" t="n">
        <f aca="false">Indicadores_Demograficos!M2</f>
        <v>-2.37</v>
      </c>
      <c r="D24" s="16" t="n">
        <f aca="false">Indicadores_Demograficos!M15</f>
        <v>0.19</v>
      </c>
      <c r="E24" s="17" t="n">
        <f aca="false">D24-C24</f>
        <v>2.56</v>
      </c>
      <c r="G24" s="11" t="s">
        <v>84</v>
      </c>
    </row>
    <row r="25" customFormat="false" ht="15" hidden="false" customHeight="false" outlineLevel="0" collapsed="false">
      <c r="A25" s="12" t="s">
        <v>85</v>
      </c>
      <c r="B25" s="12" t="s">
        <v>13</v>
      </c>
      <c r="C25" s="15" t="n">
        <f aca="false">Pob_CCAA_1jul2026!K2</f>
        <v>2.49</v>
      </c>
      <c r="D25" s="15" t="n">
        <f aca="false">Pob_CCAA_1jul2026!K15</f>
        <v>2.58</v>
      </c>
      <c r="E25" s="18" t="n">
        <f aca="false">D25-C25</f>
        <v>0.0899999999999999</v>
      </c>
      <c r="G25" s="11"/>
    </row>
    <row r="26" customFormat="false" ht="15" hidden="false" customHeight="false" outlineLevel="0" collapsed="false">
      <c r="A26" s="12" t="s">
        <v>86</v>
      </c>
      <c r="B26" s="12" t="s">
        <v>13</v>
      </c>
      <c r="C26" s="13" t="n">
        <f aca="false">Pob_CCAA_1jul2026!L2</f>
        <v>20000626.1044177</v>
      </c>
      <c r="D26" s="13" t="n">
        <f aca="false">Pob_CCAA_1jul2026!L15</f>
        <v>2791300</v>
      </c>
      <c r="G26" s="11" t="s">
        <v>87</v>
      </c>
    </row>
    <row r="27" customFormat="false" ht="15" hidden="false" customHeight="false" outlineLevel="0" collapsed="false">
      <c r="A27" s="12" t="s">
        <v>88</v>
      </c>
      <c r="B27" s="12" t="s">
        <v>89</v>
      </c>
      <c r="C27" s="16" t="n">
        <f aca="false">(Trimestral_2021_2026!B24/Trimestral_2021_2026!B4-1)*100</f>
        <v>5.18455552130241</v>
      </c>
      <c r="D27" s="16" t="n">
        <f aca="false">(Trimestral_2021_2026!G24/Trimestral_2021_2026!G4-1)*100</f>
        <v>7.20318420023138</v>
      </c>
      <c r="E27" s="17" t="n">
        <f aca="false">D27-C27</f>
        <v>2.01862867892897</v>
      </c>
      <c r="G27" s="11"/>
    </row>
    <row r="28" customFormat="false" ht="15" hidden="false" customHeight="false" outlineLevel="0" collapsed="false">
      <c r="A28" s="12" t="s">
        <v>90</v>
      </c>
      <c r="B28" s="12" t="s">
        <v>91</v>
      </c>
      <c r="C28" s="15" t="n">
        <f aca="false">(Trimestral_2021_2026!B24/Trimestral_2021_2026!B20-1)*100</f>
        <v>0.899977336710545</v>
      </c>
      <c r="D28" s="15" t="n">
        <f aca="false">(Trimestral_2021_2026!G24/Trimestral_2021_2026!G20-1)*100</f>
        <v>0.753332396902606</v>
      </c>
      <c r="E28" s="18" t="n">
        <f aca="false">D28-C28</f>
        <v>-0.146644939807938</v>
      </c>
      <c r="G28" s="11"/>
    </row>
    <row r="29" customFormat="false" ht="15" hidden="false" customHeight="false" outlineLevel="0" collapsed="false">
      <c r="A29" s="12" t="s">
        <v>92</v>
      </c>
      <c r="B29" s="12" t="s">
        <v>93</v>
      </c>
      <c r="C29" s="16" t="n">
        <f aca="false">(Historico_1971_2026!B57/Historico_1971_2026!B2-1)*100</f>
        <v>45.6975341416886</v>
      </c>
      <c r="D29" s="16" t="n">
        <f aca="false">(Historico_1971_2026!F57/Historico_1971_2026!F2-1)*100</f>
        <v>90.5946848446822</v>
      </c>
      <c r="E29" s="17" t="n">
        <f aca="false">D29-C29</f>
        <v>44.8971507029936</v>
      </c>
      <c r="G29" s="11"/>
    </row>
    <row r="30" customFormat="false" ht="15" hidden="false" customHeight="false" outlineLevel="0" collapsed="false">
      <c r="A30" s="12" t="s">
        <v>94</v>
      </c>
      <c r="B30" s="12" t="s">
        <v>95</v>
      </c>
      <c r="C30" s="16" t="n">
        <f aca="false">Proyecciones_INE!B7</f>
        <v>8.6</v>
      </c>
      <c r="D30" s="16" t="n">
        <f aca="false">Proyecciones_INE!B13</f>
        <v>14.4</v>
      </c>
      <c r="E30" s="17" t="n">
        <f aca="false">D30-C30</f>
        <v>5.8</v>
      </c>
      <c r="G30" s="1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5"/>
  </cols>
  <sheetData>
    <row r="1" customFormat="false" ht="57.75" hidden="false" customHeight="true" outlineLevel="0" collapsed="false">
      <c r="A1" s="4" t="s">
        <v>97</v>
      </c>
      <c r="B1" s="4" t="s">
        <v>59</v>
      </c>
      <c r="C1" s="4" t="s">
        <v>62</v>
      </c>
      <c r="D1" s="4" t="s">
        <v>63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86</v>
      </c>
      <c r="M1" s="4" t="s">
        <v>105</v>
      </c>
    </row>
    <row r="2" customFormat="false" ht="15" hidden="false" customHeight="false" outlineLevel="0" collapsed="false">
      <c r="A2" s="2" t="s">
        <v>54</v>
      </c>
      <c r="B2" s="13" t="n">
        <f aca="false">Edad_Total!B2</f>
        <v>49801559</v>
      </c>
      <c r="C2" s="13" t="n">
        <f aca="false">Edad_Hombres!B2</f>
        <v>24462607</v>
      </c>
      <c r="D2" s="13" t="n">
        <f aca="false">Edad_Mujeres!B2</f>
        <v>25338952</v>
      </c>
      <c r="E2" s="19" t="n">
        <f aca="false">B2-F2</f>
        <v>42364016</v>
      </c>
      <c r="F2" s="13" t="n">
        <f aca="false">Edad_Extranjeros!B2</f>
        <v>7437543</v>
      </c>
      <c r="G2" s="18" t="n">
        <f aca="false">B2/B$2*100</f>
        <v>100</v>
      </c>
      <c r="H2" s="17" t="n">
        <f aca="false">D2/B2*100</f>
        <v>50.8798369143424</v>
      </c>
      <c r="I2" s="17" t="n">
        <f aca="false">F2/B2*100</f>
        <v>14.9343577778358</v>
      </c>
      <c r="J2" s="17" t="n">
        <f aca="false">C2/D2*100</f>
        <v>96.5415104776235</v>
      </c>
      <c r="K2" s="20" t="n">
        <v>2.49</v>
      </c>
      <c r="L2" s="21" t="n">
        <f aca="false">B2/K2</f>
        <v>20000626.1044177</v>
      </c>
    </row>
    <row r="3" customFormat="false" ht="15" hidden="false" customHeight="false" outlineLevel="0" collapsed="false">
      <c r="A3" s="12" t="s">
        <v>106</v>
      </c>
      <c r="B3" s="13" t="n">
        <f aca="false">Edad_Total!C2</f>
        <v>8778051</v>
      </c>
      <c r="C3" s="13" t="n">
        <f aca="false">Edad_Hombres!C2</f>
        <v>4325544</v>
      </c>
      <c r="D3" s="13" t="n">
        <f aca="false">Edad_Mujeres!C2</f>
        <v>4452507</v>
      </c>
      <c r="E3" s="19" t="n">
        <f aca="false">B3-F3</f>
        <v>7791129</v>
      </c>
      <c r="F3" s="13" t="n">
        <f aca="false">Edad_Extranjeros!C2</f>
        <v>986922</v>
      </c>
      <c r="G3" s="18" t="n">
        <f aca="false">B3/B$2*100</f>
        <v>17.6260566461383</v>
      </c>
      <c r="H3" s="17" t="n">
        <f aca="false">D3/B3*100</f>
        <v>50.723184451765</v>
      </c>
      <c r="I3" s="17" t="n">
        <f aca="false">F3/B3*100</f>
        <v>11.2430652316784</v>
      </c>
      <c r="J3" s="17" t="n">
        <f aca="false">C3/D3*100</f>
        <v>97.1485053252022</v>
      </c>
      <c r="K3" s="20" t="n">
        <v>2.52</v>
      </c>
      <c r="L3" s="21" t="n">
        <f aca="false">B3/K3</f>
        <v>3483353.57142857</v>
      </c>
      <c r="M3" s="22" t="n">
        <f aca="false">RANK(B3,B$3:B$21,0)</f>
        <v>1</v>
      </c>
    </row>
    <row r="4" customFormat="false" ht="15" hidden="false" customHeight="false" outlineLevel="0" collapsed="false">
      <c r="A4" s="12" t="s">
        <v>107</v>
      </c>
      <c r="B4" s="13" t="n">
        <f aca="false">Edad_Total!D2</f>
        <v>1389298</v>
      </c>
      <c r="C4" s="13" t="n">
        <f aca="false">Edad_Hombres!D2</f>
        <v>692004</v>
      </c>
      <c r="D4" s="13" t="n">
        <f aca="false">Edad_Mujeres!D2</f>
        <v>697294</v>
      </c>
      <c r="E4" s="19" t="n">
        <f aca="false">B4-F4</f>
        <v>1165714</v>
      </c>
      <c r="F4" s="13" t="n">
        <f aca="false">Edad_Extranjeros!D2</f>
        <v>223584</v>
      </c>
      <c r="G4" s="18" t="n">
        <f aca="false">B4/B$2*100</f>
        <v>2.78966768891713</v>
      </c>
      <c r="H4" s="17" t="n">
        <f aca="false">D4/B4*100</f>
        <v>50.1903839205124</v>
      </c>
      <c r="I4" s="17" t="n">
        <f aca="false">F4/B4*100</f>
        <v>16.0933075553265</v>
      </c>
      <c r="J4" s="17" t="n">
        <f aca="false">C4/D4*100</f>
        <v>99.2413530017468</v>
      </c>
      <c r="K4" s="20" t="n">
        <v>2.37</v>
      </c>
      <c r="L4" s="21" t="n">
        <f aca="false">B4/K4</f>
        <v>586201.687763713</v>
      </c>
      <c r="M4" s="22" t="n">
        <f aca="false">RANK(B4,B$3:B$21,0)</f>
        <v>11</v>
      </c>
    </row>
    <row r="5" customFormat="false" ht="15" hidden="false" customHeight="false" outlineLevel="0" collapsed="false">
      <c r="A5" s="12" t="s">
        <v>108</v>
      </c>
      <c r="B5" s="13" t="n">
        <f aca="false">Edad_Total!E2</f>
        <v>1026726</v>
      </c>
      <c r="C5" s="13" t="n">
        <f aca="false">Edad_Hombres!E2</f>
        <v>490857</v>
      </c>
      <c r="D5" s="13" t="n">
        <f aca="false">Edad_Mujeres!E2</f>
        <v>535869</v>
      </c>
      <c r="E5" s="19" t="n">
        <f aca="false">B5-F5</f>
        <v>942639</v>
      </c>
      <c r="F5" s="13" t="n">
        <f aca="false">Edad_Extranjeros!E2</f>
        <v>84087</v>
      </c>
      <c r="G5" s="18" t="n">
        <f aca="false">B5/B$2*100</f>
        <v>2.06163425526498</v>
      </c>
      <c r="H5" s="17" t="n">
        <f aca="false">D5/B5*100</f>
        <v>52.1920161756886</v>
      </c>
      <c r="I5" s="17" t="n">
        <f aca="false">F5/B5*100</f>
        <v>8.18981890007655</v>
      </c>
      <c r="J5" s="17" t="n">
        <f aca="false">C5/D5*100</f>
        <v>91.6001858663218</v>
      </c>
      <c r="K5" s="20" t="n">
        <v>2.2</v>
      </c>
      <c r="L5" s="21" t="n">
        <f aca="false">B5/K5</f>
        <v>466693.636363636</v>
      </c>
      <c r="M5" s="22" t="n">
        <f aca="false">RANK(B5,B$3:B$21,0)</f>
        <v>14</v>
      </c>
    </row>
    <row r="6" customFormat="false" ht="15" hidden="false" customHeight="false" outlineLevel="0" collapsed="false">
      <c r="A6" s="12" t="s">
        <v>109</v>
      </c>
      <c r="B6" s="13" t="n">
        <f aca="false">Edad_Total!F2</f>
        <v>1266279</v>
      </c>
      <c r="C6" s="13" t="n">
        <f aca="false">Edad_Hombres!F2</f>
        <v>630803</v>
      </c>
      <c r="D6" s="13" t="n">
        <f aca="false">Edad_Mujeres!F2</f>
        <v>635476</v>
      </c>
      <c r="E6" s="19" t="n">
        <f aca="false">B6-F6</f>
        <v>986864</v>
      </c>
      <c r="F6" s="13" t="n">
        <f aca="false">Edad_Extranjeros!F2</f>
        <v>279415</v>
      </c>
      <c r="G6" s="18" t="n">
        <f aca="false">B6/B$2*100</f>
        <v>2.54264931746414</v>
      </c>
      <c r="H6" s="17" t="n">
        <f aca="false">D6/B6*100</f>
        <v>50.1845169982287</v>
      </c>
      <c r="I6" s="17" t="n">
        <f aca="false">F6/B6*100</f>
        <v>22.0658322533976</v>
      </c>
      <c r="J6" s="17" t="n">
        <f aca="false">C6/D6*100</f>
        <v>99.2646457143936</v>
      </c>
      <c r="K6" s="20" t="n">
        <v>2.65</v>
      </c>
      <c r="L6" s="21" t="n">
        <f aca="false">B6/K6</f>
        <v>477841.132075472</v>
      </c>
      <c r="M6" s="22" t="n">
        <f aca="false">RANK(B6,B$3:B$21,0)</f>
        <v>12</v>
      </c>
    </row>
    <row r="7" customFormat="false" ht="15" hidden="false" customHeight="false" outlineLevel="0" collapsed="false">
      <c r="A7" s="12" t="s">
        <v>110</v>
      </c>
      <c r="B7" s="13" t="n">
        <f aca="false">Edad_Total!G2</f>
        <v>2277705</v>
      </c>
      <c r="C7" s="13" t="n">
        <f aca="false">Edad_Hombres!G2</f>
        <v>1123287</v>
      </c>
      <c r="D7" s="13" t="n">
        <f aca="false">Edad_Mujeres!G2</f>
        <v>1154418</v>
      </c>
      <c r="E7" s="19" t="n">
        <f aca="false">B7-F7</f>
        <v>1928015</v>
      </c>
      <c r="F7" s="13" t="n">
        <f aca="false">Edad_Extranjeros!G2</f>
        <v>349690</v>
      </c>
      <c r="G7" s="18" t="n">
        <f aca="false">B7/B$2*100</f>
        <v>4.57356164291965</v>
      </c>
      <c r="H7" s="17" t="n">
        <f aca="false">D7/B7*100</f>
        <v>50.6833852496263</v>
      </c>
      <c r="I7" s="17" t="n">
        <f aca="false">F7/B7*100</f>
        <v>15.3527344410273</v>
      </c>
      <c r="J7" s="17" t="n">
        <f aca="false">C7/D7*100</f>
        <v>97.3033164763543</v>
      </c>
      <c r="K7" s="20" t="n">
        <v>2.6</v>
      </c>
      <c r="L7" s="21" t="n">
        <f aca="false">B7/K7</f>
        <v>876040.384615385</v>
      </c>
      <c r="M7" s="22" t="n">
        <f aca="false">RANK(B7,B$3:B$21,0)</f>
        <v>7</v>
      </c>
    </row>
    <row r="8" customFormat="false" ht="15" hidden="false" customHeight="false" outlineLevel="0" collapsed="false">
      <c r="A8" s="12" t="s">
        <v>111</v>
      </c>
      <c r="B8" s="13" t="n">
        <f aca="false">Edad_Total!H2</f>
        <v>599056</v>
      </c>
      <c r="C8" s="13" t="n">
        <f aca="false">Edad_Hombres!H2</f>
        <v>290615</v>
      </c>
      <c r="D8" s="13" t="n">
        <f aca="false">Edad_Mujeres!H2</f>
        <v>308441</v>
      </c>
      <c r="E8" s="19" t="n">
        <f aca="false">B8-F8</f>
        <v>545567</v>
      </c>
      <c r="F8" s="13" t="n">
        <f aca="false">Edad_Extranjeros!H2</f>
        <v>53489</v>
      </c>
      <c r="G8" s="18" t="n">
        <f aca="false">B8/B$2*100</f>
        <v>1.20288603816599</v>
      </c>
      <c r="H8" s="17" t="n">
        <f aca="false">D8/B8*100</f>
        <v>51.4878408696349</v>
      </c>
      <c r="I8" s="17" t="n">
        <f aca="false">F8/B8*100</f>
        <v>8.92888144013248</v>
      </c>
      <c r="J8" s="17" t="n">
        <f aca="false">C8/D8*100</f>
        <v>94.2206126941619</v>
      </c>
      <c r="K8" s="20" t="n">
        <v>2.36</v>
      </c>
      <c r="L8" s="21" t="n">
        <f aca="false">B8/K8</f>
        <v>253837.288135593</v>
      </c>
      <c r="M8" s="22" t="n">
        <f aca="false">RANK(B8,B$3:B$21,0)</f>
        <v>16</v>
      </c>
    </row>
    <row r="9" customFormat="false" ht="15" hidden="false" customHeight="false" outlineLevel="0" collapsed="false">
      <c r="A9" s="12" t="s">
        <v>112</v>
      </c>
      <c r="B9" s="13" t="n">
        <f aca="false">Edad_Total!I2</f>
        <v>2427156</v>
      </c>
      <c r="C9" s="13" t="n">
        <f aca="false">Edad_Hombres!I2</f>
        <v>1197212</v>
      </c>
      <c r="D9" s="13" t="n">
        <f aca="false">Edad_Mujeres!I2</f>
        <v>1229944</v>
      </c>
      <c r="E9" s="19" t="n">
        <f aca="false">B9-F9</f>
        <v>2192341</v>
      </c>
      <c r="F9" s="13" t="n">
        <f aca="false">Edad_Extranjeros!I2</f>
        <v>234815</v>
      </c>
      <c r="G9" s="18" t="n">
        <f aca="false">B9/B$2*100</f>
        <v>4.87365465808008</v>
      </c>
      <c r="H9" s="17" t="n">
        <f aca="false">D9/B9*100</f>
        <v>50.6742871080392</v>
      </c>
      <c r="I9" s="17" t="n">
        <f aca="false">F9/B9*100</f>
        <v>9.67449146243587</v>
      </c>
      <c r="J9" s="17" t="n">
        <f aca="false">C9/D9*100</f>
        <v>97.3387406255895</v>
      </c>
      <c r="K9" s="20" t="n">
        <v>2.23</v>
      </c>
      <c r="L9" s="21" t="n">
        <f aca="false">B9/K9</f>
        <v>1088410.76233184</v>
      </c>
      <c r="M9" s="22" t="n">
        <f aca="false">RANK(B9,B$3:B$21,0)</f>
        <v>6</v>
      </c>
    </row>
    <row r="10" customFormat="false" ht="15" hidden="false" customHeight="false" outlineLevel="0" collapsed="false">
      <c r="A10" s="12" t="s">
        <v>113</v>
      </c>
      <c r="B10" s="13" t="n">
        <f aca="false">Edad_Total!J2</f>
        <v>2169241</v>
      </c>
      <c r="C10" s="13" t="n">
        <f aca="false">Edad_Hombres!J2</f>
        <v>1091733</v>
      </c>
      <c r="D10" s="13" t="n">
        <f aca="false">Edad_Mujeres!J2</f>
        <v>1077508</v>
      </c>
      <c r="E10" s="19" t="n">
        <f aca="false">B10-F10</f>
        <v>1883124</v>
      </c>
      <c r="F10" s="13" t="n">
        <f aca="false">Edad_Extranjeros!J2</f>
        <v>286117</v>
      </c>
      <c r="G10" s="18" t="n">
        <f aca="false">B10/B$2*100</f>
        <v>4.35576926417103</v>
      </c>
      <c r="H10" s="17" t="n">
        <f aca="false">D10/B10*100</f>
        <v>49.672120340709</v>
      </c>
      <c r="I10" s="17" t="n">
        <f aca="false">F10/B10*100</f>
        <v>13.1897285732659</v>
      </c>
      <c r="J10" s="17" t="n">
        <f aca="false">C10/D10*100</f>
        <v>101.32017581308</v>
      </c>
      <c r="K10" s="20" t="n">
        <v>2.5</v>
      </c>
      <c r="L10" s="21" t="n">
        <f aca="false">B10/K10</f>
        <v>867696.4</v>
      </c>
      <c r="M10" s="22" t="n">
        <f aca="false">RANK(B10,B$3:B$21,0)</f>
        <v>9</v>
      </c>
    </row>
    <row r="11" customFormat="false" ht="15" hidden="false" customHeight="false" outlineLevel="0" collapsed="false">
      <c r="A11" s="12" t="s">
        <v>114</v>
      </c>
      <c r="B11" s="13" t="n">
        <f aca="false">Edad_Total!K2</f>
        <v>8233788</v>
      </c>
      <c r="C11" s="13" t="n">
        <f aca="false">Edad_Hombres!K2</f>
        <v>4075424</v>
      </c>
      <c r="D11" s="13" t="n">
        <f aca="false">Edad_Mujeres!K2</f>
        <v>4158364</v>
      </c>
      <c r="E11" s="19" t="n">
        <f aca="false">B11-F11</f>
        <v>6635388</v>
      </c>
      <c r="F11" s="13" t="n">
        <f aca="false">Edad_Extranjeros!K2</f>
        <v>1598400</v>
      </c>
      <c r="G11" s="18" t="n">
        <f aca="false">B11/B$2*100</f>
        <v>16.5331932681063</v>
      </c>
      <c r="H11" s="17" t="n">
        <f aca="false">D11/B11*100</f>
        <v>50.5036563972743</v>
      </c>
      <c r="I11" s="17" t="n">
        <f aca="false">F11/B11*100</f>
        <v>19.4126931613979</v>
      </c>
      <c r="J11" s="17" t="n">
        <f aca="false">C11/D11*100</f>
        <v>98.0054656109951</v>
      </c>
      <c r="K11" s="20" t="n">
        <v>2.54</v>
      </c>
      <c r="L11" s="21" t="n">
        <f aca="false">B11/K11</f>
        <v>3241648.81889764</v>
      </c>
      <c r="M11" s="22" t="n">
        <f aca="false">RANK(B11,B$3:B$21,0)</f>
        <v>2</v>
      </c>
    </row>
    <row r="12" customFormat="false" ht="15" hidden="false" customHeight="false" outlineLevel="0" collapsed="false">
      <c r="A12" s="12" t="s">
        <v>115</v>
      </c>
      <c r="B12" s="13" t="n">
        <f aca="false">Edad_Total!L2</f>
        <v>5574948</v>
      </c>
      <c r="C12" s="13" t="n">
        <f aca="false">Edad_Hombres!L2</f>
        <v>2751166</v>
      </c>
      <c r="D12" s="13" t="n">
        <f aca="false">Edad_Mujeres!L2</f>
        <v>2823782</v>
      </c>
      <c r="E12" s="19" t="n">
        <f aca="false">B12-F12</f>
        <v>4401133</v>
      </c>
      <c r="F12" s="13" t="n">
        <f aca="false">Edad_Extranjeros!L2</f>
        <v>1173815</v>
      </c>
      <c r="G12" s="18" t="n">
        <f aca="false">B12/B$2*100</f>
        <v>11.1943242580016</v>
      </c>
      <c r="H12" s="17" t="n">
        <f aca="false">D12/B12*100</f>
        <v>50.6512706486231</v>
      </c>
      <c r="I12" s="17" t="n">
        <f aca="false">F12/B12*100</f>
        <v>21.0551739675419</v>
      </c>
      <c r="J12" s="17" t="n">
        <f aca="false">C12/D12*100</f>
        <v>97.4284133831861</v>
      </c>
      <c r="K12" s="20" t="n">
        <v>2.48</v>
      </c>
      <c r="L12" s="21" t="n">
        <f aca="false">B12/K12</f>
        <v>2247962.90322581</v>
      </c>
      <c r="M12" s="22" t="n">
        <f aca="false">RANK(B12,B$3:B$21,0)</f>
        <v>4</v>
      </c>
    </row>
    <row r="13" customFormat="false" ht="15" hidden="false" customHeight="false" outlineLevel="0" collapsed="false">
      <c r="A13" s="12" t="s">
        <v>116</v>
      </c>
      <c r="B13" s="13" t="n">
        <f aca="false">Edad_Total!M2</f>
        <v>1055849</v>
      </c>
      <c r="C13" s="13" t="n">
        <f aca="false">Edad_Hombres!M2</f>
        <v>521897</v>
      </c>
      <c r="D13" s="13" t="n">
        <f aca="false">Edad_Mujeres!M2</f>
        <v>533952</v>
      </c>
      <c r="E13" s="19" t="n">
        <f aca="false">B13-F13</f>
        <v>1001861</v>
      </c>
      <c r="F13" s="13" t="n">
        <f aca="false">Edad_Extranjeros!M2</f>
        <v>53988</v>
      </c>
      <c r="G13" s="18" t="n">
        <f aca="false">B13/B$2*100</f>
        <v>2.1201123442742</v>
      </c>
      <c r="H13" s="17" t="n">
        <f aca="false">D13/B13*100</f>
        <v>50.5708676145926</v>
      </c>
      <c r="I13" s="17" t="n">
        <f aca="false">F13/B13*100</f>
        <v>5.11323115331833</v>
      </c>
      <c r="J13" s="17" t="n">
        <f aca="false">C13/D13*100</f>
        <v>97.7423064245475</v>
      </c>
      <c r="K13" s="20" t="n">
        <v>2.33</v>
      </c>
      <c r="L13" s="21" t="n">
        <f aca="false">B13/K13</f>
        <v>453154.077253219</v>
      </c>
      <c r="M13" s="22" t="n">
        <f aca="false">RANK(B13,B$3:B$21,0)</f>
        <v>13</v>
      </c>
    </row>
    <row r="14" customFormat="false" ht="15" hidden="false" customHeight="false" outlineLevel="0" collapsed="false">
      <c r="A14" s="12" t="s">
        <v>117</v>
      </c>
      <c r="B14" s="13" t="n">
        <f aca="false">Edad_Total!N2</f>
        <v>2734494</v>
      </c>
      <c r="C14" s="13" t="n">
        <f aca="false">Edad_Hombres!N2</f>
        <v>1318709</v>
      </c>
      <c r="D14" s="13" t="n">
        <f aca="false">Edad_Mujeres!N2</f>
        <v>1415785</v>
      </c>
      <c r="E14" s="19" t="n">
        <f aca="false">B14-F14</f>
        <v>2531258</v>
      </c>
      <c r="F14" s="13" t="n">
        <f aca="false">Edad_Extranjeros!N2</f>
        <v>203236</v>
      </c>
      <c r="G14" s="18" t="n">
        <f aca="false">B14/B$2*100</f>
        <v>5.49077991715079</v>
      </c>
      <c r="H14" s="17" t="n">
        <f aca="false">D14/B14*100</f>
        <v>51.7750267508358</v>
      </c>
      <c r="I14" s="17" t="n">
        <f aca="false">F14/B14*100</f>
        <v>7.43230740312467</v>
      </c>
      <c r="J14" s="17" t="n">
        <f aca="false">C14/D14*100</f>
        <v>93.1433091888952</v>
      </c>
      <c r="K14" s="20" t="n">
        <v>2.38</v>
      </c>
      <c r="L14" s="21" t="n">
        <f aca="false">B14/K14</f>
        <v>1148947.05882353</v>
      </c>
      <c r="M14" s="22" t="n">
        <f aca="false">RANK(B14,B$3:B$21,0)</f>
        <v>5</v>
      </c>
    </row>
    <row r="15" customFormat="false" ht="15" hidden="false" customHeight="false" outlineLevel="0" collapsed="false">
      <c r="A15" s="12" t="s">
        <v>55</v>
      </c>
      <c r="B15" s="13" t="n">
        <f aca="false">Edad_Total!O2</f>
        <v>7201554</v>
      </c>
      <c r="C15" s="13" t="n">
        <f aca="false">Edad_Hombres!O2</f>
        <v>3450616</v>
      </c>
      <c r="D15" s="13" t="n">
        <f aca="false">Edad_Mujeres!O2</f>
        <v>3750938</v>
      </c>
      <c r="E15" s="19" t="n">
        <f aca="false">B15-F15</f>
        <v>5972068</v>
      </c>
      <c r="F15" s="13" t="n">
        <f aca="false">Edad_Extranjeros!O2</f>
        <v>1229486</v>
      </c>
      <c r="G15" s="18" t="n">
        <f aca="false">B15/B$2*100</f>
        <v>14.4604991181099</v>
      </c>
      <c r="H15" s="17" t="n">
        <f aca="false">D15/B15*100</f>
        <v>52.0851194061726</v>
      </c>
      <c r="I15" s="17" t="n">
        <f aca="false">F15/B15*100</f>
        <v>17.0725096277831</v>
      </c>
      <c r="J15" s="17" t="n">
        <f aca="false">C15/D15*100</f>
        <v>91.9934160468661</v>
      </c>
      <c r="K15" s="20" t="n">
        <v>2.58</v>
      </c>
      <c r="L15" s="21" t="n">
        <f aca="false">B15/K15</f>
        <v>2791300</v>
      </c>
      <c r="M15" s="22" t="n">
        <f aca="false">RANK(B15,B$3:B$21,0)</f>
        <v>3</v>
      </c>
    </row>
    <row r="16" customFormat="false" ht="15" hidden="false" customHeight="false" outlineLevel="0" collapsed="false">
      <c r="A16" s="12" t="s">
        <v>118</v>
      </c>
      <c r="B16" s="13" t="n">
        <f aca="false">Edad_Total!P2</f>
        <v>1616189</v>
      </c>
      <c r="C16" s="13" t="n">
        <f aca="false">Edad_Hombres!P2</f>
        <v>809334</v>
      </c>
      <c r="D16" s="13" t="n">
        <f aca="false">Edad_Mujeres!P2</f>
        <v>806855</v>
      </c>
      <c r="E16" s="19" t="n">
        <f aca="false">B16-F16</f>
        <v>1344809</v>
      </c>
      <c r="F16" s="13" t="n">
        <f aca="false">Edad_Extranjeros!P2</f>
        <v>271380</v>
      </c>
      <c r="G16" s="18" t="n">
        <f aca="false">B16/B$2*100</f>
        <v>3.24525784423737</v>
      </c>
      <c r="H16" s="17" t="n">
        <f aca="false">D16/B16*100</f>
        <v>49.923307236963</v>
      </c>
      <c r="I16" s="17" t="n">
        <f aca="false">F16/B16*100</f>
        <v>16.7913529915128</v>
      </c>
      <c r="J16" s="17" t="n">
        <f aca="false">C16/D16*100</f>
        <v>100.307242317393</v>
      </c>
      <c r="K16" s="20" t="n">
        <v>2.7</v>
      </c>
      <c r="L16" s="21" t="n">
        <f aca="false">B16/K16</f>
        <v>598588.518518518</v>
      </c>
      <c r="M16" s="22" t="n">
        <f aca="false">RANK(B16,B$3:B$21,0)</f>
        <v>10</v>
      </c>
    </row>
    <row r="17" customFormat="false" ht="15" hidden="false" customHeight="false" outlineLevel="0" collapsed="false">
      <c r="A17" s="12" t="s">
        <v>119</v>
      </c>
      <c r="B17" s="13" t="n">
        <f aca="false">Edad_Total!Q2</f>
        <v>692026</v>
      </c>
      <c r="C17" s="13" t="n">
        <f aca="false">Edad_Hombres!Q2</f>
        <v>343437</v>
      </c>
      <c r="D17" s="13" t="n">
        <f aca="false">Edad_Mujeres!Q2</f>
        <v>348589</v>
      </c>
      <c r="E17" s="19" t="n">
        <f aca="false">B17-F17</f>
        <v>596129</v>
      </c>
      <c r="F17" s="13" t="n">
        <f aca="false">Edad_Extranjeros!Q2</f>
        <v>95897</v>
      </c>
      <c r="G17" s="18" t="n">
        <f aca="false">B17/B$2*100</f>
        <v>1.38956694106705</v>
      </c>
      <c r="H17" s="17" t="n">
        <f aca="false">D17/B17*100</f>
        <v>50.372240349351</v>
      </c>
      <c r="I17" s="17" t="n">
        <f aca="false">F17/B17*100</f>
        <v>13.8574273220948</v>
      </c>
      <c r="J17" s="17" t="n">
        <f aca="false">C17/D17*100</f>
        <v>98.5220417167495</v>
      </c>
      <c r="K17" s="20" t="n">
        <v>2.5</v>
      </c>
      <c r="L17" s="21" t="n">
        <f aca="false">B17/K17</f>
        <v>276810.4</v>
      </c>
      <c r="M17" s="22" t="n">
        <f aca="false">RANK(B17,B$3:B$21,0)</f>
        <v>15</v>
      </c>
    </row>
    <row r="18" customFormat="false" ht="15" hidden="false" customHeight="false" outlineLevel="0" collapsed="false">
      <c r="A18" s="12" t="s">
        <v>120</v>
      </c>
      <c r="B18" s="13" t="n">
        <f aca="false">Edad_Total!R2</f>
        <v>2257392</v>
      </c>
      <c r="C18" s="13" t="n">
        <f aca="false">Edad_Hombres!R2</f>
        <v>1100960</v>
      </c>
      <c r="D18" s="13" t="n">
        <f aca="false">Edad_Mujeres!R2</f>
        <v>1156432</v>
      </c>
      <c r="E18" s="19" t="n">
        <f aca="false">B18-F18</f>
        <v>2013168</v>
      </c>
      <c r="F18" s="13" t="n">
        <f aca="false">Edad_Extranjeros!R2</f>
        <v>244224</v>
      </c>
      <c r="G18" s="18" t="n">
        <f aca="false">B18/B$2*100</f>
        <v>4.53277376316673</v>
      </c>
      <c r="H18" s="17" t="n">
        <f aca="false">D18/B18*100</f>
        <v>51.2286745058014</v>
      </c>
      <c r="I18" s="17" t="n">
        <f aca="false">F18/B18*100</f>
        <v>10.8188564502754</v>
      </c>
      <c r="J18" s="17" t="n">
        <f aca="false">C18/D18*100</f>
        <v>95.2031766675429</v>
      </c>
      <c r="K18" s="20" t="n">
        <v>2.32</v>
      </c>
      <c r="L18" s="21" t="n">
        <f aca="false">B18/K18</f>
        <v>973013.793103448</v>
      </c>
      <c r="M18" s="22" t="n">
        <f aca="false">RANK(B18,B$3:B$21,0)</f>
        <v>8</v>
      </c>
    </row>
    <row r="19" customFormat="false" ht="15" hidden="false" customHeight="false" outlineLevel="0" collapsed="false">
      <c r="A19" s="12" t="s">
        <v>121</v>
      </c>
      <c r="B19" s="13" t="n">
        <f aca="false">Edad_Total!S2</f>
        <v>330756</v>
      </c>
      <c r="C19" s="13" t="n">
        <f aca="false">Edad_Hombres!S2</f>
        <v>163319</v>
      </c>
      <c r="D19" s="13" t="n">
        <f aca="false">Edad_Mujeres!S2</f>
        <v>167437</v>
      </c>
      <c r="E19" s="19" t="n">
        <f aca="false">B19-F19</f>
        <v>279069</v>
      </c>
      <c r="F19" s="13" t="n">
        <f aca="false">Edad_Extranjeros!S2</f>
        <v>51687</v>
      </c>
      <c r="G19" s="18" t="n">
        <f aca="false">B19/B$2*100</f>
        <v>0.664147883402606</v>
      </c>
      <c r="H19" s="17" t="n">
        <f aca="false">D19/B19*100</f>
        <v>50.6225132726239</v>
      </c>
      <c r="I19" s="17" t="n">
        <f aca="false">F19/B19*100</f>
        <v>15.6269274026775</v>
      </c>
      <c r="J19" s="17" t="n">
        <f aca="false">C19/D19*100</f>
        <v>97.5405674970287</v>
      </c>
      <c r="K19" s="20" t="n">
        <v>2.33</v>
      </c>
      <c r="L19" s="21" t="n">
        <f aca="false">B19/K19</f>
        <v>141955.364806867</v>
      </c>
      <c r="M19" s="22" t="n">
        <f aca="false">RANK(B19,B$3:B$21,0)</f>
        <v>17</v>
      </c>
    </row>
    <row r="20" customFormat="false" ht="15" hidden="false" customHeight="false" outlineLevel="0" collapsed="false">
      <c r="A20" s="12" t="s">
        <v>122</v>
      </c>
      <c r="B20" s="13" t="n">
        <f aca="false">Edad_Total!T2</f>
        <v>84435</v>
      </c>
      <c r="C20" s="13" t="n">
        <f aca="false">Edad_Hombres!T2</f>
        <v>42552</v>
      </c>
      <c r="D20" s="13" t="n">
        <f aca="false">Edad_Mujeres!T2</f>
        <v>41883</v>
      </c>
      <c r="E20" s="19" t="n">
        <f aca="false">B20-F20</f>
        <v>78385</v>
      </c>
      <c r="F20" s="13" t="n">
        <f aca="false">Edad_Extranjeros!T2</f>
        <v>6050</v>
      </c>
      <c r="G20" s="18" t="n">
        <f aca="false">B20/B$2*100</f>
        <v>0.169542885193614</v>
      </c>
      <c r="H20" s="17" t="n">
        <f aca="false">D20/B20*100</f>
        <v>49.6038372712738</v>
      </c>
      <c r="I20" s="17" t="n">
        <f aca="false">F20/B20*100</f>
        <v>7.16527506365844</v>
      </c>
      <c r="J20" s="17" t="n">
        <f aca="false">C20/D20*100</f>
        <v>101.597306783182</v>
      </c>
      <c r="K20" s="20" t="n">
        <v>3.07</v>
      </c>
      <c r="L20" s="21" t="n">
        <f aca="false">B20/K20</f>
        <v>27503.2573289902</v>
      </c>
      <c r="M20" s="22" t="n">
        <f aca="false">RANK(B20,B$3:B$21,0)</f>
        <v>19</v>
      </c>
    </row>
    <row r="21" customFormat="false" ht="15" hidden="false" customHeight="false" outlineLevel="0" collapsed="false">
      <c r="A21" s="12" t="s">
        <v>123</v>
      </c>
      <c r="B21" s="13" t="n">
        <f aca="false">Edad_Total!U2</f>
        <v>86616</v>
      </c>
      <c r="C21" s="13" t="n">
        <f aca="false">Edad_Hombres!U2</f>
        <v>43138</v>
      </c>
      <c r="D21" s="13" t="n">
        <f aca="false">Edad_Mujeres!U2</f>
        <v>43478</v>
      </c>
      <c r="E21" s="19" t="n">
        <f aca="false">B21-F21</f>
        <v>75355</v>
      </c>
      <c r="F21" s="13" t="n">
        <f aca="false">Edad_Extranjeros!U2</f>
        <v>11261</v>
      </c>
      <c r="G21" s="18" t="n">
        <f aca="false">B21/B$2*100</f>
        <v>0.173922266168415</v>
      </c>
      <c r="H21" s="17" t="n">
        <f aca="false">D21/B21*100</f>
        <v>50.1962685877898</v>
      </c>
      <c r="I21" s="17" t="n">
        <f aca="false">F21/B21*100</f>
        <v>13.0010621594163</v>
      </c>
      <c r="J21" s="17" t="n">
        <f aca="false">C21/D21*100</f>
        <v>99.2179953079719</v>
      </c>
      <c r="K21" s="20" t="n">
        <v>3.13</v>
      </c>
      <c r="L21" s="21" t="n">
        <f aca="false">B21/K21</f>
        <v>27672.8434504792</v>
      </c>
      <c r="M21" s="22" t="n">
        <f aca="false">RANK(B21,B$3:B$21,0)</f>
        <v>18</v>
      </c>
    </row>
    <row r="22" customFormat="false" ht="15" hidden="false" customHeight="false" outlineLevel="0" collapsed="false">
      <c r="A22" s="2" t="s">
        <v>124</v>
      </c>
      <c r="B22" s="19" t="n">
        <f aca="false">SUM(B3:B21)</f>
        <v>49801559</v>
      </c>
      <c r="C22" s="19" t="n">
        <f aca="false">SUM(C3:C21)</f>
        <v>24462607</v>
      </c>
      <c r="D22" s="19" t="n">
        <f aca="false">SUM(D3:D21)</f>
        <v>25338952</v>
      </c>
      <c r="E22" s="19" t="n">
        <f aca="false">SUM(E3:E21)</f>
        <v>42364016</v>
      </c>
      <c r="F22" s="19" t="n">
        <f aca="false">SUM(F3:F21)</f>
        <v>7437543</v>
      </c>
    </row>
    <row r="23" customFormat="false" ht="15" hidden="false" customHeight="false" outlineLevel="0" collapsed="false">
      <c r="A23" s="2" t="s">
        <v>125</v>
      </c>
      <c r="B23" s="19" t="n">
        <f aca="false">B22-B2</f>
        <v>0</v>
      </c>
      <c r="C23" s="19" t="n">
        <f aca="false">C22-C2</f>
        <v>0</v>
      </c>
      <c r="D23" s="19" t="n">
        <f aca="false">D22-D2</f>
        <v>0</v>
      </c>
      <c r="E23" s="19" t="n">
        <f aca="false">E22-E2</f>
        <v>0</v>
      </c>
      <c r="F23" s="19" t="n">
        <f aca="false">F22-F2</f>
        <v>0</v>
      </c>
    </row>
    <row r="25" customFormat="false" ht="15" hidden="false" customHeight="false" outlineLevel="0" collapsed="false">
      <c r="A25" s="1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3" min="2" style="0" width="13"/>
  </cols>
  <sheetData>
    <row r="1" customFormat="false" ht="43.5" hidden="false" customHeight="true" outlineLevel="0" collapsed="false">
      <c r="A1" s="4" t="s">
        <v>127</v>
      </c>
      <c r="B1" s="4" t="s">
        <v>54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55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</row>
    <row r="2" customFormat="false" ht="15" hidden="false" customHeight="false" outlineLevel="0" collapsed="false">
      <c r="A2" s="2" t="s">
        <v>128</v>
      </c>
      <c r="B2" s="23" t="n">
        <v>49801559</v>
      </c>
      <c r="C2" s="23" t="n">
        <v>8778051</v>
      </c>
      <c r="D2" s="23" t="n">
        <v>1389298</v>
      </c>
      <c r="E2" s="23" t="n">
        <v>1026726</v>
      </c>
      <c r="F2" s="23" t="n">
        <v>1266279</v>
      </c>
      <c r="G2" s="23" t="n">
        <v>2277705</v>
      </c>
      <c r="H2" s="23" t="n">
        <v>599056</v>
      </c>
      <c r="I2" s="23" t="n">
        <v>2427156</v>
      </c>
      <c r="J2" s="23" t="n">
        <v>2169241</v>
      </c>
      <c r="K2" s="23" t="n">
        <v>8233788</v>
      </c>
      <c r="L2" s="23" t="n">
        <v>5574948</v>
      </c>
      <c r="M2" s="23" t="n">
        <v>1055849</v>
      </c>
      <c r="N2" s="23" t="n">
        <v>2734494</v>
      </c>
      <c r="O2" s="23" t="n">
        <v>7201554</v>
      </c>
      <c r="P2" s="23" t="n">
        <v>1616189</v>
      </c>
      <c r="Q2" s="23" t="n">
        <v>692026</v>
      </c>
      <c r="R2" s="23" t="n">
        <v>2257392</v>
      </c>
      <c r="S2" s="23" t="n">
        <v>330756</v>
      </c>
      <c r="T2" s="23" t="n">
        <v>84435</v>
      </c>
      <c r="U2" s="23" t="n">
        <v>86616</v>
      </c>
      <c r="V2" s="19" t="n">
        <f aca="false">SUM(C2:U2)</f>
        <v>49801559</v>
      </c>
      <c r="W2" s="19" t="n">
        <f aca="false">V2-B2</f>
        <v>0</v>
      </c>
    </row>
    <row r="3" customFormat="false" ht="15" hidden="false" customHeight="false" outlineLevel="0" collapsed="false">
      <c r="A3" s="12" t="s">
        <v>129</v>
      </c>
      <c r="B3" s="23" t="n">
        <v>1678170</v>
      </c>
      <c r="C3" s="23" t="n">
        <v>317820</v>
      </c>
      <c r="D3" s="23" t="n">
        <v>46283</v>
      </c>
      <c r="E3" s="23" t="n">
        <v>25162</v>
      </c>
      <c r="F3" s="23" t="n">
        <v>45228</v>
      </c>
      <c r="G3" s="23" t="n">
        <v>62436</v>
      </c>
      <c r="H3" s="23" t="n">
        <v>16122</v>
      </c>
      <c r="I3" s="23" t="n">
        <v>68438</v>
      </c>
      <c r="J3" s="23" t="n">
        <v>78128</v>
      </c>
      <c r="K3" s="23" t="n">
        <v>283645</v>
      </c>
      <c r="L3" s="23" t="n">
        <v>191768</v>
      </c>
      <c r="M3" s="23" t="n">
        <v>34760</v>
      </c>
      <c r="N3" s="23" t="n">
        <v>73053</v>
      </c>
      <c r="O3" s="23" t="n">
        <v>257571</v>
      </c>
      <c r="P3" s="23" t="n">
        <v>66166</v>
      </c>
      <c r="Q3" s="23" t="n">
        <v>24184</v>
      </c>
      <c r="R3" s="23" t="n">
        <v>68954</v>
      </c>
      <c r="S3" s="23" t="n">
        <v>11038</v>
      </c>
      <c r="T3" s="23" t="n">
        <v>3444</v>
      </c>
      <c r="U3" s="23" t="n">
        <v>3970</v>
      </c>
      <c r="V3" s="19" t="n">
        <f aca="false">SUM(C3:U3)</f>
        <v>1678170</v>
      </c>
      <c r="W3" s="19" t="n">
        <f aca="false">V3-B3</f>
        <v>0</v>
      </c>
    </row>
    <row r="4" customFormat="false" ht="15" hidden="false" customHeight="false" outlineLevel="0" collapsed="false">
      <c r="A4" s="12" t="s">
        <v>130</v>
      </c>
      <c r="B4" s="23" t="n">
        <v>2036914</v>
      </c>
      <c r="C4" s="23" t="n">
        <v>382637</v>
      </c>
      <c r="D4" s="23" t="n">
        <v>56076</v>
      </c>
      <c r="E4" s="23" t="n">
        <v>32250</v>
      </c>
      <c r="F4" s="23" t="n">
        <v>54097</v>
      </c>
      <c r="G4" s="23" t="n">
        <v>81628</v>
      </c>
      <c r="H4" s="23" t="n">
        <v>21407</v>
      </c>
      <c r="I4" s="23" t="n">
        <v>84460</v>
      </c>
      <c r="J4" s="23" t="n">
        <v>94399</v>
      </c>
      <c r="K4" s="23" t="n">
        <v>344940</v>
      </c>
      <c r="L4" s="23" t="n">
        <v>233477</v>
      </c>
      <c r="M4" s="23" t="n">
        <v>41827</v>
      </c>
      <c r="N4" s="23" t="n">
        <v>94028</v>
      </c>
      <c r="O4" s="23" t="n">
        <v>297193</v>
      </c>
      <c r="P4" s="23" t="n">
        <v>79090</v>
      </c>
      <c r="Q4" s="23" t="n">
        <v>30575</v>
      </c>
      <c r="R4" s="23" t="n">
        <v>85264</v>
      </c>
      <c r="S4" s="23" t="n">
        <v>13628</v>
      </c>
      <c r="T4" s="23" t="n">
        <v>4404</v>
      </c>
      <c r="U4" s="23" t="n">
        <v>5534</v>
      </c>
      <c r="V4" s="19" t="n">
        <f aca="false">SUM(C4:U4)</f>
        <v>2036914</v>
      </c>
      <c r="W4" s="19" t="n">
        <f aca="false">V4-B4</f>
        <v>0</v>
      </c>
    </row>
    <row r="5" customFormat="false" ht="15" hidden="false" customHeight="false" outlineLevel="0" collapsed="false">
      <c r="A5" s="12" t="s">
        <v>131</v>
      </c>
      <c r="B5" s="23" t="n">
        <v>2454959</v>
      </c>
      <c r="C5" s="23" t="n">
        <v>454748</v>
      </c>
      <c r="D5" s="23" t="n">
        <v>68051</v>
      </c>
      <c r="E5" s="23" t="n">
        <v>40148</v>
      </c>
      <c r="F5" s="23" t="n">
        <v>61850</v>
      </c>
      <c r="G5" s="23" t="n">
        <v>99133</v>
      </c>
      <c r="H5" s="23" t="n">
        <v>27108</v>
      </c>
      <c r="I5" s="23" t="n">
        <v>103708</v>
      </c>
      <c r="J5" s="23" t="n">
        <v>113698</v>
      </c>
      <c r="K5" s="23" t="n">
        <v>415492</v>
      </c>
      <c r="L5" s="23" t="n">
        <v>281099</v>
      </c>
      <c r="M5" s="23" t="n">
        <v>48688</v>
      </c>
      <c r="N5" s="23" t="n">
        <v>114548</v>
      </c>
      <c r="O5" s="23" t="n">
        <v>360196</v>
      </c>
      <c r="P5" s="23" t="n">
        <v>93291</v>
      </c>
      <c r="Q5" s="23" t="n">
        <v>37359</v>
      </c>
      <c r="R5" s="23" t="n">
        <v>107134</v>
      </c>
      <c r="S5" s="23" t="n">
        <v>16667</v>
      </c>
      <c r="T5" s="23" t="n">
        <v>5483</v>
      </c>
      <c r="U5" s="23" t="n">
        <v>6558</v>
      </c>
      <c r="V5" s="19" t="n">
        <f aca="false">SUM(C5:U5)</f>
        <v>2454959</v>
      </c>
      <c r="W5" s="19" t="n">
        <f aca="false">V5-B5</f>
        <v>0</v>
      </c>
    </row>
    <row r="6" customFormat="false" ht="15" hidden="false" customHeight="false" outlineLevel="0" collapsed="false">
      <c r="A6" s="12" t="s">
        <v>132</v>
      </c>
      <c r="B6" s="23" t="n">
        <v>2746606</v>
      </c>
      <c r="C6" s="23" t="n">
        <v>513864</v>
      </c>
      <c r="D6" s="23" t="n">
        <v>74825</v>
      </c>
      <c r="E6" s="23" t="n">
        <v>45838</v>
      </c>
      <c r="F6" s="23" t="n">
        <v>68153</v>
      </c>
      <c r="G6" s="23" t="n">
        <v>117736</v>
      </c>
      <c r="H6" s="23" t="n">
        <v>31328</v>
      </c>
      <c r="I6" s="23" t="n">
        <v>114835</v>
      </c>
      <c r="J6" s="23" t="n">
        <v>123909</v>
      </c>
      <c r="K6" s="23" t="n">
        <v>467954</v>
      </c>
      <c r="L6" s="23" t="n">
        <v>314437</v>
      </c>
      <c r="M6" s="23" t="n">
        <v>55022</v>
      </c>
      <c r="N6" s="23" t="n">
        <v>126914</v>
      </c>
      <c r="O6" s="23" t="n">
        <v>399633</v>
      </c>
      <c r="P6" s="23" t="n">
        <v>101979</v>
      </c>
      <c r="Q6" s="23" t="n">
        <v>40590</v>
      </c>
      <c r="R6" s="23" t="n">
        <v>118688</v>
      </c>
      <c r="S6" s="23" t="n">
        <v>18316</v>
      </c>
      <c r="T6" s="23" t="n">
        <v>6131</v>
      </c>
      <c r="U6" s="23" t="n">
        <v>6454</v>
      </c>
      <c r="V6" s="19" t="n">
        <f aca="false">SUM(C6:U6)</f>
        <v>2746606</v>
      </c>
      <c r="W6" s="19" t="n">
        <f aca="false">V6-B6</f>
        <v>0</v>
      </c>
    </row>
    <row r="7" customFormat="false" ht="15" hidden="false" customHeight="false" outlineLevel="0" collapsed="false">
      <c r="A7" s="12" t="s">
        <v>133</v>
      </c>
      <c r="B7" s="23" t="n">
        <v>2812349</v>
      </c>
      <c r="C7" s="23" t="n">
        <v>508447</v>
      </c>
      <c r="D7" s="23" t="n">
        <v>75969</v>
      </c>
      <c r="E7" s="23" t="n">
        <v>44863</v>
      </c>
      <c r="F7" s="23" t="n">
        <v>73555</v>
      </c>
      <c r="G7" s="23" t="n">
        <v>131568</v>
      </c>
      <c r="H7" s="23" t="n">
        <v>30856</v>
      </c>
      <c r="I7" s="23" t="n">
        <v>118291</v>
      </c>
      <c r="J7" s="23" t="n">
        <v>121420</v>
      </c>
      <c r="K7" s="23" t="n">
        <v>487600</v>
      </c>
      <c r="L7" s="23" t="n">
        <v>317947</v>
      </c>
      <c r="M7" s="23" t="n">
        <v>54861</v>
      </c>
      <c r="N7" s="23" t="n">
        <v>126599</v>
      </c>
      <c r="O7" s="23" t="n">
        <v>426872</v>
      </c>
      <c r="P7" s="23" t="n">
        <v>100494</v>
      </c>
      <c r="Q7" s="23" t="n">
        <v>40786</v>
      </c>
      <c r="R7" s="23" t="n">
        <v>121587</v>
      </c>
      <c r="S7" s="23" t="n">
        <v>18013</v>
      </c>
      <c r="T7" s="23" t="n">
        <v>6306</v>
      </c>
      <c r="U7" s="23" t="n">
        <v>6315</v>
      </c>
      <c r="V7" s="19" t="n">
        <f aca="false">SUM(C7:U7)</f>
        <v>2812349</v>
      </c>
      <c r="W7" s="19" t="n">
        <f aca="false">V7-B7</f>
        <v>0</v>
      </c>
    </row>
    <row r="8" customFormat="false" ht="15" hidden="false" customHeight="false" outlineLevel="0" collapsed="false">
      <c r="A8" s="12" t="s">
        <v>134</v>
      </c>
      <c r="B8" s="23" t="n">
        <v>2828033</v>
      </c>
      <c r="C8" s="23" t="n">
        <v>484555</v>
      </c>
      <c r="D8" s="23" t="n">
        <v>75914</v>
      </c>
      <c r="E8" s="23" t="n">
        <v>43722</v>
      </c>
      <c r="F8" s="23" t="n">
        <v>82624</v>
      </c>
      <c r="G8" s="23" t="n">
        <v>137575</v>
      </c>
      <c r="H8" s="23" t="n">
        <v>27605</v>
      </c>
      <c r="I8" s="23" t="n">
        <v>114347</v>
      </c>
      <c r="J8" s="23" t="n">
        <v>118084</v>
      </c>
      <c r="K8" s="23" t="n">
        <v>507228</v>
      </c>
      <c r="L8" s="23" t="n">
        <v>315937</v>
      </c>
      <c r="M8" s="23" t="n">
        <v>53050</v>
      </c>
      <c r="N8" s="23" t="n">
        <v>124274</v>
      </c>
      <c r="O8" s="23" t="n">
        <v>459280</v>
      </c>
      <c r="P8" s="23" t="n">
        <v>96170</v>
      </c>
      <c r="Q8" s="23" t="n">
        <v>39366</v>
      </c>
      <c r="R8" s="23" t="n">
        <v>119753</v>
      </c>
      <c r="S8" s="23" t="n">
        <v>17000</v>
      </c>
      <c r="T8" s="23" t="n">
        <v>5622</v>
      </c>
      <c r="U8" s="23" t="n">
        <v>5927</v>
      </c>
      <c r="V8" s="19" t="n">
        <f aca="false">SUM(C8:U8)</f>
        <v>2828033</v>
      </c>
      <c r="W8" s="19" t="n">
        <f aca="false">V8-B8</f>
        <v>0</v>
      </c>
    </row>
    <row r="9" customFormat="false" ht="15" hidden="false" customHeight="false" outlineLevel="0" collapsed="false">
      <c r="A9" s="12" t="s">
        <v>135</v>
      </c>
      <c r="B9" s="23" t="n">
        <v>2925915</v>
      </c>
      <c r="C9" s="23" t="n">
        <v>508850</v>
      </c>
      <c r="D9" s="23" t="n">
        <v>77766</v>
      </c>
      <c r="E9" s="23" t="n">
        <v>45473</v>
      </c>
      <c r="F9" s="23" t="n">
        <v>88472</v>
      </c>
      <c r="G9" s="23" t="n">
        <v>141601</v>
      </c>
      <c r="H9" s="23" t="n">
        <v>28193</v>
      </c>
      <c r="I9" s="23" t="n">
        <v>116691</v>
      </c>
      <c r="J9" s="23" t="n">
        <v>123551</v>
      </c>
      <c r="K9" s="23" t="n">
        <v>525904</v>
      </c>
      <c r="L9" s="23" t="n">
        <v>328295</v>
      </c>
      <c r="M9" s="23" t="n">
        <v>56184</v>
      </c>
      <c r="N9" s="23" t="n">
        <v>131519</v>
      </c>
      <c r="O9" s="23" t="n">
        <v>473991</v>
      </c>
      <c r="P9" s="23" t="n">
        <v>96557</v>
      </c>
      <c r="Q9" s="23" t="n">
        <v>38366</v>
      </c>
      <c r="R9" s="23" t="n">
        <v>116339</v>
      </c>
      <c r="S9" s="23" t="n">
        <v>17033</v>
      </c>
      <c r="T9" s="23" t="n">
        <v>5357</v>
      </c>
      <c r="U9" s="23" t="n">
        <v>5773</v>
      </c>
      <c r="V9" s="19" t="n">
        <f aca="false">SUM(C9:U9)</f>
        <v>2925915</v>
      </c>
      <c r="W9" s="19" t="n">
        <f aca="false">V9-B9</f>
        <v>0</v>
      </c>
    </row>
    <row r="10" customFormat="false" ht="15" hidden="false" customHeight="false" outlineLevel="0" collapsed="false">
      <c r="A10" s="12" t="s">
        <v>136</v>
      </c>
      <c r="B10" s="23" t="n">
        <v>3080859</v>
      </c>
      <c r="C10" s="23" t="n">
        <v>552391</v>
      </c>
      <c r="D10" s="23" t="n">
        <v>81858</v>
      </c>
      <c r="E10" s="23" t="n">
        <v>52718</v>
      </c>
      <c r="F10" s="23" t="n">
        <v>91934</v>
      </c>
      <c r="G10" s="23" t="n">
        <v>152101</v>
      </c>
      <c r="H10" s="23" t="n">
        <v>32393</v>
      </c>
      <c r="I10" s="23" t="n">
        <v>127515</v>
      </c>
      <c r="J10" s="23" t="n">
        <v>135287</v>
      </c>
      <c r="K10" s="23" t="n">
        <v>532566</v>
      </c>
      <c r="L10" s="23" t="n">
        <v>348190</v>
      </c>
      <c r="M10" s="23" t="n">
        <v>63072</v>
      </c>
      <c r="N10" s="23" t="n">
        <v>148024</v>
      </c>
      <c r="O10" s="23" t="n">
        <v>470307</v>
      </c>
      <c r="P10" s="23" t="n">
        <v>102128</v>
      </c>
      <c r="Q10" s="23" t="n">
        <v>39261</v>
      </c>
      <c r="R10" s="23" t="n">
        <v>121170</v>
      </c>
      <c r="S10" s="23" t="n">
        <v>18996</v>
      </c>
      <c r="T10" s="23" t="n">
        <v>5461</v>
      </c>
      <c r="U10" s="23" t="n">
        <v>5487</v>
      </c>
      <c r="V10" s="19" t="n">
        <f aca="false">SUM(C10:U10)</f>
        <v>3080859</v>
      </c>
      <c r="W10" s="19" t="n">
        <f aca="false">V10-B10</f>
        <v>0</v>
      </c>
    </row>
    <row r="11" customFormat="false" ht="15" hidden="false" customHeight="false" outlineLevel="0" collapsed="false">
      <c r="A11" s="12" t="s">
        <v>137</v>
      </c>
      <c r="B11" s="23" t="n">
        <v>3419433</v>
      </c>
      <c r="C11" s="23" t="n">
        <v>617908</v>
      </c>
      <c r="D11" s="23" t="n">
        <v>91514</v>
      </c>
      <c r="E11" s="23" t="n">
        <v>65705</v>
      </c>
      <c r="F11" s="23" t="n">
        <v>97567</v>
      </c>
      <c r="G11" s="23" t="n">
        <v>165351</v>
      </c>
      <c r="H11" s="23" t="n">
        <v>40092</v>
      </c>
      <c r="I11" s="23" t="n">
        <v>149655</v>
      </c>
      <c r="J11" s="23" t="n">
        <v>151214</v>
      </c>
      <c r="K11" s="23" t="n">
        <v>567939</v>
      </c>
      <c r="L11" s="23" t="n">
        <v>385618</v>
      </c>
      <c r="M11" s="23" t="n">
        <v>69355</v>
      </c>
      <c r="N11" s="23" t="n">
        <v>179566</v>
      </c>
      <c r="O11" s="23" t="n">
        <v>504262</v>
      </c>
      <c r="P11" s="23" t="n">
        <v>113373</v>
      </c>
      <c r="Q11" s="23" t="n">
        <v>44782</v>
      </c>
      <c r="R11" s="23" t="n">
        <v>141627</v>
      </c>
      <c r="S11" s="23" t="n">
        <v>21951</v>
      </c>
      <c r="T11" s="23" t="n">
        <v>5988</v>
      </c>
      <c r="U11" s="23" t="n">
        <v>5966</v>
      </c>
      <c r="V11" s="19" t="n">
        <f aca="false">SUM(C11:U11)</f>
        <v>3419433</v>
      </c>
      <c r="W11" s="19" t="n">
        <f aca="false">V11-B11</f>
        <v>0</v>
      </c>
    </row>
    <row r="12" customFormat="false" ht="15" hidden="false" customHeight="false" outlineLevel="0" collapsed="false">
      <c r="A12" s="12" t="s">
        <v>138</v>
      </c>
      <c r="B12" s="23" t="n">
        <v>4015072</v>
      </c>
      <c r="C12" s="23" t="n">
        <v>710237</v>
      </c>
      <c r="D12" s="23" t="n">
        <v>109699</v>
      </c>
      <c r="E12" s="23" t="n">
        <v>83525</v>
      </c>
      <c r="F12" s="23" t="n">
        <v>107319</v>
      </c>
      <c r="G12" s="23" t="n">
        <v>189659</v>
      </c>
      <c r="H12" s="23" t="n">
        <v>50361</v>
      </c>
      <c r="I12" s="23" t="n">
        <v>182209</v>
      </c>
      <c r="J12" s="23" t="n">
        <v>174424</v>
      </c>
      <c r="K12" s="23" t="n">
        <v>665579</v>
      </c>
      <c r="L12" s="23" t="n">
        <v>455847</v>
      </c>
      <c r="M12" s="23" t="n">
        <v>78660</v>
      </c>
      <c r="N12" s="23" t="n">
        <v>225978</v>
      </c>
      <c r="O12" s="23" t="n">
        <v>579662</v>
      </c>
      <c r="P12" s="23" t="n">
        <v>133119</v>
      </c>
      <c r="Q12" s="23" t="n">
        <v>54158</v>
      </c>
      <c r="R12" s="23" t="n">
        <v>175137</v>
      </c>
      <c r="S12" s="23" t="n">
        <v>26888</v>
      </c>
      <c r="T12" s="23" t="n">
        <v>6384</v>
      </c>
      <c r="U12" s="23" t="n">
        <v>6227</v>
      </c>
      <c r="V12" s="19" t="n">
        <f aca="false">SUM(C12:U12)</f>
        <v>4015072</v>
      </c>
      <c r="W12" s="19" t="n">
        <f aca="false">V12-B12</f>
        <v>0</v>
      </c>
    </row>
    <row r="13" customFormat="false" ht="15" hidden="false" customHeight="false" outlineLevel="0" collapsed="false">
      <c r="A13" s="12" t="s">
        <v>139</v>
      </c>
      <c r="B13" s="23" t="n">
        <v>4054598</v>
      </c>
      <c r="C13" s="23" t="n">
        <v>704414</v>
      </c>
      <c r="D13" s="23" t="n">
        <v>111914</v>
      </c>
      <c r="E13" s="23" t="n">
        <v>88177</v>
      </c>
      <c r="F13" s="23" t="n">
        <v>104708</v>
      </c>
      <c r="G13" s="23" t="n">
        <v>202224</v>
      </c>
      <c r="H13" s="23" t="n">
        <v>50679</v>
      </c>
      <c r="I13" s="23" t="n">
        <v>190150</v>
      </c>
      <c r="J13" s="23" t="n">
        <v>171918</v>
      </c>
      <c r="K13" s="23" t="n">
        <v>668636</v>
      </c>
      <c r="L13" s="23" t="n">
        <v>451372</v>
      </c>
      <c r="M13" s="23" t="n">
        <v>81559</v>
      </c>
      <c r="N13" s="23" t="n">
        <v>229395</v>
      </c>
      <c r="O13" s="23" t="n">
        <v>591331</v>
      </c>
      <c r="P13" s="23" t="n">
        <v>128319</v>
      </c>
      <c r="Q13" s="23" t="n">
        <v>55605</v>
      </c>
      <c r="R13" s="23" t="n">
        <v>185169</v>
      </c>
      <c r="S13" s="23" t="n">
        <v>27035</v>
      </c>
      <c r="T13" s="23" t="n">
        <v>6360</v>
      </c>
      <c r="U13" s="23" t="n">
        <v>5633</v>
      </c>
      <c r="V13" s="19" t="n">
        <f aca="false">SUM(C13:U13)</f>
        <v>4054598</v>
      </c>
      <c r="W13" s="19" t="n">
        <f aca="false">V13-B13</f>
        <v>0</v>
      </c>
    </row>
    <row r="14" customFormat="false" ht="15" hidden="false" customHeight="false" outlineLevel="0" collapsed="false">
      <c r="A14" s="12" t="s">
        <v>140</v>
      </c>
      <c r="B14" s="23" t="n">
        <v>3750157</v>
      </c>
      <c r="C14" s="23" t="n">
        <v>669790</v>
      </c>
      <c r="D14" s="23" t="n">
        <v>103971</v>
      </c>
      <c r="E14" s="23" t="n">
        <v>82111</v>
      </c>
      <c r="F14" s="23" t="n">
        <v>92218</v>
      </c>
      <c r="G14" s="23" t="n">
        <v>192320</v>
      </c>
      <c r="H14" s="23" t="n">
        <v>47237</v>
      </c>
      <c r="I14" s="23" t="n">
        <v>191233</v>
      </c>
      <c r="J14" s="23" t="n">
        <v>163772</v>
      </c>
      <c r="K14" s="23" t="n">
        <v>589577</v>
      </c>
      <c r="L14" s="23" t="n">
        <v>416826</v>
      </c>
      <c r="M14" s="23" t="n">
        <v>83343</v>
      </c>
      <c r="N14" s="23" t="n">
        <v>215110</v>
      </c>
      <c r="O14" s="23" t="n">
        <v>524455</v>
      </c>
      <c r="P14" s="23" t="n">
        <v>117644</v>
      </c>
      <c r="Q14" s="23" t="n">
        <v>51458</v>
      </c>
      <c r="R14" s="23" t="n">
        <v>172814</v>
      </c>
      <c r="S14" s="23" t="n">
        <v>24818</v>
      </c>
      <c r="T14" s="23" t="n">
        <v>5795</v>
      </c>
      <c r="U14" s="23" t="n">
        <v>5665</v>
      </c>
      <c r="V14" s="19" t="n">
        <f aca="false">SUM(C14:U14)</f>
        <v>3750157</v>
      </c>
      <c r="W14" s="19" t="n">
        <f aca="false">V14-B14</f>
        <v>0</v>
      </c>
    </row>
    <row r="15" customFormat="false" ht="15" hidden="false" customHeight="false" outlineLevel="0" collapsed="false">
      <c r="A15" s="12" t="s">
        <v>141</v>
      </c>
      <c r="B15" s="23" t="n">
        <v>3437336</v>
      </c>
      <c r="C15" s="23" t="n">
        <v>619735</v>
      </c>
      <c r="D15" s="23" t="n">
        <v>97217</v>
      </c>
      <c r="E15" s="23" t="n">
        <v>80869</v>
      </c>
      <c r="F15" s="23" t="n">
        <v>79308</v>
      </c>
      <c r="G15" s="23" t="n">
        <v>172802</v>
      </c>
      <c r="H15" s="23" t="n">
        <v>44588</v>
      </c>
      <c r="I15" s="23" t="n">
        <v>191354</v>
      </c>
      <c r="J15" s="23" t="n">
        <v>153113</v>
      </c>
      <c r="K15" s="23" t="n">
        <v>522905</v>
      </c>
      <c r="L15" s="23" t="n">
        <v>379784</v>
      </c>
      <c r="M15" s="23" t="n">
        <v>84199</v>
      </c>
      <c r="N15" s="23" t="n">
        <v>199039</v>
      </c>
      <c r="O15" s="23" t="n">
        <v>461624</v>
      </c>
      <c r="P15" s="23" t="n">
        <v>103928</v>
      </c>
      <c r="Q15" s="23" t="n">
        <v>46868</v>
      </c>
      <c r="R15" s="23" t="n">
        <v>166138</v>
      </c>
      <c r="S15" s="23" t="n">
        <v>23128</v>
      </c>
      <c r="T15" s="23" t="n">
        <v>5490</v>
      </c>
      <c r="U15" s="23" t="n">
        <v>5247</v>
      </c>
      <c r="V15" s="19" t="n">
        <f aca="false">SUM(C15:U15)</f>
        <v>3437336</v>
      </c>
      <c r="W15" s="19" t="n">
        <f aca="false">V15-B15</f>
        <v>0</v>
      </c>
    </row>
    <row r="16" customFormat="false" ht="15" hidden="false" customHeight="false" outlineLevel="0" collapsed="false">
      <c r="A16" s="12" t="s">
        <v>142</v>
      </c>
      <c r="B16" s="23" t="n">
        <v>2980883</v>
      </c>
      <c r="C16" s="23" t="n">
        <v>526376</v>
      </c>
      <c r="D16" s="23" t="n">
        <v>86306</v>
      </c>
      <c r="E16" s="23" t="n">
        <v>79528</v>
      </c>
      <c r="F16" s="23" t="n">
        <v>64877</v>
      </c>
      <c r="G16" s="23" t="n">
        <v>134064</v>
      </c>
      <c r="H16" s="23" t="n">
        <v>42802</v>
      </c>
      <c r="I16" s="23" t="n">
        <v>177997</v>
      </c>
      <c r="J16" s="23" t="n">
        <v>131831</v>
      </c>
      <c r="K16" s="23" t="n">
        <v>452203</v>
      </c>
      <c r="L16" s="23" t="n">
        <v>333070</v>
      </c>
      <c r="M16" s="23" t="n">
        <v>73476</v>
      </c>
      <c r="N16" s="23" t="n">
        <v>186866</v>
      </c>
      <c r="O16" s="23" t="n">
        <v>383981</v>
      </c>
      <c r="P16" s="23" t="n">
        <v>86767</v>
      </c>
      <c r="Q16" s="23" t="n">
        <v>40471</v>
      </c>
      <c r="R16" s="23" t="n">
        <v>150081</v>
      </c>
      <c r="S16" s="23" t="n">
        <v>21165</v>
      </c>
      <c r="T16" s="23" t="n">
        <v>4468</v>
      </c>
      <c r="U16" s="23" t="n">
        <v>4554</v>
      </c>
      <c r="V16" s="19" t="n">
        <f aca="false">SUM(C16:U16)</f>
        <v>2980883</v>
      </c>
      <c r="W16" s="19" t="n">
        <f aca="false">V16-B16</f>
        <v>0</v>
      </c>
    </row>
    <row r="17" customFormat="false" ht="15" hidden="false" customHeight="false" outlineLevel="0" collapsed="false">
      <c r="A17" s="12" t="s">
        <v>143</v>
      </c>
      <c r="B17" s="23" t="n">
        <v>2396384</v>
      </c>
      <c r="C17" s="23" t="n">
        <v>407964</v>
      </c>
      <c r="D17" s="23" t="n">
        <v>70254</v>
      </c>
      <c r="E17" s="23" t="n">
        <v>68344</v>
      </c>
      <c r="F17" s="23" t="n">
        <v>51980</v>
      </c>
      <c r="G17" s="23" t="n">
        <v>105052</v>
      </c>
      <c r="H17" s="23" t="n">
        <v>35143</v>
      </c>
      <c r="I17" s="23" t="n">
        <v>144378</v>
      </c>
      <c r="J17" s="23" t="n">
        <v>97208</v>
      </c>
      <c r="K17" s="23" t="n">
        <v>376032</v>
      </c>
      <c r="L17" s="23" t="n">
        <v>268675</v>
      </c>
      <c r="M17" s="23" t="n">
        <v>55374</v>
      </c>
      <c r="N17" s="23" t="n">
        <v>161024</v>
      </c>
      <c r="O17" s="23" t="n">
        <v>309143</v>
      </c>
      <c r="P17" s="23" t="n">
        <v>65358</v>
      </c>
      <c r="Q17" s="23" t="n">
        <v>33295</v>
      </c>
      <c r="R17" s="23" t="n">
        <v>124203</v>
      </c>
      <c r="S17" s="23" t="n">
        <v>16889</v>
      </c>
      <c r="T17" s="23" t="n">
        <v>3031</v>
      </c>
      <c r="U17" s="23" t="n">
        <v>3037</v>
      </c>
      <c r="V17" s="19" t="n">
        <f aca="false">SUM(C17:U17)</f>
        <v>2396384</v>
      </c>
      <c r="W17" s="19" t="n">
        <f aca="false">V17-B17</f>
        <v>0</v>
      </c>
    </row>
    <row r="18" customFormat="false" ht="15" hidden="false" customHeight="false" outlineLevel="0" collapsed="false">
      <c r="A18" s="12" t="s">
        <v>144</v>
      </c>
      <c r="B18" s="23" t="n">
        <v>2022161</v>
      </c>
      <c r="C18" s="23" t="n">
        <v>326626</v>
      </c>
      <c r="D18" s="23" t="n">
        <v>60036</v>
      </c>
      <c r="E18" s="23" t="n">
        <v>58233</v>
      </c>
      <c r="F18" s="23" t="n">
        <v>42773</v>
      </c>
      <c r="G18" s="23" t="n">
        <v>80823</v>
      </c>
      <c r="H18" s="23" t="n">
        <v>29294</v>
      </c>
      <c r="I18" s="23" t="n">
        <v>123370</v>
      </c>
      <c r="J18" s="23" t="n">
        <v>80734</v>
      </c>
      <c r="K18" s="23" t="n">
        <v>324279</v>
      </c>
      <c r="L18" s="23" t="n">
        <v>225131</v>
      </c>
      <c r="M18" s="23" t="n">
        <v>45163</v>
      </c>
      <c r="N18" s="23" t="n">
        <v>144824</v>
      </c>
      <c r="O18" s="23" t="n">
        <v>270911</v>
      </c>
      <c r="P18" s="23" t="n">
        <v>53641</v>
      </c>
      <c r="Q18" s="23" t="n">
        <v>28827</v>
      </c>
      <c r="R18" s="23" t="n">
        <v>109354</v>
      </c>
      <c r="S18" s="23" t="n">
        <v>14349</v>
      </c>
      <c r="T18" s="23" t="n">
        <v>2008</v>
      </c>
      <c r="U18" s="23" t="n">
        <v>1785</v>
      </c>
      <c r="V18" s="19" t="n">
        <f aca="false">SUM(C18:U18)</f>
        <v>2022161</v>
      </c>
      <c r="W18" s="19" t="n">
        <f aca="false">V18-B18</f>
        <v>0</v>
      </c>
    </row>
    <row r="19" customFormat="false" ht="15" hidden="false" customHeight="false" outlineLevel="0" collapsed="false">
      <c r="A19" s="12" t="s">
        <v>145</v>
      </c>
      <c r="B19" s="23" t="n">
        <v>1529891</v>
      </c>
      <c r="C19" s="23" t="n">
        <v>242688</v>
      </c>
      <c r="D19" s="23" t="n">
        <v>47207</v>
      </c>
      <c r="E19" s="23" t="n">
        <v>42543</v>
      </c>
      <c r="F19" s="23" t="n">
        <v>30598</v>
      </c>
      <c r="G19" s="23" t="n">
        <v>58562</v>
      </c>
      <c r="H19" s="23" t="n">
        <v>20430</v>
      </c>
      <c r="I19" s="23" t="n">
        <v>99890</v>
      </c>
      <c r="J19" s="23" t="n">
        <v>61163</v>
      </c>
      <c r="K19" s="23" t="n">
        <v>243691</v>
      </c>
      <c r="L19" s="23" t="n">
        <v>164465</v>
      </c>
      <c r="M19" s="23" t="n">
        <v>35780</v>
      </c>
      <c r="N19" s="23" t="n">
        <v>117789</v>
      </c>
      <c r="O19" s="23" t="n">
        <v>206583</v>
      </c>
      <c r="P19" s="23" t="n">
        <v>38497</v>
      </c>
      <c r="Q19" s="23" t="n">
        <v>22349</v>
      </c>
      <c r="R19" s="23" t="n">
        <v>83709</v>
      </c>
      <c r="S19" s="23" t="n">
        <v>11240</v>
      </c>
      <c r="T19" s="23" t="n">
        <v>1413</v>
      </c>
      <c r="U19" s="23" t="n">
        <v>1294</v>
      </c>
      <c r="V19" s="19" t="n">
        <f aca="false">SUM(C19:U19)</f>
        <v>1529891</v>
      </c>
      <c r="W19" s="19" t="n">
        <f aca="false">V19-B19</f>
        <v>0</v>
      </c>
    </row>
    <row r="20" customFormat="false" ht="15" hidden="false" customHeight="false" outlineLevel="0" collapsed="false">
      <c r="A20" s="12" t="s">
        <v>146</v>
      </c>
      <c r="B20" s="23" t="n">
        <v>923698</v>
      </c>
      <c r="C20" s="23" t="n">
        <v>139555</v>
      </c>
      <c r="D20" s="23" t="n">
        <v>29059</v>
      </c>
      <c r="E20" s="23" t="n">
        <v>24773</v>
      </c>
      <c r="F20" s="23" t="n">
        <v>17111</v>
      </c>
      <c r="G20" s="23" t="n">
        <v>31679</v>
      </c>
      <c r="H20" s="23" t="n">
        <v>12439</v>
      </c>
      <c r="I20" s="23" t="n">
        <v>66016</v>
      </c>
      <c r="J20" s="23" t="n">
        <v>41658</v>
      </c>
      <c r="K20" s="23" t="n">
        <v>145122</v>
      </c>
      <c r="L20" s="23" t="n">
        <v>99099</v>
      </c>
      <c r="M20" s="23" t="n">
        <v>22720</v>
      </c>
      <c r="N20" s="23" t="n">
        <v>72883</v>
      </c>
      <c r="O20" s="23" t="n">
        <v>126104</v>
      </c>
      <c r="P20" s="23" t="n">
        <v>24153</v>
      </c>
      <c r="Q20" s="23" t="n">
        <v>13026</v>
      </c>
      <c r="R20" s="23" t="n">
        <v>49949</v>
      </c>
      <c r="S20" s="23" t="n">
        <v>6795</v>
      </c>
      <c r="T20" s="23" t="n">
        <v>809</v>
      </c>
      <c r="U20" s="23" t="n">
        <v>748</v>
      </c>
      <c r="V20" s="19" t="n">
        <f aca="false">SUM(C20:U20)</f>
        <v>923698</v>
      </c>
      <c r="W20" s="19" t="n">
        <f aca="false">V20-B20</f>
        <v>0</v>
      </c>
    </row>
    <row r="21" customFormat="false" ht="15" hidden="false" customHeight="false" outlineLevel="0" collapsed="false">
      <c r="A21" s="12" t="s">
        <v>147</v>
      </c>
      <c r="B21" s="23" t="n">
        <v>708141</v>
      </c>
      <c r="C21" s="23" t="n">
        <v>89446</v>
      </c>
      <c r="D21" s="23" t="n">
        <v>25379</v>
      </c>
      <c r="E21" s="23" t="n">
        <v>22744</v>
      </c>
      <c r="F21" s="23" t="n">
        <v>11907</v>
      </c>
      <c r="G21" s="23" t="n">
        <v>21391</v>
      </c>
      <c r="H21" s="23" t="n">
        <v>10979</v>
      </c>
      <c r="I21" s="23" t="n">
        <v>62619</v>
      </c>
      <c r="J21" s="23" t="n">
        <v>33730</v>
      </c>
      <c r="K21" s="23" t="n">
        <v>112496</v>
      </c>
      <c r="L21" s="23" t="n">
        <v>63911</v>
      </c>
      <c r="M21" s="23" t="n">
        <v>18756</v>
      </c>
      <c r="N21" s="23" t="n">
        <v>63061</v>
      </c>
      <c r="O21" s="23" t="n">
        <v>98455</v>
      </c>
      <c r="P21" s="23" t="n">
        <v>15515</v>
      </c>
      <c r="Q21" s="23" t="n">
        <v>10700</v>
      </c>
      <c r="R21" s="23" t="n">
        <v>40322</v>
      </c>
      <c r="S21" s="23" t="n">
        <v>5807</v>
      </c>
      <c r="T21" s="23" t="n">
        <v>481</v>
      </c>
      <c r="U21" s="23" t="n">
        <v>442</v>
      </c>
      <c r="V21" s="19" t="n">
        <f aca="false">SUM(C21:U21)</f>
        <v>708141</v>
      </c>
      <c r="W21" s="19" t="n">
        <f aca="false">V21-B21</f>
        <v>0</v>
      </c>
    </row>
    <row r="22" customFormat="false" ht="15" hidden="false" customHeight="false" outlineLevel="0" collapsed="false">
      <c r="A22" s="2" t="s">
        <v>148</v>
      </c>
      <c r="B22" s="19" t="n">
        <f aca="false">SUM(B3:B21)</f>
        <v>49801559</v>
      </c>
      <c r="C22" s="19" t="n">
        <f aca="false">SUM(C3:C21)</f>
        <v>8778051</v>
      </c>
      <c r="D22" s="19" t="n">
        <f aca="false">SUM(D3:D21)</f>
        <v>1389298</v>
      </c>
      <c r="E22" s="19" t="n">
        <f aca="false">SUM(E3:E21)</f>
        <v>1026726</v>
      </c>
      <c r="F22" s="19" t="n">
        <f aca="false">SUM(F3:F21)</f>
        <v>1266279</v>
      </c>
      <c r="G22" s="19" t="n">
        <f aca="false">SUM(G3:G21)</f>
        <v>2277705</v>
      </c>
      <c r="H22" s="19" t="n">
        <f aca="false">SUM(H3:H21)</f>
        <v>599056</v>
      </c>
      <c r="I22" s="19" t="n">
        <f aca="false">SUM(I3:I21)</f>
        <v>2427156</v>
      </c>
      <c r="J22" s="19" t="n">
        <f aca="false">SUM(J3:J21)</f>
        <v>2169241</v>
      </c>
      <c r="K22" s="19" t="n">
        <f aca="false">SUM(K3:K21)</f>
        <v>8233788</v>
      </c>
      <c r="L22" s="19" t="n">
        <f aca="false">SUM(L3:L21)</f>
        <v>5574948</v>
      </c>
      <c r="M22" s="19" t="n">
        <f aca="false">SUM(M3:M21)</f>
        <v>1055849</v>
      </c>
      <c r="N22" s="19" t="n">
        <f aca="false">SUM(N3:N21)</f>
        <v>2734494</v>
      </c>
      <c r="O22" s="19" t="n">
        <f aca="false">SUM(O3:O21)</f>
        <v>7201554</v>
      </c>
      <c r="P22" s="19" t="n">
        <f aca="false">SUM(P3:P21)</f>
        <v>1616189</v>
      </c>
      <c r="Q22" s="19" t="n">
        <f aca="false">SUM(Q3:Q21)</f>
        <v>692026</v>
      </c>
      <c r="R22" s="19" t="n">
        <f aca="false">SUM(R3:R21)</f>
        <v>2257392</v>
      </c>
      <c r="S22" s="19" t="n">
        <f aca="false">SUM(S3:S21)</f>
        <v>330756</v>
      </c>
      <c r="T22" s="19" t="n">
        <f aca="false">SUM(T3:T21)</f>
        <v>84435</v>
      </c>
      <c r="U22" s="19" t="n">
        <f aca="false">SUM(U3:U21)</f>
        <v>86616</v>
      </c>
    </row>
    <row r="23" customFormat="false" ht="15" hidden="false" customHeight="false" outlineLevel="0" collapsed="false">
      <c r="A23" s="2" t="s">
        <v>149</v>
      </c>
      <c r="B23" s="19" t="n">
        <f aca="false">B22-B2</f>
        <v>0</v>
      </c>
      <c r="C23" s="19" t="n">
        <f aca="false">C22-C2</f>
        <v>0</v>
      </c>
      <c r="D23" s="19" t="n">
        <f aca="false">D22-D2</f>
        <v>0</v>
      </c>
      <c r="E23" s="19" t="n">
        <f aca="false">E22-E2</f>
        <v>0</v>
      </c>
      <c r="F23" s="19" t="n">
        <f aca="false">F22-F2</f>
        <v>0</v>
      </c>
      <c r="G23" s="19" t="n">
        <f aca="false">G22-G2</f>
        <v>0</v>
      </c>
      <c r="H23" s="19" t="n">
        <f aca="false">H22-H2</f>
        <v>0</v>
      </c>
      <c r="I23" s="19" t="n">
        <f aca="false">I22-I2</f>
        <v>0</v>
      </c>
      <c r="J23" s="19" t="n">
        <f aca="false">J22-J2</f>
        <v>0</v>
      </c>
      <c r="K23" s="19" t="n">
        <f aca="false">K22-K2</f>
        <v>0</v>
      </c>
      <c r="L23" s="19" t="n">
        <f aca="false">L22-L2</f>
        <v>0</v>
      </c>
      <c r="M23" s="19" t="n">
        <f aca="false">M22-M2</f>
        <v>0</v>
      </c>
      <c r="N23" s="19" t="n">
        <f aca="false">N22-N2</f>
        <v>0</v>
      </c>
      <c r="O23" s="19" t="n">
        <f aca="false">O22-O2</f>
        <v>0</v>
      </c>
      <c r="P23" s="19" t="n">
        <f aca="false">P22-P2</f>
        <v>0</v>
      </c>
      <c r="Q23" s="19" t="n">
        <f aca="false">Q22-Q2</f>
        <v>0</v>
      </c>
      <c r="R23" s="19" t="n">
        <f aca="false">R22-R2</f>
        <v>0</v>
      </c>
      <c r="S23" s="19" t="n">
        <f aca="false">S22-S2</f>
        <v>0</v>
      </c>
      <c r="T23" s="19" t="n">
        <f aca="false">T22-T2</f>
        <v>0</v>
      </c>
      <c r="U23" s="19" t="n">
        <f aca="false">U22-U2</f>
        <v>0</v>
      </c>
    </row>
    <row r="25" customFormat="false" ht="15" hidden="false" customHeight="false" outlineLevel="0" collapsed="false">
      <c r="A25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3" min="2" style="0" width="13"/>
  </cols>
  <sheetData>
    <row r="1" customFormat="false" ht="43.5" hidden="false" customHeight="true" outlineLevel="0" collapsed="false">
      <c r="A1" s="4" t="s">
        <v>127</v>
      </c>
      <c r="B1" s="4" t="s">
        <v>54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55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</row>
    <row r="2" customFormat="false" ht="15" hidden="false" customHeight="false" outlineLevel="0" collapsed="false">
      <c r="A2" s="2" t="s">
        <v>128</v>
      </c>
      <c r="B2" s="23" t="n">
        <v>24462607</v>
      </c>
      <c r="C2" s="23" t="n">
        <v>4325544</v>
      </c>
      <c r="D2" s="23" t="n">
        <v>692004</v>
      </c>
      <c r="E2" s="23" t="n">
        <v>490857</v>
      </c>
      <c r="F2" s="23" t="n">
        <v>630803</v>
      </c>
      <c r="G2" s="23" t="n">
        <v>1123287</v>
      </c>
      <c r="H2" s="23" t="n">
        <v>290615</v>
      </c>
      <c r="I2" s="23" t="n">
        <v>1197212</v>
      </c>
      <c r="J2" s="23" t="n">
        <v>1091733</v>
      </c>
      <c r="K2" s="23" t="n">
        <v>4075424</v>
      </c>
      <c r="L2" s="23" t="n">
        <v>2751166</v>
      </c>
      <c r="M2" s="23" t="n">
        <v>521897</v>
      </c>
      <c r="N2" s="23" t="n">
        <v>1318709</v>
      </c>
      <c r="O2" s="23" t="n">
        <v>3450616</v>
      </c>
      <c r="P2" s="23" t="n">
        <v>809334</v>
      </c>
      <c r="Q2" s="23" t="n">
        <v>343437</v>
      </c>
      <c r="R2" s="23" t="n">
        <v>1100960</v>
      </c>
      <c r="S2" s="23" t="n">
        <v>163319</v>
      </c>
      <c r="T2" s="23" t="n">
        <v>42552</v>
      </c>
      <c r="U2" s="23" t="n">
        <v>43138</v>
      </c>
      <c r="V2" s="19" t="n">
        <f aca="false">SUM(C2:U2)</f>
        <v>24462607</v>
      </c>
      <c r="W2" s="19" t="n">
        <f aca="false">V2-B2</f>
        <v>0</v>
      </c>
    </row>
    <row r="3" customFormat="false" ht="15" hidden="false" customHeight="false" outlineLevel="0" collapsed="false">
      <c r="A3" s="12" t="s">
        <v>129</v>
      </c>
      <c r="B3" s="23" t="n">
        <v>862695</v>
      </c>
      <c r="C3" s="23" t="n">
        <v>163119</v>
      </c>
      <c r="D3" s="23" t="n">
        <v>23765</v>
      </c>
      <c r="E3" s="23" t="n">
        <v>13010</v>
      </c>
      <c r="F3" s="23" t="n">
        <v>23176</v>
      </c>
      <c r="G3" s="23" t="n">
        <v>31948</v>
      </c>
      <c r="H3" s="23" t="n">
        <v>8292</v>
      </c>
      <c r="I3" s="23" t="n">
        <v>35410</v>
      </c>
      <c r="J3" s="23" t="n">
        <v>40389</v>
      </c>
      <c r="K3" s="23" t="n">
        <v>145970</v>
      </c>
      <c r="L3" s="23" t="n">
        <v>98688</v>
      </c>
      <c r="M3" s="23" t="n">
        <v>17873</v>
      </c>
      <c r="N3" s="23" t="n">
        <v>37449</v>
      </c>
      <c r="O3" s="23" t="n">
        <v>132557</v>
      </c>
      <c r="P3" s="23" t="n">
        <v>33793</v>
      </c>
      <c r="Q3" s="23" t="n">
        <v>12520</v>
      </c>
      <c r="R3" s="23" t="n">
        <v>35325</v>
      </c>
      <c r="S3" s="23" t="n">
        <v>5625</v>
      </c>
      <c r="T3" s="23" t="n">
        <v>1771</v>
      </c>
      <c r="U3" s="23" t="n">
        <v>2015</v>
      </c>
      <c r="V3" s="19" t="n">
        <f aca="false">SUM(C3:U3)</f>
        <v>862695</v>
      </c>
      <c r="W3" s="19" t="n">
        <f aca="false">V3-B3</f>
        <v>0</v>
      </c>
    </row>
    <row r="4" customFormat="false" ht="15" hidden="false" customHeight="false" outlineLevel="0" collapsed="false">
      <c r="A4" s="12" t="s">
        <v>130</v>
      </c>
      <c r="B4" s="23" t="n">
        <v>1045841</v>
      </c>
      <c r="C4" s="23" t="n">
        <v>196491</v>
      </c>
      <c r="D4" s="23" t="n">
        <v>28771</v>
      </c>
      <c r="E4" s="23" t="n">
        <v>16588</v>
      </c>
      <c r="F4" s="23" t="n">
        <v>27818</v>
      </c>
      <c r="G4" s="23" t="n">
        <v>41959</v>
      </c>
      <c r="H4" s="23" t="n">
        <v>10946</v>
      </c>
      <c r="I4" s="23" t="n">
        <v>43346</v>
      </c>
      <c r="J4" s="23" t="n">
        <v>48563</v>
      </c>
      <c r="K4" s="23" t="n">
        <v>176587</v>
      </c>
      <c r="L4" s="23" t="n">
        <v>120193</v>
      </c>
      <c r="M4" s="23" t="n">
        <v>21519</v>
      </c>
      <c r="N4" s="23" t="n">
        <v>48333</v>
      </c>
      <c r="O4" s="23" t="n">
        <v>152507</v>
      </c>
      <c r="P4" s="23" t="n">
        <v>40694</v>
      </c>
      <c r="Q4" s="23" t="n">
        <v>15642</v>
      </c>
      <c r="R4" s="23" t="n">
        <v>43789</v>
      </c>
      <c r="S4" s="23" t="n">
        <v>7005</v>
      </c>
      <c r="T4" s="23" t="n">
        <v>2267</v>
      </c>
      <c r="U4" s="23" t="n">
        <v>2823</v>
      </c>
      <c r="V4" s="19" t="n">
        <f aca="false">SUM(C4:U4)</f>
        <v>1045841</v>
      </c>
      <c r="W4" s="19" t="n">
        <f aca="false">V4-B4</f>
        <v>0</v>
      </c>
    </row>
    <row r="5" customFormat="false" ht="15" hidden="false" customHeight="false" outlineLevel="0" collapsed="false">
      <c r="A5" s="12" t="s">
        <v>131</v>
      </c>
      <c r="B5" s="23" t="n">
        <v>1263648</v>
      </c>
      <c r="C5" s="23" t="n">
        <v>234078</v>
      </c>
      <c r="D5" s="23" t="n">
        <v>34963</v>
      </c>
      <c r="E5" s="23" t="n">
        <v>20767</v>
      </c>
      <c r="F5" s="23" t="n">
        <v>31748</v>
      </c>
      <c r="G5" s="23" t="n">
        <v>50813</v>
      </c>
      <c r="H5" s="23" t="n">
        <v>13951</v>
      </c>
      <c r="I5" s="23" t="n">
        <v>53550</v>
      </c>
      <c r="J5" s="23" t="n">
        <v>58336</v>
      </c>
      <c r="K5" s="23" t="n">
        <v>214599</v>
      </c>
      <c r="L5" s="23" t="n">
        <v>144872</v>
      </c>
      <c r="M5" s="23" t="n">
        <v>24988</v>
      </c>
      <c r="N5" s="23" t="n">
        <v>59078</v>
      </c>
      <c r="O5" s="23" t="n">
        <v>184765</v>
      </c>
      <c r="P5" s="23" t="n">
        <v>48120</v>
      </c>
      <c r="Q5" s="23" t="n">
        <v>19235</v>
      </c>
      <c r="R5" s="23" t="n">
        <v>55005</v>
      </c>
      <c r="S5" s="23" t="n">
        <v>8589</v>
      </c>
      <c r="T5" s="23" t="n">
        <v>2831</v>
      </c>
      <c r="U5" s="23" t="n">
        <v>3360</v>
      </c>
      <c r="V5" s="19" t="n">
        <f aca="false">SUM(C5:U5)</f>
        <v>1263648</v>
      </c>
      <c r="W5" s="19" t="n">
        <f aca="false">V5-B5</f>
        <v>0</v>
      </c>
    </row>
    <row r="6" customFormat="false" ht="15" hidden="false" customHeight="false" outlineLevel="0" collapsed="false">
      <c r="A6" s="12" t="s">
        <v>132</v>
      </c>
      <c r="B6" s="23" t="n">
        <v>1425869</v>
      </c>
      <c r="C6" s="23" t="n">
        <v>265905</v>
      </c>
      <c r="D6" s="23" t="n">
        <v>39150</v>
      </c>
      <c r="E6" s="23" t="n">
        <v>23616</v>
      </c>
      <c r="F6" s="23" t="n">
        <v>35675</v>
      </c>
      <c r="G6" s="23" t="n">
        <v>62097</v>
      </c>
      <c r="H6" s="23" t="n">
        <v>16093</v>
      </c>
      <c r="I6" s="23" t="n">
        <v>59490</v>
      </c>
      <c r="J6" s="23" t="n">
        <v>64145</v>
      </c>
      <c r="K6" s="23" t="n">
        <v>244717</v>
      </c>
      <c r="L6" s="23" t="n">
        <v>163337</v>
      </c>
      <c r="M6" s="23" t="n">
        <v>28546</v>
      </c>
      <c r="N6" s="23" t="n">
        <v>65700</v>
      </c>
      <c r="O6" s="23" t="n">
        <v>205382</v>
      </c>
      <c r="P6" s="23" t="n">
        <v>53192</v>
      </c>
      <c r="Q6" s="23" t="n">
        <v>21020</v>
      </c>
      <c r="R6" s="23" t="n">
        <v>61892</v>
      </c>
      <c r="S6" s="23" t="n">
        <v>9518</v>
      </c>
      <c r="T6" s="23" t="n">
        <v>3094</v>
      </c>
      <c r="U6" s="23" t="n">
        <v>3300</v>
      </c>
      <c r="V6" s="19" t="n">
        <f aca="false">SUM(C6:U6)</f>
        <v>1425869</v>
      </c>
      <c r="W6" s="19" t="n">
        <f aca="false">V6-B6</f>
        <v>0</v>
      </c>
    </row>
    <row r="7" customFormat="false" ht="15" hidden="false" customHeight="false" outlineLevel="0" collapsed="false">
      <c r="A7" s="12" t="s">
        <v>133</v>
      </c>
      <c r="B7" s="23" t="n">
        <v>1459733</v>
      </c>
      <c r="C7" s="23" t="n">
        <v>264259</v>
      </c>
      <c r="D7" s="23" t="n">
        <v>40308</v>
      </c>
      <c r="E7" s="23" t="n">
        <v>23262</v>
      </c>
      <c r="F7" s="23" t="n">
        <v>37834</v>
      </c>
      <c r="G7" s="23" t="n">
        <v>67339</v>
      </c>
      <c r="H7" s="23" t="n">
        <v>15791</v>
      </c>
      <c r="I7" s="23" t="n">
        <v>61274</v>
      </c>
      <c r="J7" s="23" t="n">
        <v>64090</v>
      </c>
      <c r="K7" s="23" t="n">
        <v>258256</v>
      </c>
      <c r="L7" s="23" t="n">
        <v>165247</v>
      </c>
      <c r="M7" s="23" t="n">
        <v>28083</v>
      </c>
      <c r="N7" s="23" t="n">
        <v>65516</v>
      </c>
      <c r="O7" s="23" t="n">
        <v>215642</v>
      </c>
      <c r="P7" s="23" t="n">
        <v>53052</v>
      </c>
      <c r="Q7" s="23" t="n">
        <v>21039</v>
      </c>
      <c r="R7" s="23" t="n">
        <v>63150</v>
      </c>
      <c r="S7" s="23" t="n">
        <v>9224</v>
      </c>
      <c r="T7" s="23" t="n">
        <v>3178</v>
      </c>
      <c r="U7" s="23" t="n">
        <v>3189</v>
      </c>
      <c r="V7" s="19" t="n">
        <f aca="false">SUM(C7:U7)</f>
        <v>1459733</v>
      </c>
      <c r="W7" s="19" t="n">
        <f aca="false">V7-B7</f>
        <v>0</v>
      </c>
    </row>
    <row r="8" customFormat="false" ht="15" hidden="false" customHeight="false" outlineLevel="0" collapsed="false">
      <c r="A8" s="12" t="s">
        <v>134</v>
      </c>
      <c r="B8" s="23" t="n">
        <v>1461430</v>
      </c>
      <c r="C8" s="23" t="n">
        <v>252683</v>
      </c>
      <c r="D8" s="23" t="n">
        <v>40715</v>
      </c>
      <c r="E8" s="23" t="n">
        <v>22592</v>
      </c>
      <c r="F8" s="23" t="n">
        <v>41847</v>
      </c>
      <c r="G8" s="23" t="n">
        <v>68786</v>
      </c>
      <c r="H8" s="23" t="n">
        <v>14156</v>
      </c>
      <c r="I8" s="23" t="n">
        <v>60010</v>
      </c>
      <c r="J8" s="23" t="n">
        <v>63239</v>
      </c>
      <c r="K8" s="23" t="n">
        <v>266309</v>
      </c>
      <c r="L8" s="23" t="n">
        <v>163669</v>
      </c>
      <c r="M8" s="23" t="n">
        <v>27469</v>
      </c>
      <c r="N8" s="23" t="n">
        <v>63908</v>
      </c>
      <c r="O8" s="23" t="n">
        <v>228290</v>
      </c>
      <c r="P8" s="23" t="n">
        <v>50671</v>
      </c>
      <c r="Q8" s="23" t="n">
        <v>20365</v>
      </c>
      <c r="R8" s="23" t="n">
        <v>61985</v>
      </c>
      <c r="S8" s="23" t="n">
        <v>8779</v>
      </c>
      <c r="T8" s="23" t="n">
        <v>2909</v>
      </c>
      <c r="U8" s="23" t="n">
        <v>3048</v>
      </c>
      <c r="V8" s="19" t="n">
        <f aca="false">SUM(C8:U8)</f>
        <v>1461430</v>
      </c>
      <c r="W8" s="19" t="n">
        <f aca="false">V8-B8</f>
        <v>0</v>
      </c>
    </row>
    <row r="9" customFormat="false" ht="15" hidden="false" customHeight="false" outlineLevel="0" collapsed="false">
      <c r="A9" s="12" t="s">
        <v>135</v>
      </c>
      <c r="B9" s="23" t="n">
        <v>1495335</v>
      </c>
      <c r="C9" s="23" t="n">
        <v>260132</v>
      </c>
      <c r="D9" s="23" t="n">
        <v>40698</v>
      </c>
      <c r="E9" s="23" t="n">
        <v>22760</v>
      </c>
      <c r="F9" s="23" t="n">
        <v>44876</v>
      </c>
      <c r="G9" s="23" t="n">
        <v>71107</v>
      </c>
      <c r="H9" s="23" t="n">
        <v>14365</v>
      </c>
      <c r="I9" s="23" t="n">
        <v>60641</v>
      </c>
      <c r="J9" s="23" t="n">
        <v>65167</v>
      </c>
      <c r="K9" s="23" t="n">
        <v>272862</v>
      </c>
      <c r="L9" s="23" t="n">
        <v>168573</v>
      </c>
      <c r="M9" s="23" t="n">
        <v>28682</v>
      </c>
      <c r="N9" s="23" t="n">
        <v>66843</v>
      </c>
      <c r="O9" s="23" t="n">
        <v>234748</v>
      </c>
      <c r="P9" s="23" t="n">
        <v>50165</v>
      </c>
      <c r="Q9" s="23" t="n">
        <v>19935</v>
      </c>
      <c r="R9" s="23" t="n">
        <v>59528</v>
      </c>
      <c r="S9" s="23" t="n">
        <v>8637</v>
      </c>
      <c r="T9" s="23" t="n">
        <v>2736</v>
      </c>
      <c r="U9" s="23" t="n">
        <v>2880</v>
      </c>
      <c r="V9" s="19" t="n">
        <f aca="false">SUM(C9:U9)</f>
        <v>1495335</v>
      </c>
      <c r="W9" s="19" t="n">
        <f aca="false">V9-B9</f>
        <v>0</v>
      </c>
    </row>
    <row r="10" customFormat="false" ht="15" hidden="false" customHeight="false" outlineLevel="0" collapsed="false">
      <c r="A10" s="12" t="s">
        <v>136</v>
      </c>
      <c r="B10" s="23" t="n">
        <v>1552717</v>
      </c>
      <c r="C10" s="23" t="n">
        <v>277790</v>
      </c>
      <c r="D10" s="23" t="n">
        <v>42115</v>
      </c>
      <c r="E10" s="23" t="n">
        <v>26198</v>
      </c>
      <c r="F10" s="23" t="n">
        <v>46724</v>
      </c>
      <c r="G10" s="23" t="n">
        <v>75812</v>
      </c>
      <c r="H10" s="23" t="n">
        <v>16091</v>
      </c>
      <c r="I10" s="23" t="n">
        <v>65288</v>
      </c>
      <c r="J10" s="23" t="n">
        <v>69954</v>
      </c>
      <c r="K10" s="23" t="n">
        <v>271621</v>
      </c>
      <c r="L10" s="23" t="n">
        <v>175623</v>
      </c>
      <c r="M10" s="23" t="n">
        <v>32162</v>
      </c>
      <c r="N10" s="23" t="n">
        <v>74180</v>
      </c>
      <c r="O10" s="23" t="n">
        <v>231729</v>
      </c>
      <c r="P10" s="23" t="n">
        <v>51680</v>
      </c>
      <c r="Q10" s="23" t="n">
        <v>19915</v>
      </c>
      <c r="R10" s="23" t="n">
        <v>60959</v>
      </c>
      <c r="S10" s="23" t="n">
        <v>9494</v>
      </c>
      <c r="T10" s="23" t="n">
        <v>2739</v>
      </c>
      <c r="U10" s="23" t="n">
        <v>2643</v>
      </c>
      <c r="V10" s="19" t="n">
        <f aca="false">SUM(C10:U10)</f>
        <v>1552717</v>
      </c>
      <c r="W10" s="19" t="n">
        <f aca="false">V10-B10</f>
        <v>0</v>
      </c>
    </row>
    <row r="11" customFormat="false" ht="15" hidden="false" customHeight="false" outlineLevel="0" collapsed="false">
      <c r="A11" s="12" t="s">
        <v>137</v>
      </c>
      <c r="B11" s="23" t="n">
        <v>1705943</v>
      </c>
      <c r="C11" s="23" t="n">
        <v>307195</v>
      </c>
      <c r="D11" s="23" t="n">
        <v>46735</v>
      </c>
      <c r="E11" s="23" t="n">
        <v>32406</v>
      </c>
      <c r="F11" s="23" t="n">
        <v>49504</v>
      </c>
      <c r="G11" s="23" t="n">
        <v>81708</v>
      </c>
      <c r="H11" s="23" t="n">
        <v>19864</v>
      </c>
      <c r="I11" s="23" t="n">
        <v>75698</v>
      </c>
      <c r="J11" s="23" t="n">
        <v>77527</v>
      </c>
      <c r="K11" s="23" t="n">
        <v>285682</v>
      </c>
      <c r="L11" s="23" t="n">
        <v>192446</v>
      </c>
      <c r="M11" s="23" t="n">
        <v>35139</v>
      </c>
      <c r="N11" s="23" t="n">
        <v>89413</v>
      </c>
      <c r="O11" s="23" t="n">
        <v>245592</v>
      </c>
      <c r="P11" s="23" t="n">
        <v>56674</v>
      </c>
      <c r="Q11" s="23" t="n">
        <v>22395</v>
      </c>
      <c r="R11" s="23" t="n">
        <v>70963</v>
      </c>
      <c r="S11" s="23" t="n">
        <v>11012</v>
      </c>
      <c r="T11" s="23" t="n">
        <v>3028</v>
      </c>
      <c r="U11" s="23" t="n">
        <v>2962</v>
      </c>
      <c r="V11" s="19" t="n">
        <f aca="false">SUM(C11:U11)</f>
        <v>1705943</v>
      </c>
      <c r="W11" s="19" t="n">
        <f aca="false">V11-B11</f>
        <v>0</v>
      </c>
    </row>
    <row r="12" customFormat="false" ht="15" hidden="false" customHeight="false" outlineLevel="0" collapsed="false">
      <c r="A12" s="12" t="s">
        <v>138</v>
      </c>
      <c r="B12" s="23" t="n">
        <v>2012335</v>
      </c>
      <c r="C12" s="23" t="n">
        <v>355322</v>
      </c>
      <c r="D12" s="23" t="n">
        <v>55918</v>
      </c>
      <c r="E12" s="23" t="n">
        <v>41288</v>
      </c>
      <c r="F12" s="23" t="n">
        <v>54759</v>
      </c>
      <c r="G12" s="23" t="n">
        <v>94883</v>
      </c>
      <c r="H12" s="23" t="n">
        <v>25105</v>
      </c>
      <c r="I12" s="23" t="n">
        <v>91973</v>
      </c>
      <c r="J12" s="23" t="n">
        <v>89992</v>
      </c>
      <c r="K12" s="23" t="n">
        <v>336536</v>
      </c>
      <c r="L12" s="23" t="n">
        <v>229553</v>
      </c>
      <c r="M12" s="23" t="n">
        <v>39299</v>
      </c>
      <c r="N12" s="23" t="n">
        <v>112281</v>
      </c>
      <c r="O12" s="23" t="n">
        <v>281493</v>
      </c>
      <c r="P12" s="23" t="n">
        <v>68723</v>
      </c>
      <c r="Q12" s="23" t="n">
        <v>27337</v>
      </c>
      <c r="R12" s="23" t="n">
        <v>88021</v>
      </c>
      <c r="S12" s="23" t="n">
        <v>13536</v>
      </c>
      <c r="T12" s="23" t="n">
        <v>3304</v>
      </c>
      <c r="U12" s="23" t="n">
        <v>3012</v>
      </c>
      <c r="V12" s="19" t="n">
        <f aca="false">SUM(C12:U12)</f>
        <v>2012335</v>
      </c>
      <c r="W12" s="19" t="n">
        <f aca="false">V12-B12</f>
        <v>0</v>
      </c>
    </row>
    <row r="13" customFormat="false" ht="15" hidden="false" customHeight="false" outlineLevel="0" collapsed="false">
      <c r="A13" s="12" t="s">
        <v>139</v>
      </c>
      <c r="B13" s="23" t="n">
        <v>2030098</v>
      </c>
      <c r="C13" s="23" t="n">
        <v>351136</v>
      </c>
      <c r="D13" s="23" t="n">
        <v>57288</v>
      </c>
      <c r="E13" s="23" t="n">
        <v>43481</v>
      </c>
      <c r="F13" s="23" t="n">
        <v>53653</v>
      </c>
      <c r="G13" s="23" t="n">
        <v>101799</v>
      </c>
      <c r="H13" s="23" t="n">
        <v>25111</v>
      </c>
      <c r="I13" s="23" t="n">
        <v>95687</v>
      </c>
      <c r="J13" s="23" t="n">
        <v>87878</v>
      </c>
      <c r="K13" s="23" t="n">
        <v>338369</v>
      </c>
      <c r="L13" s="23" t="n">
        <v>227562</v>
      </c>
      <c r="M13" s="23" t="n">
        <v>41013</v>
      </c>
      <c r="N13" s="23" t="n">
        <v>113216</v>
      </c>
      <c r="O13" s="23" t="n">
        <v>287048</v>
      </c>
      <c r="P13" s="23" t="n">
        <v>65730</v>
      </c>
      <c r="Q13" s="23" t="n">
        <v>28174</v>
      </c>
      <c r="R13" s="23" t="n">
        <v>92961</v>
      </c>
      <c r="S13" s="23" t="n">
        <v>13792</v>
      </c>
      <c r="T13" s="23" t="n">
        <v>3352</v>
      </c>
      <c r="U13" s="23" t="n">
        <v>2848</v>
      </c>
      <c r="V13" s="19" t="n">
        <f aca="false">SUM(C13:U13)</f>
        <v>2030098</v>
      </c>
      <c r="W13" s="19" t="n">
        <f aca="false">V13-B13</f>
        <v>0</v>
      </c>
    </row>
    <row r="14" customFormat="false" ht="15" hidden="false" customHeight="false" outlineLevel="0" collapsed="false">
      <c r="A14" s="12" t="s">
        <v>140</v>
      </c>
      <c r="B14" s="23" t="n">
        <v>1852320</v>
      </c>
      <c r="C14" s="23" t="n">
        <v>329420</v>
      </c>
      <c r="D14" s="23" t="n">
        <v>52222</v>
      </c>
      <c r="E14" s="23" t="n">
        <v>40121</v>
      </c>
      <c r="F14" s="23" t="n">
        <v>46453</v>
      </c>
      <c r="G14" s="23" t="n">
        <v>95867</v>
      </c>
      <c r="H14" s="23" t="n">
        <v>23335</v>
      </c>
      <c r="I14" s="23" t="n">
        <v>95354</v>
      </c>
      <c r="J14" s="23" t="n">
        <v>82744</v>
      </c>
      <c r="K14" s="23" t="n">
        <v>294565</v>
      </c>
      <c r="L14" s="23" t="n">
        <v>206765</v>
      </c>
      <c r="M14" s="23" t="n">
        <v>41363</v>
      </c>
      <c r="N14" s="23" t="n">
        <v>104512</v>
      </c>
      <c r="O14" s="23" t="n">
        <v>250556</v>
      </c>
      <c r="P14" s="23" t="n">
        <v>58881</v>
      </c>
      <c r="Q14" s="23" t="n">
        <v>25968</v>
      </c>
      <c r="R14" s="23" t="n">
        <v>85950</v>
      </c>
      <c r="S14" s="23" t="n">
        <v>12421</v>
      </c>
      <c r="T14" s="23" t="n">
        <v>2976</v>
      </c>
      <c r="U14" s="23" t="n">
        <v>2847</v>
      </c>
      <c r="V14" s="19" t="n">
        <f aca="false">SUM(C14:U14)</f>
        <v>1852320</v>
      </c>
      <c r="W14" s="19" t="n">
        <f aca="false">V14-B14</f>
        <v>0</v>
      </c>
    </row>
    <row r="15" customFormat="false" ht="15" hidden="false" customHeight="false" outlineLevel="0" collapsed="false">
      <c r="A15" s="12" t="s">
        <v>141</v>
      </c>
      <c r="B15" s="23" t="n">
        <v>1668474</v>
      </c>
      <c r="C15" s="23" t="n">
        <v>300379</v>
      </c>
      <c r="D15" s="23" t="n">
        <v>48597</v>
      </c>
      <c r="E15" s="23" t="n">
        <v>38606</v>
      </c>
      <c r="F15" s="23" t="n">
        <v>38989</v>
      </c>
      <c r="G15" s="23" t="n">
        <v>84709</v>
      </c>
      <c r="H15" s="23" t="n">
        <v>21604</v>
      </c>
      <c r="I15" s="23" t="n">
        <v>94688</v>
      </c>
      <c r="J15" s="23" t="n">
        <v>76810</v>
      </c>
      <c r="K15" s="23" t="n">
        <v>254378</v>
      </c>
      <c r="L15" s="23" t="n">
        <v>184785</v>
      </c>
      <c r="M15" s="23" t="n">
        <v>41867</v>
      </c>
      <c r="N15" s="23" t="n">
        <v>95202</v>
      </c>
      <c r="O15" s="23" t="n">
        <v>216241</v>
      </c>
      <c r="P15" s="23" t="n">
        <v>51276</v>
      </c>
      <c r="Q15" s="23" t="n">
        <v>23286</v>
      </c>
      <c r="R15" s="23" t="n">
        <v>80237</v>
      </c>
      <c r="S15" s="23" t="n">
        <v>11369</v>
      </c>
      <c r="T15" s="23" t="n">
        <v>2793</v>
      </c>
      <c r="U15" s="23" t="n">
        <v>2658</v>
      </c>
      <c r="V15" s="19" t="n">
        <f aca="false">SUM(C15:U15)</f>
        <v>1668474</v>
      </c>
      <c r="W15" s="19" t="n">
        <f aca="false">V15-B15</f>
        <v>0</v>
      </c>
    </row>
    <row r="16" customFormat="false" ht="15" hidden="false" customHeight="false" outlineLevel="0" collapsed="false">
      <c r="A16" s="12" t="s">
        <v>142</v>
      </c>
      <c r="B16" s="23" t="n">
        <v>1419051</v>
      </c>
      <c r="C16" s="23" t="n">
        <v>251959</v>
      </c>
      <c r="D16" s="23" t="n">
        <v>41983</v>
      </c>
      <c r="E16" s="23" t="n">
        <v>37157</v>
      </c>
      <c r="F16" s="23" t="n">
        <v>30955</v>
      </c>
      <c r="G16" s="23" t="n">
        <v>64781</v>
      </c>
      <c r="H16" s="23" t="n">
        <v>20463</v>
      </c>
      <c r="I16" s="23" t="n">
        <v>88294</v>
      </c>
      <c r="J16" s="23" t="n">
        <v>65442</v>
      </c>
      <c r="K16" s="23" t="n">
        <v>212266</v>
      </c>
      <c r="L16" s="23" t="n">
        <v>158377</v>
      </c>
      <c r="M16" s="23" t="n">
        <v>36828</v>
      </c>
      <c r="N16" s="23" t="n">
        <v>88540</v>
      </c>
      <c r="O16" s="23" t="n">
        <v>174585</v>
      </c>
      <c r="P16" s="23" t="n">
        <v>41760</v>
      </c>
      <c r="Q16" s="23" t="n">
        <v>19789</v>
      </c>
      <c r="R16" s="23" t="n">
        <v>71059</v>
      </c>
      <c r="S16" s="23" t="n">
        <v>10344</v>
      </c>
      <c r="T16" s="23" t="n">
        <v>2165</v>
      </c>
      <c r="U16" s="23" t="n">
        <v>2304</v>
      </c>
      <c r="V16" s="19" t="n">
        <f aca="false">SUM(C16:U16)</f>
        <v>1419051</v>
      </c>
      <c r="W16" s="19" t="n">
        <f aca="false">V16-B16</f>
        <v>0</v>
      </c>
    </row>
    <row r="17" customFormat="false" ht="15" hidden="false" customHeight="false" outlineLevel="0" collapsed="false">
      <c r="A17" s="12" t="s">
        <v>143</v>
      </c>
      <c r="B17" s="23" t="n">
        <v>1110272</v>
      </c>
      <c r="C17" s="23" t="n">
        <v>190384</v>
      </c>
      <c r="D17" s="23" t="n">
        <v>33084</v>
      </c>
      <c r="E17" s="23" t="n">
        <v>31127</v>
      </c>
      <c r="F17" s="23" t="n">
        <v>24224</v>
      </c>
      <c r="G17" s="23" t="n">
        <v>49196</v>
      </c>
      <c r="H17" s="23" t="n">
        <v>16365</v>
      </c>
      <c r="I17" s="23" t="n">
        <v>70898</v>
      </c>
      <c r="J17" s="23" t="n">
        <v>46926</v>
      </c>
      <c r="K17" s="23" t="n">
        <v>171473</v>
      </c>
      <c r="L17" s="23" t="n">
        <v>124403</v>
      </c>
      <c r="M17" s="23" t="n">
        <v>27148</v>
      </c>
      <c r="N17" s="23" t="n">
        <v>74599</v>
      </c>
      <c r="O17" s="23" t="n">
        <v>135504</v>
      </c>
      <c r="P17" s="23" t="n">
        <v>30664</v>
      </c>
      <c r="Q17" s="23" t="n">
        <v>15866</v>
      </c>
      <c r="R17" s="23" t="n">
        <v>57367</v>
      </c>
      <c r="S17" s="23" t="n">
        <v>8069</v>
      </c>
      <c r="T17" s="23" t="n">
        <v>1444</v>
      </c>
      <c r="U17" s="23" t="n">
        <v>1531</v>
      </c>
      <c r="V17" s="19" t="n">
        <f aca="false">SUM(C17:U17)</f>
        <v>1110272</v>
      </c>
      <c r="W17" s="19" t="n">
        <f aca="false">V17-B17</f>
        <v>0</v>
      </c>
    </row>
    <row r="18" customFormat="false" ht="15" hidden="false" customHeight="false" outlineLevel="0" collapsed="false">
      <c r="A18" s="12" t="s">
        <v>144</v>
      </c>
      <c r="B18" s="23" t="n">
        <v>898127</v>
      </c>
      <c r="C18" s="23" t="n">
        <v>145583</v>
      </c>
      <c r="D18" s="23" t="n">
        <v>26904</v>
      </c>
      <c r="E18" s="23" t="n">
        <v>25349</v>
      </c>
      <c r="F18" s="23" t="n">
        <v>19276</v>
      </c>
      <c r="G18" s="23" t="n">
        <v>36644</v>
      </c>
      <c r="H18" s="23" t="n">
        <v>13136</v>
      </c>
      <c r="I18" s="23" t="n">
        <v>57658</v>
      </c>
      <c r="J18" s="23" t="n">
        <v>37142</v>
      </c>
      <c r="K18" s="23" t="n">
        <v>141966</v>
      </c>
      <c r="L18" s="23" t="n">
        <v>100255</v>
      </c>
      <c r="M18" s="23" t="n">
        <v>20563</v>
      </c>
      <c r="N18" s="23" t="n">
        <v>64370</v>
      </c>
      <c r="O18" s="23" t="n">
        <v>115196</v>
      </c>
      <c r="P18" s="23" t="n">
        <v>23877</v>
      </c>
      <c r="Q18" s="23" t="n">
        <v>13206</v>
      </c>
      <c r="R18" s="23" t="n">
        <v>48586</v>
      </c>
      <c r="S18" s="23" t="n">
        <v>6675</v>
      </c>
      <c r="T18" s="23" t="n">
        <v>935</v>
      </c>
      <c r="U18" s="23" t="n">
        <v>806</v>
      </c>
      <c r="V18" s="19" t="n">
        <f aca="false">SUM(C18:U18)</f>
        <v>898127</v>
      </c>
      <c r="W18" s="19" t="n">
        <f aca="false">V18-B18</f>
        <v>0</v>
      </c>
    </row>
    <row r="19" customFormat="false" ht="15" hidden="false" customHeight="false" outlineLevel="0" collapsed="false">
      <c r="A19" s="12" t="s">
        <v>145</v>
      </c>
      <c r="B19" s="23" t="n">
        <v>638941</v>
      </c>
      <c r="C19" s="23" t="n">
        <v>100828</v>
      </c>
      <c r="D19" s="23" t="n">
        <v>19950</v>
      </c>
      <c r="E19" s="23" t="n">
        <v>17249</v>
      </c>
      <c r="F19" s="23" t="n">
        <v>13170</v>
      </c>
      <c r="G19" s="23" t="n">
        <v>25052</v>
      </c>
      <c r="H19" s="23" t="n">
        <v>8459</v>
      </c>
      <c r="I19" s="23" t="n">
        <v>43352</v>
      </c>
      <c r="J19" s="23" t="n">
        <v>26178</v>
      </c>
      <c r="K19" s="23" t="n">
        <v>100983</v>
      </c>
      <c r="L19" s="23" t="n">
        <v>69218</v>
      </c>
      <c r="M19" s="23" t="n">
        <v>14983</v>
      </c>
      <c r="N19" s="23" t="n">
        <v>49038</v>
      </c>
      <c r="O19" s="23" t="n">
        <v>84010</v>
      </c>
      <c r="P19" s="23" t="n">
        <v>16109</v>
      </c>
      <c r="Q19" s="23" t="n">
        <v>9707</v>
      </c>
      <c r="R19" s="23" t="n">
        <v>34617</v>
      </c>
      <c r="S19" s="23" t="n">
        <v>4914</v>
      </c>
      <c r="T19" s="23" t="n">
        <v>599</v>
      </c>
      <c r="U19" s="23" t="n">
        <v>525</v>
      </c>
      <c r="V19" s="19" t="n">
        <f aca="false">SUM(C19:U19)</f>
        <v>638941</v>
      </c>
      <c r="W19" s="19" t="n">
        <f aca="false">V19-B19</f>
        <v>0</v>
      </c>
    </row>
    <row r="20" customFormat="false" ht="15" hidden="false" customHeight="false" outlineLevel="0" collapsed="false">
      <c r="A20" s="12" t="s">
        <v>146</v>
      </c>
      <c r="B20" s="23" t="n">
        <v>344950</v>
      </c>
      <c r="C20" s="23" t="n">
        <v>51210</v>
      </c>
      <c r="D20" s="23" t="n">
        <v>10979</v>
      </c>
      <c r="E20" s="23" t="n">
        <v>8808</v>
      </c>
      <c r="F20" s="23" t="n">
        <v>6537</v>
      </c>
      <c r="G20" s="23" t="n">
        <v>12064</v>
      </c>
      <c r="H20" s="23" t="n">
        <v>4464</v>
      </c>
      <c r="I20" s="23" t="n">
        <v>25322</v>
      </c>
      <c r="J20" s="23" t="n">
        <v>15909</v>
      </c>
      <c r="K20" s="23" t="n">
        <v>54815</v>
      </c>
      <c r="L20" s="23" t="n">
        <v>37659</v>
      </c>
      <c r="M20" s="23" t="n">
        <v>8424</v>
      </c>
      <c r="N20" s="23" t="n">
        <v>27161</v>
      </c>
      <c r="O20" s="23" t="n">
        <v>46071</v>
      </c>
      <c r="P20" s="23" t="n">
        <v>9126</v>
      </c>
      <c r="Q20" s="23" t="n">
        <v>4940</v>
      </c>
      <c r="R20" s="23" t="n">
        <v>18328</v>
      </c>
      <c r="S20" s="23" t="n">
        <v>2586</v>
      </c>
      <c r="T20" s="23" t="n">
        <v>286</v>
      </c>
      <c r="U20" s="23" t="n">
        <v>261</v>
      </c>
      <c r="V20" s="19" t="n">
        <f aca="false">SUM(C20:U20)</f>
        <v>344950</v>
      </c>
      <c r="W20" s="19" t="n">
        <f aca="false">V20-B20</f>
        <v>0</v>
      </c>
    </row>
    <row r="21" customFormat="false" ht="15" hidden="false" customHeight="false" outlineLevel="0" collapsed="false">
      <c r="A21" s="12" t="s">
        <v>147</v>
      </c>
      <c r="B21" s="23" t="n">
        <v>214828</v>
      </c>
      <c r="C21" s="23" t="n">
        <v>27671</v>
      </c>
      <c r="D21" s="23" t="n">
        <v>7859</v>
      </c>
      <c r="E21" s="23" t="n">
        <v>6472</v>
      </c>
      <c r="F21" s="23" t="n">
        <v>3585</v>
      </c>
      <c r="G21" s="23" t="n">
        <v>6723</v>
      </c>
      <c r="H21" s="23" t="n">
        <v>3024</v>
      </c>
      <c r="I21" s="23" t="n">
        <v>19279</v>
      </c>
      <c r="J21" s="23" t="n">
        <v>11302</v>
      </c>
      <c r="K21" s="23" t="n">
        <v>33470</v>
      </c>
      <c r="L21" s="23" t="n">
        <v>19941</v>
      </c>
      <c r="M21" s="23" t="n">
        <v>5948</v>
      </c>
      <c r="N21" s="23" t="n">
        <v>19370</v>
      </c>
      <c r="O21" s="23" t="n">
        <v>28700</v>
      </c>
      <c r="P21" s="23" t="n">
        <v>5147</v>
      </c>
      <c r="Q21" s="23" t="n">
        <v>3098</v>
      </c>
      <c r="R21" s="23" t="n">
        <v>11238</v>
      </c>
      <c r="S21" s="23" t="n">
        <v>1730</v>
      </c>
      <c r="T21" s="23" t="n">
        <v>145</v>
      </c>
      <c r="U21" s="23" t="n">
        <v>126</v>
      </c>
      <c r="V21" s="19" t="n">
        <f aca="false">SUM(C21:U21)</f>
        <v>214828</v>
      </c>
      <c r="W21" s="19" t="n">
        <f aca="false">V21-B21</f>
        <v>0</v>
      </c>
    </row>
    <row r="22" customFormat="false" ht="15" hidden="false" customHeight="false" outlineLevel="0" collapsed="false">
      <c r="A22" s="2" t="s">
        <v>148</v>
      </c>
      <c r="B22" s="19" t="n">
        <f aca="false">SUM(B3:B21)</f>
        <v>24462607</v>
      </c>
      <c r="C22" s="19" t="n">
        <f aca="false">SUM(C3:C21)</f>
        <v>4325544</v>
      </c>
      <c r="D22" s="19" t="n">
        <f aca="false">SUM(D3:D21)</f>
        <v>692004</v>
      </c>
      <c r="E22" s="19" t="n">
        <f aca="false">SUM(E3:E21)</f>
        <v>490857</v>
      </c>
      <c r="F22" s="19" t="n">
        <f aca="false">SUM(F3:F21)</f>
        <v>630803</v>
      </c>
      <c r="G22" s="19" t="n">
        <f aca="false">SUM(G3:G21)</f>
        <v>1123287</v>
      </c>
      <c r="H22" s="19" t="n">
        <f aca="false">SUM(H3:H21)</f>
        <v>290615</v>
      </c>
      <c r="I22" s="19" t="n">
        <f aca="false">SUM(I3:I21)</f>
        <v>1197212</v>
      </c>
      <c r="J22" s="19" t="n">
        <f aca="false">SUM(J3:J21)</f>
        <v>1091733</v>
      </c>
      <c r="K22" s="19" t="n">
        <f aca="false">SUM(K3:K21)</f>
        <v>4075424</v>
      </c>
      <c r="L22" s="19" t="n">
        <f aca="false">SUM(L3:L21)</f>
        <v>2751166</v>
      </c>
      <c r="M22" s="19" t="n">
        <f aca="false">SUM(M3:M21)</f>
        <v>521897</v>
      </c>
      <c r="N22" s="19" t="n">
        <f aca="false">SUM(N3:N21)</f>
        <v>1318709</v>
      </c>
      <c r="O22" s="19" t="n">
        <f aca="false">SUM(O3:O21)</f>
        <v>3450616</v>
      </c>
      <c r="P22" s="19" t="n">
        <f aca="false">SUM(P3:P21)</f>
        <v>809334</v>
      </c>
      <c r="Q22" s="19" t="n">
        <f aca="false">SUM(Q3:Q21)</f>
        <v>343437</v>
      </c>
      <c r="R22" s="19" t="n">
        <f aca="false">SUM(R3:R21)</f>
        <v>1100960</v>
      </c>
      <c r="S22" s="19" t="n">
        <f aca="false">SUM(S3:S21)</f>
        <v>163319</v>
      </c>
      <c r="T22" s="19" t="n">
        <f aca="false">SUM(T3:T21)</f>
        <v>42552</v>
      </c>
      <c r="U22" s="19" t="n">
        <f aca="false">SUM(U3:U21)</f>
        <v>43138</v>
      </c>
    </row>
    <row r="23" customFormat="false" ht="15" hidden="false" customHeight="false" outlineLevel="0" collapsed="false">
      <c r="A23" s="2" t="s">
        <v>149</v>
      </c>
      <c r="B23" s="19" t="n">
        <f aca="false">B22-B2</f>
        <v>0</v>
      </c>
      <c r="C23" s="19" t="n">
        <f aca="false">C22-C2</f>
        <v>0</v>
      </c>
      <c r="D23" s="19" t="n">
        <f aca="false">D22-D2</f>
        <v>0</v>
      </c>
      <c r="E23" s="19" t="n">
        <f aca="false">E22-E2</f>
        <v>0</v>
      </c>
      <c r="F23" s="19" t="n">
        <f aca="false">F22-F2</f>
        <v>0</v>
      </c>
      <c r="G23" s="19" t="n">
        <f aca="false">G22-G2</f>
        <v>0</v>
      </c>
      <c r="H23" s="19" t="n">
        <f aca="false">H22-H2</f>
        <v>0</v>
      </c>
      <c r="I23" s="19" t="n">
        <f aca="false">I22-I2</f>
        <v>0</v>
      </c>
      <c r="J23" s="19" t="n">
        <f aca="false">J22-J2</f>
        <v>0</v>
      </c>
      <c r="K23" s="19" t="n">
        <f aca="false">K22-K2</f>
        <v>0</v>
      </c>
      <c r="L23" s="19" t="n">
        <f aca="false">L22-L2</f>
        <v>0</v>
      </c>
      <c r="M23" s="19" t="n">
        <f aca="false">M22-M2</f>
        <v>0</v>
      </c>
      <c r="N23" s="19" t="n">
        <f aca="false">N22-N2</f>
        <v>0</v>
      </c>
      <c r="O23" s="19" t="n">
        <f aca="false">O22-O2</f>
        <v>0</v>
      </c>
      <c r="P23" s="19" t="n">
        <f aca="false">P22-P2</f>
        <v>0</v>
      </c>
      <c r="Q23" s="19" t="n">
        <f aca="false">Q22-Q2</f>
        <v>0</v>
      </c>
      <c r="R23" s="19" t="n">
        <f aca="false">R22-R2</f>
        <v>0</v>
      </c>
      <c r="S23" s="19" t="n">
        <f aca="false">S22-S2</f>
        <v>0</v>
      </c>
      <c r="T23" s="19" t="n">
        <f aca="false">T22-T2</f>
        <v>0</v>
      </c>
      <c r="U23" s="19" t="n">
        <f aca="false">U22-U2</f>
        <v>0</v>
      </c>
    </row>
    <row r="25" customFormat="false" ht="15" hidden="false" customHeight="false" outlineLevel="0" collapsed="false">
      <c r="A25" s="11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3" min="2" style="0" width="13"/>
  </cols>
  <sheetData>
    <row r="1" customFormat="false" ht="43.5" hidden="false" customHeight="true" outlineLevel="0" collapsed="false">
      <c r="A1" s="4" t="s">
        <v>127</v>
      </c>
      <c r="B1" s="4" t="s">
        <v>54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55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</row>
    <row r="2" customFormat="false" ht="15" hidden="false" customHeight="false" outlineLevel="0" collapsed="false">
      <c r="A2" s="2" t="s">
        <v>128</v>
      </c>
      <c r="B2" s="23" t="n">
        <v>25338952</v>
      </c>
      <c r="C2" s="23" t="n">
        <v>4452507</v>
      </c>
      <c r="D2" s="23" t="n">
        <v>697294</v>
      </c>
      <c r="E2" s="23" t="n">
        <v>535869</v>
      </c>
      <c r="F2" s="23" t="n">
        <v>635476</v>
      </c>
      <c r="G2" s="23" t="n">
        <v>1154418</v>
      </c>
      <c r="H2" s="23" t="n">
        <v>308441</v>
      </c>
      <c r="I2" s="23" t="n">
        <v>1229944</v>
      </c>
      <c r="J2" s="23" t="n">
        <v>1077508</v>
      </c>
      <c r="K2" s="23" t="n">
        <v>4158364</v>
      </c>
      <c r="L2" s="23" t="n">
        <v>2823782</v>
      </c>
      <c r="M2" s="23" t="n">
        <v>533952</v>
      </c>
      <c r="N2" s="23" t="n">
        <v>1415785</v>
      </c>
      <c r="O2" s="23" t="n">
        <v>3750938</v>
      </c>
      <c r="P2" s="23" t="n">
        <v>806855</v>
      </c>
      <c r="Q2" s="23" t="n">
        <v>348589</v>
      </c>
      <c r="R2" s="23" t="n">
        <v>1156432</v>
      </c>
      <c r="S2" s="23" t="n">
        <v>167437</v>
      </c>
      <c r="T2" s="23" t="n">
        <v>41883</v>
      </c>
      <c r="U2" s="23" t="n">
        <v>43478</v>
      </c>
      <c r="V2" s="19" t="n">
        <f aca="false">SUM(C2:U2)</f>
        <v>25338952</v>
      </c>
      <c r="W2" s="19" t="n">
        <f aca="false">V2-B2</f>
        <v>0</v>
      </c>
    </row>
    <row r="3" customFormat="false" ht="15" hidden="false" customHeight="false" outlineLevel="0" collapsed="false">
      <c r="A3" s="12" t="s">
        <v>129</v>
      </c>
      <c r="B3" s="23" t="n">
        <v>815475</v>
      </c>
      <c r="C3" s="23" t="n">
        <v>154701</v>
      </c>
      <c r="D3" s="23" t="n">
        <v>22518</v>
      </c>
      <c r="E3" s="23" t="n">
        <v>12152</v>
      </c>
      <c r="F3" s="23" t="n">
        <v>22052</v>
      </c>
      <c r="G3" s="23" t="n">
        <v>30488</v>
      </c>
      <c r="H3" s="23" t="n">
        <v>7830</v>
      </c>
      <c r="I3" s="23" t="n">
        <v>33028</v>
      </c>
      <c r="J3" s="23" t="n">
        <v>37739</v>
      </c>
      <c r="K3" s="23" t="n">
        <v>137675</v>
      </c>
      <c r="L3" s="23" t="n">
        <v>93080</v>
      </c>
      <c r="M3" s="23" t="n">
        <v>16887</v>
      </c>
      <c r="N3" s="23" t="n">
        <v>35604</v>
      </c>
      <c r="O3" s="23" t="n">
        <v>125014</v>
      </c>
      <c r="P3" s="23" t="n">
        <v>32373</v>
      </c>
      <c r="Q3" s="23" t="n">
        <v>11664</v>
      </c>
      <c r="R3" s="23" t="n">
        <v>33629</v>
      </c>
      <c r="S3" s="23" t="n">
        <v>5413</v>
      </c>
      <c r="T3" s="23" t="n">
        <v>1673</v>
      </c>
      <c r="U3" s="23" t="n">
        <v>1955</v>
      </c>
      <c r="V3" s="19" t="n">
        <f aca="false">SUM(C3:U3)</f>
        <v>815475</v>
      </c>
      <c r="W3" s="19" t="n">
        <f aca="false">V3-B3</f>
        <v>0</v>
      </c>
    </row>
    <row r="4" customFormat="false" ht="15" hidden="false" customHeight="false" outlineLevel="0" collapsed="false">
      <c r="A4" s="12" t="s">
        <v>130</v>
      </c>
      <c r="B4" s="23" t="n">
        <v>991073</v>
      </c>
      <c r="C4" s="23" t="n">
        <v>186146</v>
      </c>
      <c r="D4" s="23" t="n">
        <v>27305</v>
      </c>
      <c r="E4" s="23" t="n">
        <v>15662</v>
      </c>
      <c r="F4" s="23" t="n">
        <v>26279</v>
      </c>
      <c r="G4" s="23" t="n">
        <v>39669</v>
      </c>
      <c r="H4" s="23" t="n">
        <v>10461</v>
      </c>
      <c r="I4" s="23" t="n">
        <v>41114</v>
      </c>
      <c r="J4" s="23" t="n">
        <v>45836</v>
      </c>
      <c r="K4" s="23" t="n">
        <v>168353</v>
      </c>
      <c r="L4" s="23" t="n">
        <v>113284</v>
      </c>
      <c r="M4" s="23" t="n">
        <v>20308</v>
      </c>
      <c r="N4" s="23" t="n">
        <v>45695</v>
      </c>
      <c r="O4" s="23" t="n">
        <v>144686</v>
      </c>
      <c r="P4" s="23" t="n">
        <v>38396</v>
      </c>
      <c r="Q4" s="23" t="n">
        <v>14933</v>
      </c>
      <c r="R4" s="23" t="n">
        <v>41475</v>
      </c>
      <c r="S4" s="23" t="n">
        <v>6623</v>
      </c>
      <c r="T4" s="23" t="n">
        <v>2137</v>
      </c>
      <c r="U4" s="23" t="n">
        <v>2711</v>
      </c>
      <c r="V4" s="19" t="n">
        <f aca="false">SUM(C4:U4)</f>
        <v>991073</v>
      </c>
      <c r="W4" s="19" t="n">
        <f aca="false">V4-B4</f>
        <v>0</v>
      </c>
    </row>
    <row r="5" customFormat="false" ht="15" hidden="false" customHeight="false" outlineLevel="0" collapsed="false">
      <c r="A5" s="12" t="s">
        <v>131</v>
      </c>
      <c r="B5" s="23" t="n">
        <v>1191311</v>
      </c>
      <c r="C5" s="23" t="n">
        <v>220670</v>
      </c>
      <c r="D5" s="23" t="n">
        <v>33088</v>
      </c>
      <c r="E5" s="23" t="n">
        <v>19381</v>
      </c>
      <c r="F5" s="23" t="n">
        <v>30102</v>
      </c>
      <c r="G5" s="23" t="n">
        <v>48320</v>
      </c>
      <c r="H5" s="23" t="n">
        <v>13157</v>
      </c>
      <c r="I5" s="23" t="n">
        <v>50158</v>
      </c>
      <c r="J5" s="23" t="n">
        <v>55362</v>
      </c>
      <c r="K5" s="23" t="n">
        <v>200893</v>
      </c>
      <c r="L5" s="23" t="n">
        <v>136227</v>
      </c>
      <c r="M5" s="23" t="n">
        <v>23700</v>
      </c>
      <c r="N5" s="23" t="n">
        <v>55470</v>
      </c>
      <c r="O5" s="23" t="n">
        <v>175431</v>
      </c>
      <c r="P5" s="23" t="n">
        <v>45171</v>
      </c>
      <c r="Q5" s="23" t="n">
        <v>18124</v>
      </c>
      <c r="R5" s="23" t="n">
        <v>52129</v>
      </c>
      <c r="S5" s="23" t="n">
        <v>8078</v>
      </c>
      <c r="T5" s="23" t="n">
        <v>2652</v>
      </c>
      <c r="U5" s="23" t="n">
        <v>3198</v>
      </c>
      <c r="V5" s="19" t="n">
        <f aca="false">SUM(C5:U5)</f>
        <v>1191311</v>
      </c>
      <c r="W5" s="19" t="n">
        <f aca="false">V5-B5</f>
        <v>0</v>
      </c>
    </row>
    <row r="6" customFormat="false" ht="15" hidden="false" customHeight="false" outlineLevel="0" collapsed="false">
      <c r="A6" s="12" t="s">
        <v>132</v>
      </c>
      <c r="B6" s="23" t="n">
        <v>1320737</v>
      </c>
      <c r="C6" s="23" t="n">
        <v>247959</v>
      </c>
      <c r="D6" s="23" t="n">
        <v>35675</v>
      </c>
      <c r="E6" s="23" t="n">
        <v>22222</v>
      </c>
      <c r="F6" s="23" t="n">
        <v>32478</v>
      </c>
      <c r="G6" s="23" t="n">
        <v>55639</v>
      </c>
      <c r="H6" s="23" t="n">
        <v>15235</v>
      </c>
      <c r="I6" s="23" t="n">
        <v>55345</v>
      </c>
      <c r="J6" s="23" t="n">
        <v>59764</v>
      </c>
      <c r="K6" s="23" t="n">
        <v>223237</v>
      </c>
      <c r="L6" s="23" t="n">
        <v>151100</v>
      </c>
      <c r="M6" s="23" t="n">
        <v>26476</v>
      </c>
      <c r="N6" s="23" t="n">
        <v>61214</v>
      </c>
      <c r="O6" s="23" t="n">
        <v>194251</v>
      </c>
      <c r="P6" s="23" t="n">
        <v>48787</v>
      </c>
      <c r="Q6" s="23" t="n">
        <v>19570</v>
      </c>
      <c r="R6" s="23" t="n">
        <v>56796</v>
      </c>
      <c r="S6" s="23" t="n">
        <v>8798</v>
      </c>
      <c r="T6" s="23" t="n">
        <v>3037</v>
      </c>
      <c r="U6" s="23" t="n">
        <v>3154</v>
      </c>
      <c r="V6" s="19" t="n">
        <f aca="false">SUM(C6:U6)</f>
        <v>1320737</v>
      </c>
      <c r="W6" s="19" t="n">
        <f aca="false">V6-B6</f>
        <v>0</v>
      </c>
    </row>
    <row r="7" customFormat="false" ht="15" hidden="false" customHeight="false" outlineLevel="0" collapsed="false">
      <c r="A7" s="12" t="s">
        <v>133</v>
      </c>
      <c r="B7" s="23" t="n">
        <v>1352616</v>
      </c>
      <c r="C7" s="23" t="n">
        <v>244188</v>
      </c>
      <c r="D7" s="23" t="n">
        <v>35661</v>
      </c>
      <c r="E7" s="23" t="n">
        <v>21601</v>
      </c>
      <c r="F7" s="23" t="n">
        <v>35721</v>
      </c>
      <c r="G7" s="23" t="n">
        <v>64229</v>
      </c>
      <c r="H7" s="23" t="n">
        <v>15065</v>
      </c>
      <c r="I7" s="23" t="n">
        <v>57017</v>
      </c>
      <c r="J7" s="23" t="n">
        <v>57330</v>
      </c>
      <c r="K7" s="23" t="n">
        <v>229344</v>
      </c>
      <c r="L7" s="23" t="n">
        <v>152700</v>
      </c>
      <c r="M7" s="23" t="n">
        <v>26778</v>
      </c>
      <c r="N7" s="23" t="n">
        <v>61083</v>
      </c>
      <c r="O7" s="23" t="n">
        <v>211230</v>
      </c>
      <c r="P7" s="23" t="n">
        <v>47442</v>
      </c>
      <c r="Q7" s="23" t="n">
        <v>19747</v>
      </c>
      <c r="R7" s="23" t="n">
        <v>58437</v>
      </c>
      <c r="S7" s="23" t="n">
        <v>8789</v>
      </c>
      <c r="T7" s="23" t="n">
        <v>3128</v>
      </c>
      <c r="U7" s="23" t="n">
        <v>3126</v>
      </c>
      <c r="V7" s="19" t="n">
        <f aca="false">SUM(C7:U7)</f>
        <v>1352616</v>
      </c>
      <c r="W7" s="19" t="n">
        <f aca="false">V7-B7</f>
        <v>0</v>
      </c>
    </row>
    <row r="8" customFormat="false" ht="15" hidden="false" customHeight="false" outlineLevel="0" collapsed="false">
      <c r="A8" s="12" t="s">
        <v>134</v>
      </c>
      <c r="B8" s="23" t="n">
        <v>1366603</v>
      </c>
      <c r="C8" s="23" t="n">
        <v>231872</v>
      </c>
      <c r="D8" s="23" t="n">
        <v>35199</v>
      </c>
      <c r="E8" s="23" t="n">
        <v>21130</v>
      </c>
      <c r="F8" s="23" t="n">
        <v>40777</v>
      </c>
      <c r="G8" s="23" t="n">
        <v>68789</v>
      </c>
      <c r="H8" s="23" t="n">
        <v>13449</v>
      </c>
      <c r="I8" s="23" t="n">
        <v>54337</v>
      </c>
      <c r="J8" s="23" t="n">
        <v>54845</v>
      </c>
      <c r="K8" s="23" t="n">
        <v>240919</v>
      </c>
      <c r="L8" s="23" t="n">
        <v>152268</v>
      </c>
      <c r="M8" s="23" t="n">
        <v>25581</v>
      </c>
      <c r="N8" s="23" t="n">
        <v>60366</v>
      </c>
      <c r="O8" s="23" t="n">
        <v>230990</v>
      </c>
      <c r="P8" s="23" t="n">
        <v>45499</v>
      </c>
      <c r="Q8" s="23" t="n">
        <v>19001</v>
      </c>
      <c r="R8" s="23" t="n">
        <v>57768</v>
      </c>
      <c r="S8" s="23" t="n">
        <v>8221</v>
      </c>
      <c r="T8" s="23" t="n">
        <v>2713</v>
      </c>
      <c r="U8" s="23" t="n">
        <v>2879</v>
      </c>
      <c r="V8" s="19" t="n">
        <f aca="false">SUM(C8:U8)</f>
        <v>1366603</v>
      </c>
      <c r="W8" s="19" t="n">
        <f aca="false">V8-B8</f>
        <v>0</v>
      </c>
    </row>
    <row r="9" customFormat="false" ht="15" hidden="false" customHeight="false" outlineLevel="0" collapsed="false">
      <c r="A9" s="12" t="s">
        <v>135</v>
      </c>
      <c r="B9" s="23" t="n">
        <v>1430580</v>
      </c>
      <c r="C9" s="23" t="n">
        <v>248718</v>
      </c>
      <c r="D9" s="23" t="n">
        <v>37068</v>
      </c>
      <c r="E9" s="23" t="n">
        <v>22713</v>
      </c>
      <c r="F9" s="23" t="n">
        <v>43596</v>
      </c>
      <c r="G9" s="23" t="n">
        <v>70494</v>
      </c>
      <c r="H9" s="23" t="n">
        <v>13828</v>
      </c>
      <c r="I9" s="23" t="n">
        <v>56050</v>
      </c>
      <c r="J9" s="23" t="n">
        <v>58384</v>
      </c>
      <c r="K9" s="23" t="n">
        <v>253042</v>
      </c>
      <c r="L9" s="23" t="n">
        <v>159722</v>
      </c>
      <c r="M9" s="23" t="n">
        <v>27502</v>
      </c>
      <c r="N9" s="23" t="n">
        <v>64676</v>
      </c>
      <c r="O9" s="23" t="n">
        <v>239243</v>
      </c>
      <c r="P9" s="23" t="n">
        <v>46392</v>
      </c>
      <c r="Q9" s="23" t="n">
        <v>18431</v>
      </c>
      <c r="R9" s="23" t="n">
        <v>56811</v>
      </c>
      <c r="S9" s="23" t="n">
        <v>8396</v>
      </c>
      <c r="T9" s="23" t="n">
        <v>2621</v>
      </c>
      <c r="U9" s="23" t="n">
        <v>2893</v>
      </c>
      <c r="V9" s="19" t="n">
        <f aca="false">SUM(C9:U9)</f>
        <v>1430580</v>
      </c>
      <c r="W9" s="19" t="n">
        <f aca="false">V9-B9</f>
        <v>0</v>
      </c>
    </row>
    <row r="10" customFormat="false" ht="15" hidden="false" customHeight="false" outlineLevel="0" collapsed="false">
      <c r="A10" s="12" t="s">
        <v>136</v>
      </c>
      <c r="B10" s="23" t="n">
        <v>1528142</v>
      </c>
      <c r="C10" s="23" t="n">
        <v>274601</v>
      </c>
      <c r="D10" s="23" t="n">
        <v>39743</v>
      </c>
      <c r="E10" s="23" t="n">
        <v>26520</v>
      </c>
      <c r="F10" s="23" t="n">
        <v>45210</v>
      </c>
      <c r="G10" s="23" t="n">
        <v>76289</v>
      </c>
      <c r="H10" s="23" t="n">
        <v>16302</v>
      </c>
      <c r="I10" s="23" t="n">
        <v>62227</v>
      </c>
      <c r="J10" s="23" t="n">
        <v>65333</v>
      </c>
      <c r="K10" s="23" t="n">
        <v>260945</v>
      </c>
      <c r="L10" s="23" t="n">
        <v>172567</v>
      </c>
      <c r="M10" s="23" t="n">
        <v>30910</v>
      </c>
      <c r="N10" s="23" t="n">
        <v>73844</v>
      </c>
      <c r="O10" s="23" t="n">
        <v>238578</v>
      </c>
      <c r="P10" s="23" t="n">
        <v>50448</v>
      </c>
      <c r="Q10" s="23" t="n">
        <v>19346</v>
      </c>
      <c r="R10" s="23" t="n">
        <v>60211</v>
      </c>
      <c r="S10" s="23" t="n">
        <v>9502</v>
      </c>
      <c r="T10" s="23" t="n">
        <v>2722</v>
      </c>
      <c r="U10" s="23" t="n">
        <v>2844</v>
      </c>
      <c r="V10" s="19" t="n">
        <f aca="false">SUM(C10:U10)</f>
        <v>1528142</v>
      </c>
      <c r="W10" s="19" t="n">
        <f aca="false">V10-B10</f>
        <v>0</v>
      </c>
    </row>
    <row r="11" customFormat="false" ht="15" hidden="false" customHeight="false" outlineLevel="0" collapsed="false">
      <c r="A11" s="12" t="s">
        <v>137</v>
      </c>
      <c r="B11" s="23" t="n">
        <v>1713490</v>
      </c>
      <c r="C11" s="23" t="n">
        <v>310713</v>
      </c>
      <c r="D11" s="23" t="n">
        <v>44779</v>
      </c>
      <c r="E11" s="23" t="n">
        <v>33299</v>
      </c>
      <c r="F11" s="23" t="n">
        <v>48063</v>
      </c>
      <c r="G11" s="23" t="n">
        <v>83643</v>
      </c>
      <c r="H11" s="23" t="n">
        <v>20228</v>
      </c>
      <c r="I11" s="23" t="n">
        <v>73957</v>
      </c>
      <c r="J11" s="23" t="n">
        <v>73687</v>
      </c>
      <c r="K11" s="23" t="n">
        <v>282257</v>
      </c>
      <c r="L11" s="23" t="n">
        <v>193172</v>
      </c>
      <c r="M11" s="23" t="n">
        <v>34216</v>
      </c>
      <c r="N11" s="23" t="n">
        <v>90153</v>
      </c>
      <c r="O11" s="23" t="n">
        <v>258670</v>
      </c>
      <c r="P11" s="23" t="n">
        <v>56699</v>
      </c>
      <c r="Q11" s="23" t="n">
        <v>22387</v>
      </c>
      <c r="R11" s="23" t="n">
        <v>70664</v>
      </c>
      <c r="S11" s="23" t="n">
        <v>10939</v>
      </c>
      <c r="T11" s="23" t="n">
        <v>2960</v>
      </c>
      <c r="U11" s="23" t="n">
        <v>3004</v>
      </c>
      <c r="V11" s="19" t="n">
        <f aca="false">SUM(C11:U11)</f>
        <v>1713490</v>
      </c>
      <c r="W11" s="19" t="n">
        <f aca="false">V11-B11</f>
        <v>0</v>
      </c>
    </row>
    <row r="12" customFormat="false" ht="15" hidden="false" customHeight="false" outlineLevel="0" collapsed="false">
      <c r="A12" s="12" t="s">
        <v>138</v>
      </c>
      <c r="B12" s="23" t="n">
        <v>2002737</v>
      </c>
      <c r="C12" s="23" t="n">
        <v>354915</v>
      </c>
      <c r="D12" s="23" t="n">
        <v>53781</v>
      </c>
      <c r="E12" s="23" t="n">
        <v>42237</v>
      </c>
      <c r="F12" s="23" t="n">
        <v>52560</v>
      </c>
      <c r="G12" s="23" t="n">
        <v>94776</v>
      </c>
      <c r="H12" s="23" t="n">
        <v>25256</v>
      </c>
      <c r="I12" s="23" t="n">
        <v>90236</v>
      </c>
      <c r="J12" s="23" t="n">
        <v>84432</v>
      </c>
      <c r="K12" s="23" t="n">
        <v>329043</v>
      </c>
      <c r="L12" s="23" t="n">
        <v>226294</v>
      </c>
      <c r="M12" s="23" t="n">
        <v>39361</v>
      </c>
      <c r="N12" s="23" t="n">
        <v>113697</v>
      </c>
      <c r="O12" s="23" t="n">
        <v>298169</v>
      </c>
      <c r="P12" s="23" t="n">
        <v>64396</v>
      </c>
      <c r="Q12" s="23" t="n">
        <v>26821</v>
      </c>
      <c r="R12" s="23" t="n">
        <v>87116</v>
      </c>
      <c r="S12" s="23" t="n">
        <v>13352</v>
      </c>
      <c r="T12" s="23" t="n">
        <v>3080</v>
      </c>
      <c r="U12" s="23" t="n">
        <v>3215</v>
      </c>
      <c r="V12" s="19" t="n">
        <f aca="false">SUM(C12:U12)</f>
        <v>2002737</v>
      </c>
      <c r="W12" s="19" t="n">
        <f aca="false">V12-B12</f>
        <v>0</v>
      </c>
    </row>
    <row r="13" customFormat="false" ht="15" hidden="false" customHeight="false" outlineLevel="0" collapsed="false">
      <c r="A13" s="12" t="s">
        <v>139</v>
      </c>
      <c r="B13" s="23" t="n">
        <v>2024500</v>
      </c>
      <c r="C13" s="23" t="n">
        <v>353278</v>
      </c>
      <c r="D13" s="23" t="n">
        <v>54626</v>
      </c>
      <c r="E13" s="23" t="n">
        <v>44696</v>
      </c>
      <c r="F13" s="23" t="n">
        <v>51055</v>
      </c>
      <c r="G13" s="23" t="n">
        <v>100425</v>
      </c>
      <c r="H13" s="23" t="n">
        <v>25568</v>
      </c>
      <c r="I13" s="23" t="n">
        <v>94463</v>
      </c>
      <c r="J13" s="23" t="n">
        <v>84040</v>
      </c>
      <c r="K13" s="23" t="n">
        <v>330267</v>
      </c>
      <c r="L13" s="23" t="n">
        <v>223810</v>
      </c>
      <c r="M13" s="23" t="n">
        <v>40546</v>
      </c>
      <c r="N13" s="23" t="n">
        <v>116179</v>
      </c>
      <c r="O13" s="23" t="n">
        <v>304283</v>
      </c>
      <c r="P13" s="23" t="n">
        <v>62589</v>
      </c>
      <c r="Q13" s="23" t="n">
        <v>27431</v>
      </c>
      <c r="R13" s="23" t="n">
        <v>92208</v>
      </c>
      <c r="S13" s="23" t="n">
        <v>13243</v>
      </c>
      <c r="T13" s="23" t="n">
        <v>3008</v>
      </c>
      <c r="U13" s="23" t="n">
        <v>2785</v>
      </c>
      <c r="V13" s="19" t="n">
        <f aca="false">SUM(C13:U13)</f>
        <v>2024500</v>
      </c>
      <c r="W13" s="19" t="n">
        <f aca="false">V13-B13</f>
        <v>0</v>
      </c>
    </row>
    <row r="14" customFormat="false" ht="15" hidden="false" customHeight="false" outlineLevel="0" collapsed="false">
      <c r="A14" s="12" t="s">
        <v>140</v>
      </c>
      <c r="B14" s="23" t="n">
        <v>1897837</v>
      </c>
      <c r="C14" s="23" t="n">
        <v>340370</v>
      </c>
      <c r="D14" s="23" t="n">
        <v>51749</v>
      </c>
      <c r="E14" s="23" t="n">
        <v>41990</v>
      </c>
      <c r="F14" s="23" t="n">
        <v>45765</v>
      </c>
      <c r="G14" s="23" t="n">
        <v>96453</v>
      </c>
      <c r="H14" s="23" t="n">
        <v>23902</v>
      </c>
      <c r="I14" s="23" t="n">
        <v>95879</v>
      </c>
      <c r="J14" s="23" t="n">
        <v>81028</v>
      </c>
      <c r="K14" s="23" t="n">
        <v>295012</v>
      </c>
      <c r="L14" s="23" t="n">
        <v>210061</v>
      </c>
      <c r="M14" s="23" t="n">
        <v>41980</v>
      </c>
      <c r="N14" s="23" t="n">
        <v>110598</v>
      </c>
      <c r="O14" s="23" t="n">
        <v>273899</v>
      </c>
      <c r="P14" s="23" t="n">
        <v>58763</v>
      </c>
      <c r="Q14" s="23" t="n">
        <v>25490</v>
      </c>
      <c r="R14" s="23" t="n">
        <v>86864</v>
      </c>
      <c r="S14" s="23" t="n">
        <v>12397</v>
      </c>
      <c r="T14" s="23" t="n">
        <v>2819</v>
      </c>
      <c r="U14" s="23" t="n">
        <v>2818</v>
      </c>
      <c r="V14" s="19" t="n">
        <f aca="false">SUM(C14:U14)</f>
        <v>1897837</v>
      </c>
      <c r="W14" s="19" t="n">
        <f aca="false">V14-B14</f>
        <v>0</v>
      </c>
    </row>
    <row r="15" customFormat="false" ht="15" hidden="false" customHeight="false" outlineLevel="0" collapsed="false">
      <c r="A15" s="12" t="s">
        <v>141</v>
      </c>
      <c r="B15" s="23" t="n">
        <v>1768862</v>
      </c>
      <c r="C15" s="23" t="n">
        <v>319356</v>
      </c>
      <c r="D15" s="23" t="n">
        <v>48620</v>
      </c>
      <c r="E15" s="23" t="n">
        <v>42263</v>
      </c>
      <c r="F15" s="23" t="n">
        <v>40319</v>
      </c>
      <c r="G15" s="23" t="n">
        <v>88093</v>
      </c>
      <c r="H15" s="23" t="n">
        <v>22984</v>
      </c>
      <c r="I15" s="23" t="n">
        <v>96666</v>
      </c>
      <c r="J15" s="23" t="n">
        <v>76303</v>
      </c>
      <c r="K15" s="23" t="n">
        <v>268527</v>
      </c>
      <c r="L15" s="23" t="n">
        <v>194999</v>
      </c>
      <c r="M15" s="23" t="n">
        <v>42332</v>
      </c>
      <c r="N15" s="23" t="n">
        <v>103837</v>
      </c>
      <c r="O15" s="23" t="n">
        <v>245383</v>
      </c>
      <c r="P15" s="23" t="n">
        <v>52652</v>
      </c>
      <c r="Q15" s="23" t="n">
        <v>23582</v>
      </c>
      <c r="R15" s="23" t="n">
        <v>85901</v>
      </c>
      <c r="S15" s="23" t="n">
        <v>11759</v>
      </c>
      <c r="T15" s="23" t="n">
        <v>2697</v>
      </c>
      <c r="U15" s="23" t="n">
        <v>2589</v>
      </c>
      <c r="V15" s="19" t="n">
        <f aca="false">SUM(C15:U15)</f>
        <v>1768862</v>
      </c>
      <c r="W15" s="19" t="n">
        <f aca="false">V15-B15</f>
        <v>0</v>
      </c>
    </row>
    <row r="16" customFormat="false" ht="15" hidden="false" customHeight="false" outlineLevel="0" collapsed="false">
      <c r="A16" s="12" t="s">
        <v>142</v>
      </c>
      <c r="B16" s="23" t="n">
        <v>1561832</v>
      </c>
      <c r="C16" s="23" t="n">
        <v>274417</v>
      </c>
      <c r="D16" s="23" t="n">
        <v>44323</v>
      </c>
      <c r="E16" s="23" t="n">
        <v>42371</v>
      </c>
      <c r="F16" s="23" t="n">
        <v>33922</v>
      </c>
      <c r="G16" s="23" t="n">
        <v>69283</v>
      </c>
      <c r="H16" s="23" t="n">
        <v>22339</v>
      </c>
      <c r="I16" s="23" t="n">
        <v>89703</v>
      </c>
      <c r="J16" s="23" t="n">
        <v>66389</v>
      </c>
      <c r="K16" s="23" t="n">
        <v>239937</v>
      </c>
      <c r="L16" s="23" t="n">
        <v>174693</v>
      </c>
      <c r="M16" s="23" t="n">
        <v>36648</v>
      </c>
      <c r="N16" s="23" t="n">
        <v>98326</v>
      </c>
      <c r="O16" s="23" t="n">
        <v>209396</v>
      </c>
      <c r="P16" s="23" t="n">
        <v>45007</v>
      </c>
      <c r="Q16" s="23" t="n">
        <v>20682</v>
      </c>
      <c r="R16" s="23" t="n">
        <v>79022</v>
      </c>
      <c r="S16" s="23" t="n">
        <v>10821</v>
      </c>
      <c r="T16" s="23" t="n">
        <v>2303</v>
      </c>
      <c r="U16" s="23" t="n">
        <v>2250</v>
      </c>
      <c r="V16" s="19" t="n">
        <f aca="false">SUM(C16:U16)</f>
        <v>1561832</v>
      </c>
      <c r="W16" s="19" t="n">
        <f aca="false">V16-B16</f>
        <v>0</v>
      </c>
    </row>
    <row r="17" customFormat="false" ht="15" hidden="false" customHeight="false" outlineLevel="0" collapsed="false">
      <c r="A17" s="12" t="s">
        <v>143</v>
      </c>
      <c r="B17" s="23" t="n">
        <v>1286112</v>
      </c>
      <c r="C17" s="23" t="n">
        <v>217580</v>
      </c>
      <c r="D17" s="23" t="n">
        <v>37170</v>
      </c>
      <c r="E17" s="23" t="n">
        <v>37217</v>
      </c>
      <c r="F17" s="23" t="n">
        <v>27756</v>
      </c>
      <c r="G17" s="23" t="n">
        <v>55856</v>
      </c>
      <c r="H17" s="23" t="n">
        <v>18778</v>
      </c>
      <c r="I17" s="23" t="n">
        <v>73480</v>
      </c>
      <c r="J17" s="23" t="n">
        <v>50282</v>
      </c>
      <c r="K17" s="23" t="n">
        <v>204559</v>
      </c>
      <c r="L17" s="23" t="n">
        <v>144272</v>
      </c>
      <c r="M17" s="23" t="n">
        <v>28226</v>
      </c>
      <c r="N17" s="23" t="n">
        <v>86425</v>
      </c>
      <c r="O17" s="23" t="n">
        <v>173639</v>
      </c>
      <c r="P17" s="23" t="n">
        <v>34694</v>
      </c>
      <c r="Q17" s="23" t="n">
        <v>17429</v>
      </c>
      <c r="R17" s="23" t="n">
        <v>66836</v>
      </c>
      <c r="S17" s="23" t="n">
        <v>8820</v>
      </c>
      <c r="T17" s="23" t="n">
        <v>1587</v>
      </c>
      <c r="U17" s="23" t="n">
        <v>1506</v>
      </c>
      <c r="V17" s="19" t="n">
        <f aca="false">SUM(C17:U17)</f>
        <v>1286112</v>
      </c>
      <c r="W17" s="19" t="n">
        <f aca="false">V17-B17</f>
        <v>0</v>
      </c>
    </row>
    <row r="18" customFormat="false" ht="15" hidden="false" customHeight="false" outlineLevel="0" collapsed="false">
      <c r="A18" s="12" t="s">
        <v>144</v>
      </c>
      <c r="B18" s="23" t="n">
        <v>1124034</v>
      </c>
      <c r="C18" s="23" t="n">
        <v>181043</v>
      </c>
      <c r="D18" s="23" t="n">
        <v>33132</v>
      </c>
      <c r="E18" s="23" t="n">
        <v>32884</v>
      </c>
      <c r="F18" s="23" t="n">
        <v>23497</v>
      </c>
      <c r="G18" s="23" t="n">
        <v>44179</v>
      </c>
      <c r="H18" s="23" t="n">
        <v>16158</v>
      </c>
      <c r="I18" s="23" t="n">
        <v>65712</v>
      </c>
      <c r="J18" s="23" t="n">
        <v>43592</v>
      </c>
      <c r="K18" s="23" t="n">
        <v>182313</v>
      </c>
      <c r="L18" s="23" t="n">
        <v>124876</v>
      </c>
      <c r="M18" s="23" t="n">
        <v>24600</v>
      </c>
      <c r="N18" s="23" t="n">
        <v>80454</v>
      </c>
      <c r="O18" s="23" t="n">
        <v>155715</v>
      </c>
      <c r="P18" s="23" t="n">
        <v>29764</v>
      </c>
      <c r="Q18" s="23" t="n">
        <v>15621</v>
      </c>
      <c r="R18" s="23" t="n">
        <v>60768</v>
      </c>
      <c r="S18" s="23" t="n">
        <v>7674</v>
      </c>
      <c r="T18" s="23" t="n">
        <v>1073</v>
      </c>
      <c r="U18" s="23" t="n">
        <v>979</v>
      </c>
      <c r="V18" s="19" t="n">
        <f aca="false">SUM(C18:U18)</f>
        <v>1124034</v>
      </c>
      <c r="W18" s="19" t="n">
        <f aca="false">V18-B18</f>
        <v>0</v>
      </c>
    </row>
    <row r="19" customFormat="false" ht="15" hidden="false" customHeight="false" outlineLevel="0" collapsed="false">
      <c r="A19" s="12" t="s">
        <v>145</v>
      </c>
      <c r="B19" s="23" t="n">
        <v>890950</v>
      </c>
      <c r="C19" s="23" t="n">
        <v>141860</v>
      </c>
      <c r="D19" s="23" t="n">
        <v>27257</v>
      </c>
      <c r="E19" s="23" t="n">
        <v>25294</v>
      </c>
      <c r="F19" s="23" t="n">
        <v>17428</v>
      </c>
      <c r="G19" s="23" t="n">
        <v>33510</v>
      </c>
      <c r="H19" s="23" t="n">
        <v>11971</v>
      </c>
      <c r="I19" s="23" t="n">
        <v>56538</v>
      </c>
      <c r="J19" s="23" t="n">
        <v>34985</v>
      </c>
      <c r="K19" s="23" t="n">
        <v>142708</v>
      </c>
      <c r="L19" s="23" t="n">
        <v>95247</v>
      </c>
      <c r="M19" s="23" t="n">
        <v>20797</v>
      </c>
      <c r="N19" s="23" t="n">
        <v>68751</v>
      </c>
      <c r="O19" s="23" t="n">
        <v>122573</v>
      </c>
      <c r="P19" s="23" t="n">
        <v>22388</v>
      </c>
      <c r="Q19" s="23" t="n">
        <v>12642</v>
      </c>
      <c r="R19" s="23" t="n">
        <v>49092</v>
      </c>
      <c r="S19" s="23" t="n">
        <v>6326</v>
      </c>
      <c r="T19" s="23" t="n">
        <v>814</v>
      </c>
      <c r="U19" s="23" t="n">
        <v>769</v>
      </c>
      <c r="V19" s="19" t="n">
        <f aca="false">SUM(C19:U19)</f>
        <v>890950</v>
      </c>
      <c r="W19" s="19" t="n">
        <f aca="false">V19-B19</f>
        <v>0</v>
      </c>
    </row>
    <row r="20" customFormat="false" ht="15" hidden="false" customHeight="false" outlineLevel="0" collapsed="false">
      <c r="A20" s="12" t="s">
        <v>146</v>
      </c>
      <c r="B20" s="23" t="n">
        <v>578748</v>
      </c>
      <c r="C20" s="23" t="n">
        <v>88345</v>
      </c>
      <c r="D20" s="23" t="n">
        <v>18080</v>
      </c>
      <c r="E20" s="23" t="n">
        <v>15965</v>
      </c>
      <c r="F20" s="23" t="n">
        <v>10574</v>
      </c>
      <c r="G20" s="23" t="n">
        <v>19615</v>
      </c>
      <c r="H20" s="23" t="n">
        <v>7975</v>
      </c>
      <c r="I20" s="23" t="n">
        <v>40694</v>
      </c>
      <c r="J20" s="23" t="n">
        <v>25749</v>
      </c>
      <c r="K20" s="23" t="n">
        <v>90307</v>
      </c>
      <c r="L20" s="23" t="n">
        <v>61440</v>
      </c>
      <c r="M20" s="23" t="n">
        <v>14296</v>
      </c>
      <c r="N20" s="23" t="n">
        <v>45722</v>
      </c>
      <c r="O20" s="23" t="n">
        <v>80033</v>
      </c>
      <c r="P20" s="23" t="n">
        <v>15027</v>
      </c>
      <c r="Q20" s="23" t="n">
        <v>8086</v>
      </c>
      <c r="R20" s="23" t="n">
        <v>31621</v>
      </c>
      <c r="S20" s="23" t="n">
        <v>4209</v>
      </c>
      <c r="T20" s="23" t="n">
        <v>523</v>
      </c>
      <c r="U20" s="23" t="n">
        <v>487</v>
      </c>
      <c r="V20" s="19" t="n">
        <f aca="false">SUM(C20:U20)</f>
        <v>578748</v>
      </c>
      <c r="W20" s="19" t="n">
        <f aca="false">V20-B20</f>
        <v>0</v>
      </c>
    </row>
    <row r="21" customFormat="false" ht="15" hidden="false" customHeight="false" outlineLevel="0" collapsed="false">
      <c r="A21" s="12" t="s">
        <v>147</v>
      </c>
      <c r="B21" s="23" t="n">
        <v>493313</v>
      </c>
      <c r="C21" s="23" t="n">
        <v>61775</v>
      </c>
      <c r="D21" s="23" t="n">
        <v>17520</v>
      </c>
      <c r="E21" s="23" t="n">
        <v>16272</v>
      </c>
      <c r="F21" s="23" t="n">
        <v>8322</v>
      </c>
      <c r="G21" s="23" t="n">
        <v>14668</v>
      </c>
      <c r="H21" s="23" t="n">
        <v>7955</v>
      </c>
      <c r="I21" s="23" t="n">
        <v>43340</v>
      </c>
      <c r="J21" s="23" t="n">
        <v>22428</v>
      </c>
      <c r="K21" s="23" t="n">
        <v>79026</v>
      </c>
      <c r="L21" s="23" t="n">
        <v>43970</v>
      </c>
      <c r="M21" s="23" t="n">
        <v>12808</v>
      </c>
      <c r="N21" s="23" t="n">
        <v>43691</v>
      </c>
      <c r="O21" s="23" t="n">
        <v>69755</v>
      </c>
      <c r="P21" s="23" t="n">
        <v>10368</v>
      </c>
      <c r="Q21" s="23" t="n">
        <v>7602</v>
      </c>
      <c r="R21" s="23" t="n">
        <v>29084</v>
      </c>
      <c r="S21" s="23" t="n">
        <v>4077</v>
      </c>
      <c r="T21" s="23" t="n">
        <v>336</v>
      </c>
      <c r="U21" s="23" t="n">
        <v>316</v>
      </c>
      <c r="V21" s="19" t="n">
        <f aca="false">SUM(C21:U21)</f>
        <v>493313</v>
      </c>
      <c r="W21" s="19" t="n">
        <f aca="false">V21-B21</f>
        <v>0</v>
      </c>
    </row>
    <row r="22" customFormat="false" ht="15" hidden="false" customHeight="false" outlineLevel="0" collapsed="false">
      <c r="A22" s="2" t="s">
        <v>148</v>
      </c>
      <c r="B22" s="19" t="n">
        <f aca="false">SUM(B3:B21)</f>
        <v>25338952</v>
      </c>
      <c r="C22" s="19" t="n">
        <f aca="false">SUM(C3:C21)</f>
        <v>4452507</v>
      </c>
      <c r="D22" s="19" t="n">
        <f aca="false">SUM(D3:D21)</f>
        <v>697294</v>
      </c>
      <c r="E22" s="19" t="n">
        <f aca="false">SUM(E3:E21)</f>
        <v>535869</v>
      </c>
      <c r="F22" s="19" t="n">
        <f aca="false">SUM(F3:F21)</f>
        <v>635476</v>
      </c>
      <c r="G22" s="19" t="n">
        <f aca="false">SUM(G3:G21)</f>
        <v>1154418</v>
      </c>
      <c r="H22" s="19" t="n">
        <f aca="false">SUM(H3:H21)</f>
        <v>308441</v>
      </c>
      <c r="I22" s="19" t="n">
        <f aca="false">SUM(I3:I21)</f>
        <v>1229944</v>
      </c>
      <c r="J22" s="19" t="n">
        <f aca="false">SUM(J3:J21)</f>
        <v>1077508</v>
      </c>
      <c r="K22" s="19" t="n">
        <f aca="false">SUM(K3:K21)</f>
        <v>4158364</v>
      </c>
      <c r="L22" s="19" t="n">
        <f aca="false">SUM(L3:L21)</f>
        <v>2823782</v>
      </c>
      <c r="M22" s="19" t="n">
        <f aca="false">SUM(M3:M21)</f>
        <v>533952</v>
      </c>
      <c r="N22" s="19" t="n">
        <f aca="false">SUM(N3:N21)</f>
        <v>1415785</v>
      </c>
      <c r="O22" s="19" t="n">
        <f aca="false">SUM(O3:O21)</f>
        <v>3750938</v>
      </c>
      <c r="P22" s="19" t="n">
        <f aca="false">SUM(P3:P21)</f>
        <v>806855</v>
      </c>
      <c r="Q22" s="19" t="n">
        <f aca="false">SUM(Q3:Q21)</f>
        <v>348589</v>
      </c>
      <c r="R22" s="19" t="n">
        <f aca="false">SUM(R3:R21)</f>
        <v>1156432</v>
      </c>
      <c r="S22" s="19" t="n">
        <f aca="false">SUM(S3:S21)</f>
        <v>167437</v>
      </c>
      <c r="T22" s="19" t="n">
        <f aca="false">SUM(T3:T21)</f>
        <v>41883</v>
      </c>
      <c r="U22" s="19" t="n">
        <f aca="false">SUM(U3:U21)</f>
        <v>43478</v>
      </c>
    </row>
    <row r="23" customFormat="false" ht="15" hidden="false" customHeight="false" outlineLevel="0" collapsed="false">
      <c r="A23" s="2" t="s">
        <v>149</v>
      </c>
      <c r="B23" s="19" t="n">
        <f aca="false">B22-B2</f>
        <v>0</v>
      </c>
      <c r="C23" s="19" t="n">
        <f aca="false">C22-C2</f>
        <v>0</v>
      </c>
      <c r="D23" s="19" t="n">
        <f aca="false">D22-D2</f>
        <v>0</v>
      </c>
      <c r="E23" s="19" t="n">
        <f aca="false">E22-E2</f>
        <v>0</v>
      </c>
      <c r="F23" s="19" t="n">
        <f aca="false">F22-F2</f>
        <v>0</v>
      </c>
      <c r="G23" s="19" t="n">
        <f aca="false">G22-G2</f>
        <v>0</v>
      </c>
      <c r="H23" s="19" t="n">
        <f aca="false">H22-H2</f>
        <v>0</v>
      </c>
      <c r="I23" s="19" t="n">
        <f aca="false">I22-I2</f>
        <v>0</v>
      </c>
      <c r="J23" s="19" t="n">
        <f aca="false">J22-J2</f>
        <v>0</v>
      </c>
      <c r="K23" s="19" t="n">
        <f aca="false">K22-K2</f>
        <v>0</v>
      </c>
      <c r="L23" s="19" t="n">
        <f aca="false">L22-L2</f>
        <v>0</v>
      </c>
      <c r="M23" s="19" t="n">
        <f aca="false">M22-M2</f>
        <v>0</v>
      </c>
      <c r="N23" s="19" t="n">
        <f aca="false">N22-N2</f>
        <v>0</v>
      </c>
      <c r="O23" s="19" t="n">
        <f aca="false">O22-O2</f>
        <v>0</v>
      </c>
      <c r="P23" s="19" t="n">
        <f aca="false">P22-P2</f>
        <v>0</v>
      </c>
      <c r="Q23" s="19" t="n">
        <f aca="false">Q22-Q2</f>
        <v>0</v>
      </c>
      <c r="R23" s="19" t="n">
        <f aca="false">R22-R2</f>
        <v>0</v>
      </c>
      <c r="S23" s="19" t="n">
        <f aca="false">S22-S2</f>
        <v>0</v>
      </c>
      <c r="T23" s="19" t="n">
        <f aca="false">T22-T2</f>
        <v>0</v>
      </c>
      <c r="U23" s="19" t="n">
        <f aca="false">U22-U2</f>
        <v>0</v>
      </c>
    </row>
    <row r="25" customFormat="false" ht="15" hidden="false" customHeight="false" outlineLevel="0" collapsed="false">
      <c r="A25" s="1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3" min="2" style="0" width="13"/>
  </cols>
  <sheetData>
    <row r="1" customFormat="false" ht="43.5" hidden="false" customHeight="true" outlineLevel="0" collapsed="false">
      <c r="A1" s="4" t="s">
        <v>127</v>
      </c>
      <c r="B1" s="4" t="s">
        <v>54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55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</row>
    <row r="2" customFormat="false" ht="15" hidden="false" customHeight="false" outlineLevel="0" collapsed="false">
      <c r="A2" s="2" t="s">
        <v>128</v>
      </c>
      <c r="B2" s="19" t="n">
        <f aca="false">SUM(C2:U2)</f>
        <v>7437543</v>
      </c>
      <c r="C2" s="23" t="n">
        <v>986922</v>
      </c>
      <c r="D2" s="23" t="n">
        <v>223584</v>
      </c>
      <c r="E2" s="23" t="n">
        <v>84087</v>
      </c>
      <c r="F2" s="23" t="n">
        <v>279415</v>
      </c>
      <c r="G2" s="23" t="n">
        <v>349690</v>
      </c>
      <c r="H2" s="23" t="n">
        <v>53489</v>
      </c>
      <c r="I2" s="23" t="n">
        <v>234815</v>
      </c>
      <c r="J2" s="23" t="n">
        <v>286117</v>
      </c>
      <c r="K2" s="23" t="n">
        <v>1598400</v>
      </c>
      <c r="L2" s="23" t="n">
        <v>1173815</v>
      </c>
      <c r="M2" s="23" t="n">
        <v>53988</v>
      </c>
      <c r="N2" s="23" t="n">
        <v>203236</v>
      </c>
      <c r="O2" s="23" t="n">
        <v>1229486</v>
      </c>
      <c r="P2" s="23" t="n">
        <v>271380</v>
      </c>
      <c r="Q2" s="23" t="n">
        <v>95897</v>
      </c>
      <c r="R2" s="23" t="n">
        <v>244224</v>
      </c>
      <c r="S2" s="23" t="n">
        <v>51687</v>
      </c>
      <c r="T2" s="23" t="n">
        <v>6050</v>
      </c>
      <c r="U2" s="23" t="n">
        <v>11261</v>
      </c>
      <c r="V2" s="19" t="n">
        <f aca="false">SUM(C2:U2)</f>
        <v>7437543</v>
      </c>
      <c r="W2" s="19" t="n">
        <f aca="false">V2-B2</f>
        <v>0</v>
      </c>
    </row>
    <row r="3" customFormat="false" ht="15" hidden="false" customHeight="false" outlineLevel="0" collapsed="false">
      <c r="A3" s="12" t="s">
        <v>129</v>
      </c>
      <c r="B3" s="19" t="n">
        <f aca="false">SUM(C3:U3)</f>
        <v>243182</v>
      </c>
      <c r="C3" s="23" t="n">
        <v>32429</v>
      </c>
      <c r="D3" s="23" t="n">
        <v>8446</v>
      </c>
      <c r="E3" s="23" t="n">
        <v>2492</v>
      </c>
      <c r="F3" s="23" t="n">
        <v>8321</v>
      </c>
      <c r="G3" s="23" t="n">
        <v>7542</v>
      </c>
      <c r="H3" s="23" t="n">
        <v>1315</v>
      </c>
      <c r="I3" s="23" t="n">
        <v>8140</v>
      </c>
      <c r="J3" s="23" t="n">
        <v>11051</v>
      </c>
      <c r="K3" s="23" t="n">
        <v>54673</v>
      </c>
      <c r="L3" s="23" t="n">
        <v>37605</v>
      </c>
      <c r="M3" s="23" t="n">
        <v>1963</v>
      </c>
      <c r="N3" s="23" t="n">
        <v>5581</v>
      </c>
      <c r="O3" s="23" t="n">
        <v>37506</v>
      </c>
      <c r="P3" s="23" t="n">
        <v>10841</v>
      </c>
      <c r="Q3" s="23" t="n">
        <v>3825</v>
      </c>
      <c r="R3" s="23" t="n">
        <v>8755</v>
      </c>
      <c r="S3" s="23" t="n">
        <v>2254</v>
      </c>
      <c r="T3" s="23" t="n">
        <v>129</v>
      </c>
      <c r="U3" s="23" t="n">
        <v>314</v>
      </c>
      <c r="V3" s="19" t="n">
        <f aca="false">SUM(C3:U3)</f>
        <v>243182</v>
      </c>
      <c r="W3" s="19" t="n">
        <f aca="false">V3-B3</f>
        <v>0</v>
      </c>
    </row>
    <row r="4" customFormat="false" ht="15" hidden="false" customHeight="false" outlineLevel="0" collapsed="false">
      <c r="A4" s="12" t="s">
        <v>130</v>
      </c>
      <c r="B4" s="19" t="n">
        <f aca="false">SUM(C4:U4)</f>
        <v>299082</v>
      </c>
      <c r="C4" s="23" t="n">
        <v>39008</v>
      </c>
      <c r="D4" s="23" t="n">
        <v>10017</v>
      </c>
      <c r="E4" s="23" t="n">
        <v>3849</v>
      </c>
      <c r="F4" s="23" t="n">
        <v>10098</v>
      </c>
      <c r="G4" s="23" t="n">
        <v>11688</v>
      </c>
      <c r="H4" s="23" t="n">
        <v>2264</v>
      </c>
      <c r="I4" s="23" t="n">
        <v>11114</v>
      </c>
      <c r="J4" s="23" t="n">
        <v>14476</v>
      </c>
      <c r="K4" s="23" t="n">
        <v>59911</v>
      </c>
      <c r="L4" s="23" t="n">
        <v>51312</v>
      </c>
      <c r="M4" s="23" t="n">
        <v>2606</v>
      </c>
      <c r="N4" s="23" t="n">
        <v>8511</v>
      </c>
      <c r="O4" s="23" t="n">
        <v>45784</v>
      </c>
      <c r="P4" s="23" t="n">
        <v>11096</v>
      </c>
      <c r="Q4" s="23" t="n">
        <v>4506</v>
      </c>
      <c r="R4" s="23" t="n">
        <v>9807</v>
      </c>
      <c r="S4" s="23" t="n">
        <v>2608</v>
      </c>
      <c r="T4" s="23" t="n">
        <v>121</v>
      </c>
      <c r="U4" s="23" t="n">
        <v>306</v>
      </c>
      <c r="V4" s="19" t="n">
        <f aca="false">SUM(C4:U4)</f>
        <v>299082</v>
      </c>
      <c r="W4" s="19" t="n">
        <f aca="false">V4-B4</f>
        <v>0</v>
      </c>
    </row>
    <row r="5" customFormat="false" ht="15" hidden="false" customHeight="false" outlineLevel="0" collapsed="false">
      <c r="A5" s="12" t="s">
        <v>131</v>
      </c>
      <c r="B5" s="19" t="n">
        <f aca="false">SUM(C5:U5)</f>
        <v>366179</v>
      </c>
      <c r="C5" s="23" t="n">
        <v>47005</v>
      </c>
      <c r="D5" s="23" t="n">
        <v>12160</v>
      </c>
      <c r="E5" s="23" t="n">
        <v>4445</v>
      </c>
      <c r="F5" s="23" t="n">
        <v>11967</v>
      </c>
      <c r="G5" s="23" t="n">
        <v>14900</v>
      </c>
      <c r="H5" s="23" t="n">
        <v>2855</v>
      </c>
      <c r="I5" s="23" t="n">
        <v>13516</v>
      </c>
      <c r="J5" s="23" t="n">
        <v>17601</v>
      </c>
      <c r="K5" s="23" t="n">
        <v>72538</v>
      </c>
      <c r="L5" s="23" t="n">
        <v>62507</v>
      </c>
      <c r="M5" s="23" t="n">
        <v>3013</v>
      </c>
      <c r="N5" s="23" t="n">
        <v>10539</v>
      </c>
      <c r="O5" s="23" t="n">
        <v>57596</v>
      </c>
      <c r="P5" s="23" t="n">
        <v>14691</v>
      </c>
      <c r="Q5" s="23" t="n">
        <v>5512</v>
      </c>
      <c r="R5" s="23" t="n">
        <v>11677</v>
      </c>
      <c r="S5" s="23" t="n">
        <v>3130</v>
      </c>
      <c r="T5" s="23" t="n">
        <v>111</v>
      </c>
      <c r="U5" s="23" t="n">
        <v>416</v>
      </c>
      <c r="V5" s="19" t="n">
        <f aca="false">SUM(C5:U5)</f>
        <v>366179</v>
      </c>
      <c r="W5" s="19" t="n">
        <f aca="false">V5-B5</f>
        <v>0</v>
      </c>
    </row>
    <row r="6" customFormat="false" ht="15" hidden="false" customHeight="false" outlineLevel="0" collapsed="false">
      <c r="A6" s="12" t="s">
        <v>132</v>
      </c>
      <c r="B6" s="19" t="n">
        <f aca="false">SUM(C6:U6)</f>
        <v>390101</v>
      </c>
      <c r="C6" s="23" t="n">
        <v>48852</v>
      </c>
      <c r="D6" s="23" t="n">
        <v>13034</v>
      </c>
      <c r="E6" s="23" t="n">
        <v>4663</v>
      </c>
      <c r="F6" s="23" t="n">
        <v>12716</v>
      </c>
      <c r="G6" s="23" t="n">
        <v>18604</v>
      </c>
      <c r="H6" s="23" t="n">
        <v>3334</v>
      </c>
      <c r="I6" s="23" t="n">
        <v>14316</v>
      </c>
      <c r="J6" s="23" t="n">
        <v>17321</v>
      </c>
      <c r="K6" s="23" t="n">
        <v>77641</v>
      </c>
      <c r="L6" s="23" t="n">
        <v>62433</v>
      </c>
      <c r="M6" s="23" t="n">
        <v>3327</v>
      </c>
      <c r="N6" s="23" t="n">
        <v>11499</v>
      </c>
      <c r="O6" s="23" t="n">
        <v>64383</v>
      </c>
      <c r="P6" s="23" t="n">
        <v>14839</v>
      </c>
      <c r="Q6" s="23" t="n">
        <v>5912</v>
      </c>
      <c r="R6" s="23" t="n">
        <v>13528</v>
      </c>
      <c r="S6" s="23" t="n">
        <v>3103</v>
      </c>
      <c r="T6" s="23" t="n">
        <v>149</v>
      </c>
      <c r="U6" s="23" t="n">
        <v>447</v>
      </c>
      <c r="V6" s="19" t="n">
        <f aca="false">SUM(C6:U6)</f>
        <v>390101</v>
      </c>
      <c r="W6" s="19" t="n">
        <f aca="false">V6-B6</f>
        <v>0</v>
      </c>
    </row>
    <row r="7" customFormat="false" ht="15" hidden="false" customHeight="false" outlineLevel="0" collapsed="false">
      <c r="A7" s="12" t="s">
        <v>133</v>
      </c>
      <c r="B7" s="19" t="n">
        <f aca="false">SUM(C7:U7)</f>
        <v>538736</v>
      </c>
      <c r="C7" s="23" t="n">
        <v>66965</v>
      </c>
      <c r="D7" s="23" t="n">
        <v>17370</v>
      </c>
      <c r="E7" s="23" t="n">
        <v>6282</v>
      </c>
      <c r="F7" s="23" t="n">
        <v>17014</v>
      </c>
      <c r="G7" s="23" t="n">
        <v>21953</v>
      </c>
      <c r="H7" s="23" t="n">
        <v>4543</v>
      </c>
      <c r="I7" s="23" t="n">
        <v>20093</v>
      </c>
      <c r="J7" s="23" t="n">
        <v>21319</v>
      </c>
      <c r="K7" s="23" t="n">
        <v>115445</v>
      </c>
      <c r="L7" s="23" t="n">
        <v>76562</v>
      </c>
      <c r="M7" s="23" t="n">
        <v>4272</v>
      </c>
      <c r="N7" s="23" t="n">
        <v>16527</v>
      </c>
      <c r="O7" s="23" t="n">
        <v>99455</v>
      </c>
      <c r="P7" s="23" t="n">
        <v>18317</v>
      </c>
      <c r="Q7" s="23" t="n">
        <v>7561</v>
      </c>
      <c r="R7" s="23" t="n">
        <v>20783</v>
      </c>
      <c r="S7" s="23" t="n">
        <v>3638</v>
      </c>
      <c r="T7" s="23" t="n">
        <v>159</v>
      </c>
      <c r="U7" s="23" t="n">
        <v>478</v>
      </c>
      <c r="V7" s="19" t="n">
        <f aca="false">SUM(C7:U7)</f>
        <v>538736</v>
      </c>
      <c r="W7" s="19" t="n">
        <f aca="false">V7-B7</f>
        <v>0</v>
      </c>
    </row>
    <row r="8" customFormat="false" ht="15" hidden="false" customHeight="false" outlineLevel="0" collapsed="false">
      <c r="A8" s="12" t="s">
        <v>134</v>
      </c>
      <c r="B8" s="19" t="n">
        <f aca="false">SUM(C8:U8)</f>
        <v>733296</v>
      </c>
      <c r="C8" s="23" t="n">
        <v>88794</v>
      </c>
      <c r="D8" s="23" t="n">
        <v>21917</v>
      </c>
      <c r="E8" s="23" t="n">
        <v>8327</v>
      </c>
      <c r="F8" s="23" t="n">
        <v>25194</v>
      </c>
      <c r="G8" s="23" t="n">
        <v>26420</v>
      </c>
      <c r="H8" s="23" t="n">
        <v>5089</v>
      </c>
      <c r="I8" s="23" t="n">
        <v>24233</v>
      </c>
      <c r="J8" s="23" t="n">
        <v>27270</v>
      </c>
      <c r="K8" s="23" t="n">
        <v>171519</v>
      </c>
      <c r="L8" s="23" t="n">
        <v>99115</v>
      </c>
      <c r="M8" s="23" t="n">
        <v>5220</v>
      </c>
      <c r="N8" s="23" t="n">
        <v>21264</v>
      </c>
      <c r="O8" s="23" t="n">
        <v>142018</v>
      </c>
      <c r="P8" s="23" t="n">
        <v>23919</v>
      </c>
      <c r="Q8" s="23" t="n">
        <v>9162</v>
      </c>
      <c r="R8" s="23" t="n">
        <v>28413</v>
      </c>
      <c r="S8" s="23" t="n">
        <v>4518</v>
      </c>
      <c r="T8" s="23" t="n">
        <v>298</v>
      </c>
      <c r="U8" s="23" t="n">
        <v>606</v>
      </c>
      <c r="V8" s="19" t="n">
        <f aca="false">SUM(C8:U8)</f>
        <v>733296</v>
      </c>
      <c r="W8" s="19" t="n">
        <f aca="false">V8-B8</f>
        <v>0</v>
      </c>
    </row>
    <row r="9" customFormat="false" ht="15" hidden="false" customHeight="false" outlineLevel="0" collapsed="false">
      <c r="A9" s="12" t="s">
        <v>135</v>
      </c>
      <c r="B9" s="19" t="n">
        <f aca="false">SUM(C9:U9)</f>
        <v>808099</v>
      </c>
      <c r="C9" s="23" t="n">
        <v>97081</v>
      </c>
      <c r="D9" s="23" t="n">
        <v>23576</v>
      </c>
      <c r="E9" s="23" t="n">
        <v>9333</v>
      </c>
      <c r="F9" s="23" t="n">
        <v>29741</v>
      </c>
      <c r="G9" s="23" t="n">
        <v>29516</v>
      </c>
      <c r="H9" s="23" t="n">
        <v>5472</v>
      </c>
      <c r="I9" s="23" t="n">
        <v>25379</v>
      </c>
      <c r="J9" s="23" t="n">
        <v>29387</v>
      </c>
      <c r="K9" s="23" t="n">
        <v>197424</v>
      </c>
      <c r="L9" s="23" t="n">
        <v>110345</v>
      </c>
      <c r="M9" s="23" t="n">
        <v>5603</v>
      </c>
      <c r="N9" s="23" t="n">
        <v>22709</v>
      </c>
      <c r="O9" s="23" t="n">
        <v>149375</v>
      </c>
      <c r="P9" s="23" t="n">
        <v>25840</v>
      </c>
      <c r="Q9" s="23" t="n">
        <v>10233</v>
      </c>
      <c r="R9" s="23" t="n">
        <v>30815</v>
      </c>
      <c r="S9" s="23" t="n">
        <v>4898</v>
      </c>
      <c r="T9" s="23" t="n">
        <v>524</v>
      </c>
      <c r="U9" s="23" t="n">
        <v>848</v>
      </c>
      <c r="V9" s="19" t="n">
        <f aca="false">SUM(C9:U9)</f>
        <v>808099</v>
      </c>
      <c r="W9" s="19" t="n">
        <f aca="false">V9-B9</f>
        <v>0</v>
      </c>
    </row>
    <row r="10" customFormat="false" ht="15" hidden="false" customHeight="false" outlineLevel="0" collapsed="false">
      <c r="A10" s="12" t="s">
        <v>136</v>
      </c>
      <c r="B10" s="19" t="n">
        <f aca="false">SUM(C10:U10)</f>
        <v>799124</v>
      </c>
      <c r="C10" s="23" t="n">
        <v>98853</v>
      </c>
      <c r="D10" s="23" t="n">
        <v>23719</v>
      </c>
      <c r="E10" s="23" t="n">
        <v>9616</v>
      </c>
      <c r="F10" s="23" t="n">
        <v>30445</v>
      </c>
      <c r="G10" s="23" t="n">
        <v>31974</v>
      </c>
      <c r="H10" s="23" t="n">
        <v>5877</v>
      </c>
      <c r="I10" s="23" t="n">
        <v>25042</v>
      </c>
      <c r="J10" s="23" t="n">
        <v>31315</v>
      </c>
      <c r="K10" s="23" t="n">
        <v>191204</v>
      </c>
      <c r="L10" s="23" t="n">
        <v>114037</v>
      </c>
      <c r="M10" s="23" t="n">
        <v>5712</v>
      </c>
      <c r="N10" s="23" t="n">
        <v>22066</v>
      </c>
      <c r="O10" s="23" t="n">
        <v>135888</v>
      </c>
      <c r="P10" s="23" t="n">
        <v>26702</v>
      </c>
      <c r="Q10" s="23" t="n">
        <v>10482</v>
      </c>
      <c r="R10" s="23" t="n">
        <v>29070</v>
      </c>
      <c r="S10" s="23" t="n">
        <v>5382</v>
      </c>
      <c r="T10" s="23" t="n">
        <v>675</v>
      </c>
      <c r="U10" s="23" t="n">
        <v>1065</v>
      </c>
      <c r="V10" s="19" t="n">
        <f aca="false">SUM(C10:U10)</f>
        <v>799124</v>
      </c>
      <c r="W10" s="19" t="n">
        <f aca="false">V10-B10</f>
        <v>0</v>
      </c>
    </row>
    <row r="11" customFormat="false" ht="15" hidden="false" customHeight="false" outlineLevel="0" collapsed="false">
      <c r="A11" s="12" t="s">
        <v>137</v>
      </c>
      <c r="B11" s="19" t="n">
        <f aca="false">SUM(C11:U11)</f>
        <v>747004</v>
      </c>
      <c r="C11" s="23" t="n">
        <v>97219</v>
      </c>
      <c r="D11" s="23" t="n">
        <v>23069</v>
      </c>
      <c r="E11" s="23" t="n">
        <v>8662</v>
      </c>
      <c r="F11" s="23" t="n">
        <v>29287</v>
      </c>
      <c r="G11" s="23" t="n">
        <v>31954</v>
      </c>
      <c r="H11" s="23" t="n">
        <v>5562</v>
      </c>
      <c r="I11" s="23" t="n">
        <v>23048</v>
      </c>
      <c r="J11" s="23" t="n">
        <v>30738</v>
      </c>
      <c r="K11" s="23" t="n">
        <v>169999</v>
      </c>
      <c r="L11" s="23" t="n">
        <v>109255</v>
      </c>
      <c r="M11" s="23" t="n">
        <v>5321</v>
      </c>
      <c r="N11" s="23" t="n">
        <v>20085</v>
      </c>
      <c r="O11" s="23" t="n">
        <v>122309</v>
      </c>
      <c r="P11" s="23" t="n">
        <v>26489</v>
      </c>
      <c r="Q11" s="23" t="n">
        <v>10179</v>
      </c>
      <c r="R11" s="23" t="n">
        <v>26097</v>
      </c>
      <c r="S11" s="23" t="n">
        <v>5484</v>
      </c>
      <c r="T11" s="23" t="n">
        <v>890</v>
      </c>
      <c r="U11" s="23" t="n">
        <v>1357</v>
      </c>
      <c r="V11" s="19" t="n">
        <f aca="false">SUM(C11:U11)</f>
        <v>747004</v>
      </c>
      <c r="W11" s="19" t="n">
        <f aca="false">V11-B11</f>
        <v>0</v>
      </c>
    </row>
    <row r="12" customFormat="false" ht="15" hidden="false" customHeight="false" outlineLevel="0" collapsed="false">
      <c r="A12" s="12" t="s">
        <v>138</v>
      </c>
      <c r="B12" s="19" t="n">
        <f aca="false">SUM(C12:U12)</f>
        <v>669612</v>
      </c>
      <c r="C12" s="23" t="n">
        <v>88778</v>
      </c>
      <c r="D12" s="23" t="n">
        <v>22138</v>
      </c>
      <c r="E12" s="23" t="n">
        <v>7388</v>
      </c>
      <c r="F12" s="23" t="n">
        <v>27114</v>
      </c>
      <c r="G12" s="23" t="n">
        <v>30004</v>
      </c>
      <c r="H12" s="23" t="n">
        <v>4898</v>
      </c>
      <c r="I12" s="23" t="n">
        <v>21265</v>
      </c>
      <c r="J12" s="23" t="n">
        <v>27434</v>
      </c>
      <c r="K12" s="23" t="n">
        <v>146177</v>
      </c>
      <c r="L12" s="23" t="n">
        <v>100211</v>
      </c>
      <c r="M12" s="23" t="n">
        <v>4902</v>
      </c>
      <c r="N12" s="23" t="n">
        <v>17556</v>
      </c>
      <c r="O12" s="23" t="n">
        <v>108194</v>
      </c>
      <c r="P12" s="23" t="n">
        <v>25914</v>
      </c>
      <c r="Q12" s="23" t="n">
        <v>8800</v>
      </c>
      <c r="R12" s="23" t="n">
        <v>21568</v>
      </c>
      <c r="S12" s="23" t="n">
        <v>5048</v>
      </c>
      <c r="T12" s="23" t="n">
        <v>833</v>
      </c>
      <c r="U12" s="23" t="n">
        <v>1390</v>
      </c>
      <c r="V12" s="19" t="n">
        <f aca="false">SUM(C12:U12)</f>
        <v>669612</v>
      </c>
      <c r="W12" s="19" t="n">
        <f aca="false">V12-B12</f>
        <v>0</v>
      </c>
    </row>
    <row r="13" customFormat="false" ht="15" hidden="false" customHeight="false" outlineLevel="0" collapsed="false">
      <c r="A13" s="12" t="s">
        <v>139</v>
      </c>
      <c r="B13" s="19" t="n">
        <f aca="false">SUM(C13:U13)</f>
        <v>527231</v>
      </c>
      <c r="C13" s="23" t="n">
        <v>70585</v>
      </c>
      <c r="D13" s="23" t="n">
        <v>17376</v>
      </c>
      <c r="E13" s="23" t="n">
        <v>5770</v>
      </c>
      <c r="F13" s="23" t="n">
        <v>21831</v>
      </c>
      <c r="G13" s="23" t="n">
        <v>27556</v>
      </c>
      <c r="H13" s="23" t="n">
        <v>3880</v>
      </c>
      <c r="I13" s="23" t="n">
        <v>16122</v>
      </c>
      <c r="J13" s="23" t="n">
        <v>20567</v>
      </c>
      <c r="K13" s="23" t="n">
        <v>110033</v>
      </c>
      <c r="L13" s="23" t="n">
        <v>82339</v>
      </c>
      <c r="M13" s="23" t="n">
        <v>3759</v>
      </c>
      <c r="N13" s="23" t="n">
        <v>13892</v>
      </c>
      <c r="O13" s="23" t="n">
        <v>85673</v>
      </c>
      <c r="P13" s="23" t="n">
        <v>20240</v>
      </c>
      <c r="Q13" s="23" t="n">
        <v>6744</v>
      </c>
      <c r="R13" s="23" t="n">
        <v>15172</v>
      </c>
      <c r="S13" s="23" t="n">
        <v>3950</v>
      </c>
      <c r="T13" s="23" t="n">
        <v>669</v>
      </c>
      <c r="U13" s="23" t="n">
        <v>1073</v>
      </c>
      <c r="V13" s="19" t="n">
        <f aca="false">SUM(C13:U13)</f>
        <v>527231</v>
      </c>
      <c r="W13" s="19" t="n">
        <f aca="false">V13-B13</f>
        <v>0</v>
      </c>
    </row>
    <row r="14" customFormat="false" ht="15" hidden="false" customHeight="false" outlineLevel="0" collapsed="false">
      <c r="A14" s="12" t="s">
        <v>140</v>
      </c>
      <c r="B14" s="19" t="n">
        <f aca="false">SUM(C14:U14)</f>
        <v>410971</v>
      </c>
      <c r="C14" s="23" t="n">
        <v>57266</v>
      </c>
      <c r="D14" s="23" t="n">
        <v>12819</v>
      </c>
      <c r="E14" s="23" t="n">
        <v>4475</v>
      </c>
      <c r="F14" s="23" t="n">
        <v>17244</v>
      </c>
      <c r="G14" s="23" t="n">
        <v>24961</v>
      </c>
      <c r="H14" s="23" t="n">
        <v>2903</v>
      </c>
      <c r="I14" s="23" t="n">
        <v>12133</v>
      </c>
      <c r="J14" s="23" t="n">
        <v>14834</v>
      </c>
      <c r="K14" s="23" t="n">
        <v>80768</v>
      </c>
      <c r="L14" s="23" t="n">
        <v>68864</v>
      </c>
      <c r="M14" s="23" t="n">
        <v>2910</v>
      </c>
      <c r="N14" s="23" t="n">
        <v>10565</v>
      </c>
      <c r="O14" s="23" t="n">
        <v>65565</v>
      </c>
      <c r="P14" s="23" t="n">
        <v>15526</v>
      </c>
      <c r="Q14" s="23" t="n">
        <v>4809</v>
      </c>
      <c r="R14" s="23" t="n">
        <v>10937</v>
      </c>
      <c r="S14" s="23" t="n">
        <v>2999</v>
      </c>
      <c r="T14" s="23" t="n">
        <v>539</v>
      </c>
      <c r="U14" s="23" t="n">
        <v>854</v>
      </c>
      <c r="V14" s="19" t="n">
        <f aca="false">SUM(C14:U14)</f>
        <v>410971</v>
      </c>
      <c r="W14" s="19" t="n">
        <f aca="false">V14-B14</f>
        <v>0</v>
      </c>
    </row>
    <row r="15" customFormat="false" ht="15" hidden="false" customHeight="false" outlineLevel="0" collapsed="false">
      <c r="A15" s="12" t="s">
        <v>141</v>
      </c>
      <c r="B15" s="19" t="n">
        <f aca="false">SUM(C15:U15)</f>
        <v>299005</v>
      </c>
      <c r="C15" s="23" t="n">
        <v>45234</v>
      </c>
      <c r="D15" s="23" t="n">
        <v>7551</v>
      </c>
      <c r="E15" s="23" t="n">
        <v>3120</v>
      </c>
      <c r="F15" s="23" t="n">
        <v>12767</v>
      </c>
      <c r="G15" s="23" t="n">
        <v>21353</v>
      </c>
      <c r="H15" s="23" t="n">
        <v>2025</v>
      </c>
      <c r="I15" s="23" t="n">
        <v>7943</v>
      </c>
      <c r="J15" s="23" t="n">
        <v>8894</v>
      </c>
      <c r="K15" s="23" t="n">
        <v>55279</v>
      </c>
      <c r="L15" s="23" t="n">
        <v>56073</v>
      </c>
      <c r="M15" s="23" t="n">
        <v>1987</v>
      </c>
      <c r="N15" s="23" t="n">
        <v>7822</v>
      </c>
      <c r="O15" s="23" t="n">
        <v>43715</v>
      </c>
      <c r="P15" s="23" t="n">
        <v>12014</v>
      </c>
      <c r="Q15" s="23" t="n">
        <v>3176</v>
      </c>
      <c r="R15" s="23" t="n">
        <v>6991</v>
      </c>
      <c r="S15" s="23" t="n">
        <v>1926</v>
      </c>
      <c r="T15" s="23" t="n">
        <v>384</v>
      </c>
      <c r="U15" s="23" t="n">
        <v>751</v>
      </c>
      <c r="V15" s="19" t="n">
        <f aca="false">SUM(C15:U15)</f>
        <v>299005</v>
      </c>
      <c r="W15" s="19" t="n">
        <f aca="false">V15-B15</f>
        <v>0</v>
      </c>
    </row>
    <row r="16" customFormat="false" ht="15" hidden="false" customHeight="false" outlineLevel="0" collapsed="false">
      <c r="A16" s="12" t="s">
        <v>142</v>
      </c>
      <c r="B16" s="19" t="n">
        <f aca="false">SUM(C16:U16)</f>
        <v>225901</v>
      </c>
      <c r="C16" s="23" t="n">
        <v>36774</v>
      </c>
      <c r="D16" s="23" t="n">
        <v>4826</v>
      </c>
      <c r="E16" s="23" t="n">
        <v>2278</v>
      </c>
      <c r="F16" s="23" t="n">
        <v>9061</v>
      </c>
      <c r="G16" s="23" t="n">
        <v>17217</v>
      </c>
      <c r="H16" s="23" t="n">
        <v>1407</v>
      </c>
      <c r="I16" s="23" t="n">
        <v>5510</v>
      </c>
      <c r="J16" s="23" t="n">
        <v>6216</v>
      </c>
      <c r="K16" s="23" t="n">
        <v>38835</v>
      </c>
      <c r="L16" s="23" t="n">
        <v>47941</v>
      </c>
      <c r="M16" s="23" t="n">
        <v>1379</v>
      </c>
      <c r="N16" s="23" t="n">
        <v>5587</v>
      </c>
      <c r="O16" s="23" t="n">
        <v>30473</v>
      </c>
      <c r="P16" s="23" t="n">
        <v>9597</v>
      </c>
      <c r="Q16" s="23" t="n">
        <v>2152</v>
      </c>
      <c r="R16" s="23" t="n">
        <v>4556</v>
      </c>
      <c r="S16" s="23" t="n">
        <v>1249</v>
      </c>
      <c r="T16" s="23" t="n">
        <v>279</v>
      </c>
      <c r="U16" s="23" t="n">
        <v>564</v>
      </c>
      <c r="V16" s="19" t="n">
        <f aca="false">SUM(C16:U16)</f>
        <v>225901</v>
      </c>
      <c r="W16" s="19" t="n">
        <f aca="false">V16-B16</f>
        <v>0</v>
      </c>
    </row>
    <row r="17" customFormat="false" ht="15" hidden="false" customHeight="false" outlineLevel="0" collapsed="false">
      <c r="A17" s="12" t="s">
        <v>143</v>
      </c>
      <c r="B17" s="19" t="n">
        <f aca="false">SUM(C17:U17)</f>
        <v>163579</v>
      </c>
      <c r="C17" s="23" t="n">
        <v>28854</v>
      </c>
      <c r="D17" s="23" t="n">
        <v>2884</v>
      </c>
      <c r="E17" s="23" t="n">
        <v>1573</v>
      </c>
      <c r="F17" s="23" t="n">
        <v>6689</v>
      </c>
      <c r="G17" s="23" t="n">
        <v>13822</v>
      </c>
      <c r="H17" s="23" t="n">
        <v>945</v>
      </c>
      <c r="I17" s="23" t="n">
        <v>3515</v>
      </c>
      <c r="J17" s="23" t="n">
        <v>3889</v>
      </c>
      <c r="K17" s="23" t="n">
        <v>26381</v>
      </c>
      <c r="L17" s="23" t="n">
        <v>38107</v>
      </c>
      <c r="M17" s="23" t="n">
        <v>1004</v>
      </c>
      <c r="N17" s="23" t="n">
        <v>4031</v>
      </c>
      <c r="O17" s="23" t="n">
        <v>19529</v>
      </c>
      <c r="P17" s="23" t="n">
        <v>6777</v>
      </c>
      <c r="Q17" s="23" t="n">
        <v>1346</v>
      </c>
      <c r="R17" s="23" t="n">
        <v>2943</v>
      </c>
      <c r="S17" s="23" t="n">
        <v>781</v>
      </c>
      <c r="T17" s="23" t="n">
        <v>138</v>
      </c>
      <c r="U17" s="23" t="n">
        <v>371</v>
      </c>
      <c r="V17" s="19" t="n">
        <f aca="false">SUM(C17:U17)</f>
        <v>163579</v>
      </c>
      <c r="W17" s="19" t="n">
        <f aca="false">V17-B17</f>
        <v>0</v>
      </c>
    </row>
    <row r="18" customFormat="false" ht="15" hidden="false" customHeight="false" outlineLevel="0" collapsed="false">
      <c r="A18" s="12" t="s">
        <v>144</v>
      </c>
      <c r="B18" s="19" t="n">
        <f aca="false">SUM(C18:U18)</f>
        <v>111156</v>
      </c>
      <c r="C18" s="23" t="n">
        <v>21860</v>
      </c>
      <c r="D18" s="23" t="n">
        <v>1482</v>
      </c>
      <c r="E18" s="23" t="n">
        <v>924</v>
      </c>
      <c r="F18" s="23" t="n">
        <v>4903</v>
      </c>
      <c r="G18" s="23" t="n">
        <v>10140</v>
      </c>
      <c r="H18" s="23" t="n">
        <v>546</v>
      </c>
      <c r="I18" s="23" t="n">
        <v>1919</v>
      </c>
      <c r="J18" s="23" t="n">
        <v>2069</v>
      </c>
      <c r="K18" s="23" t="n">
        <v>16049</v>
      </c>
      <c r="L18" s="23" t="n">
        <v>28979</v>
      </c>
      <c r="M18" s="23" t="n">
        <v>521</v>
      </c>
      <c r="N18" s="23" t="n">
        <v>2488</v>
      </c>
      <c r="O18" s="23" t="n">
        <v>11398</v>
      </c>
      <c r="P18" s="23" t="n">
        <v>4764</v>
      </c>
      <c r="Q18" s="23" t="n">
        <v>816</v>
      </c>
      <c r="R18" s="23" t="n">
        <v>1648</v>
      </c>
      <c r="S18" s="23" t="n">
        <v>389</v>
      </c>
      <c r="T18" s="23" t="n">
        <v>69</v>
      </c>
      <c r="U18" s="23" t="n">
        <v>192</v>
      </c>
      <c r="V18" s="19" t="n">
        <f aca="false">SUM(C18:U18)</f>
        <v>111156</v>
      </c>
      <c r="W18" s="19" t="n">
        <f aca="false">V18-B18</f>
        <v>0</v>
      </c>
    </row>
    <row r="19" customFormat="false" ht="15" hidden="false" customHeight="false" outlineLevel="0" collapsed="false">
      <c r="A19" s="12" t="s">
        <v>145</v>
      </c>
      <c r="B19" s="19" t="n">
        <f aca="false">SUM(C19:U19)</f>
        <v>62708</v>
      </c>
      <c r="C19" s="23" t="n">
        <v>12988</v>
      </c>
      <c r="D19" s="23" t="n">
        <v>738</v>
      </c>
      <c r="E19" s="23" t="n">
        <v>474</v>
      </c>
      <c r="F19" s="23" t="n">
        <v>2921</v>
      </c>
      <c r="G19" s="23" t="n">
        <v>6027</v>
      </c>
      <c r="H19" s="23" t="n">
        <v>300</v>
      </c>
      <c r="I19" s="23" t="n">
        <v>891</v>
      </c>
      <c r="J19" s="23" t="n">
        <v>981</v>
      </c>
      <c r="K19" s="23" t="n">
        <v>8382</v>
      </c>
      <c r="L19" s="23" t="n">
        <v>17269</v>
      </c>
      <c r="M19" s="23" t="n">
        <v>263</v>
      </c>
      <c r="N19" s="23" t="n">
        <v>1402</v>
      </c>
      <c r="O19" s="23" t="n">
        <v>5908</v>
      </c>
      <c r="P19" s="23" t="n">
        <v>2525</v>
      </c>
      <c r="Q19" s="23" t="n">
        <v>400</v>
      </c>
      <c r="R19" s="23" t="n">
        <v>874</v>
      </c>
      <c r="S19" s="23" t="n">
        <v>190</v>
      </c>
      <c r="T19" s="23" t="n">
        <v>48</v>
      </c>
      <c r="U19" s="23" t="n">
        <v>127</v>
      </c>
      <c r="V19" s="19" t="n">
        <f aca="false">SUM(C19:U19)</f>
        <v>62708</v>
      </c>
      <c r="W19" s="19" t="n">
        <f aca="false">V19-B19</f>
        <v>0</v>
      </c>
    </row>
    <row r="20" customFormat="false" ht="15" hidden="false" customHeight="false" outlineLevel="0" collapsed="false">
      <c r="A20" s="12" t="s">
        <v>146</v>
      </c>
      <c r="B20" s="19" t="n">
        <f aca="false">SUM(C20:U20)</f>
        <v>29815</v>
      </c>
      <c r="C20" s="23" t="n">
        <v>6000</v>
      </c>
      <c r="D20" s="23" t="n">
        <v>310</v>
      </c>
      <c r="E20" s="23" t="n">
        <v>274</v>
      </c>
      <c r="F20" s="23" t="n">
        <v>1418</v>
      </c>
      <c r="G20" s="23" t="n">
        <v>2908</v>
      </c>
      <c r="H20" s="23" t="n">
        <v>182</v>
      </c>
      <c r="I20" s="23" t="n">
        <v>401</v>
      </c>
      <c r="J20" s="23" t="n">
        <v>494</v>
      </c>
      <c r="K20" s="23" t="n">
        <v>4194</v>
      </c>
      <c r="L20" s="23" t="n">
        <v>7857</v>
      </c>
      <c r="M20" s="23" t="n">
        <v>131</v>
      </c>
      <c r="N20" s="23" t="n">
        <v>740</v>
      </c>
      <c r="O20" s="23" t="n">
        <v>3169</v>
      </c>
      <c r="P20" s="23" t="n">
        <v>952</v>
      </c>
      <c r="Q20" s="23" t="n">
        <v>198</v>
      </c>
      <c r="R20" s="23" t="n">
        <v>387</v>
      </c>
      <c r="S20" s="23" t="n">
        <v>102</v>
      </c>
      <c r="T20" s="23" t="n">
        <v>22</v>
      </c>
      <c r="U20" s="23" t="n">
        <v>76</v>
      </c>
      <c r="V20" s="19" t="n">
        <f aca="false">SUM(C20:U20)</f>
        <v>29815</v>
      </c>
      <c r="W20" s="19" t="n">
        <f aca="false">V20-B20</f>
        <v>0</v>
      </c>
    </row>
    <row r="21" customFormat="false" ht="15" hidden="false" customHeight="false" outlineLevel="0" collapsed="false">
      <c r="A21" s="12" t="s">
        <v>147</v>
      </c>
      <c r="B21" s="19" t="n">
        <f aca="false">SUM(C21:U21)</f>
        <v>12762</v>
      </c>
      <c r="C21" s="23" t="n">
        <v>2377</v>
      </c>
      <c r="D21" s="23" t="n">
        <v>152</v>
      </c>
      <c r="E21" s="23" t="n">
        <v>142</v>
      </c>
      <c r="F21" s="23" t="n">
        <v>684</v>
      </c>
      <c r="G21" s="23" t="n">
        <v>1151</v>
      </c>
      <c r="H21" s="23" t="n">
        <v>92</v>
      </c>
      <c r="I21" s="23" t="n">
        <v>235</v>
      </c>
      <c r="J21" s="23" t="n">
        <v>261</v>
      </c>
      <c r="K21" s="23" t="n">
        <v>1948</v>
      </c>
      <c r="L21" s="23" t="n">
        <v>3004</v>
      </c>
      <c r="M21" s="23" t="n">
        <v>95</v>
      </c>
      <c r="N21" s="23" t="n">
        <v>372</v>
      </c>
      <c r="O21" s="23" t="n">
        <v>1548</v>
      </c>
      <c r="P21" s="23" t="n">
        <v>337</v>
      </c>
      <c r="Q21" s="23" t="n">
        <v>84</v>
      </c>
      <c r="R21" s="23" t="n">
        <v>203</v>
      </c>
      <c r="S21" s="23" t="n">
        <v>38</v>
      </c>
      <c r="T21" s="23" t="n">
        <v>13</v>
      </c>
      <c r="U21" s="23" t="n">
        <v>26</v>
      </c>
      <c r="V21" s="19" t="n">
        <f aca="false">SUM(C21:U21)</f>
        <v>12762</v>
      </c>
      <c r="W21" s="19" t="n">
        <f aca="false">V21-B21</f>
        <v>0</v>
      </c>
    </row>
    <row r="22" customFormat="false" ht="15" hidden="false" customHeight="false" outlineLevel="0" collapsed="false">
      <c r="A22" s="2" t="s">
        <v>148</v>
      </c>
      <c r="B22" s="19" t="n">
        <f aca="false">SUM(B3:B21)</f>
        <v>7437543</v>
      </c>
      <c r="C22" s="19" t="n">
        <f aca="false">SUM(C3:C21)</f>
        <v>986922</v>
      </c>
      <c r="D22" s="19" t="n">
        <f aca="false">SUM(D3:D21)</f>
        <v>223584</v>
      </c>
      <c r="E22" s="19" t="n">
        <f aca="false">SUM(E3:E21)</f>
        <v>84087</v>
      </c>
      <c r="F22" s="19" t="n">
        <f aca="false">SUM(F3:F21)</f>
        <v>279415</v>
      </c>
      <c r="G22" s="19" t="n">
        <f aca="false">SUM(G3:G21)</f>
        <v>349690</v>
      </c>
      <c r="H22" s="19" t="n">
        <f aca="false">SUM(H3:H21)</f>
        <v>53489</v>
      </c>
      <c r="I22" s="19" t="n">
        <f aca="false">SUM(I3:I21)</f>
        <v>234815</v>
      </c>
      <c r="J22" s="19" t="n">
        <f aca="false">SUM(J3:J21)</f>
        <v>286117</v>
      </c>
      <c r="K22" s="19" t="n">
        <f aca="false">SUM(K3:K21)</f>
        <v>1598400</v>
      </c>
      <c r="L22" s="19" t="n">
        <f aca="false">SUM(L3:L21)</f>
        <v>1173815</v>
      </c>
      <c r="M22" s="19" t="n">
        <f aca="false">SUM(M3:M21)</f>
        <v>53988</v>
      </c>
      <c r="N22" s="19" t="n">
        <f aca="false">SUM(N3:N21)</f>
        <v>203236</v>
      </c>
      <c r="O22" s="19" t="n">
        <f aca="false">SUM(O3:O21)</f>
        <v>1229486</v>
      </c>
      <c r="P22" s="19" t="n">
        <f aca="false">SUM(P3:P21)</f>
        <v>271380</v>
      </c>
      <c r="Q22" s="19" t="n">
        <f aca="false">SUM(Q3:Q21)</f>
        <v>95897</v>
      </c>
      <c r="R22" s="19" t="n">
        <f aca="false">SUM(R3:R21)</f>
        <v>244224</v>
      </c>
      <c r="S22" s="19" t="n">
        <f aca="false">SUM(S3:S21)</f>
        <v>51687</v>
      </c>
      <c r="T22" s="19" t="n">
        <f aca="false">SUM(T3:T21)</f>
        <v>6050</v>
      </c>
      <c r="U22" s="19" t="n">
        <f aca="false">SUM(U3:U21)</f>
        <v>11261</v>
      </c>
    </row>
    <row r="23" customFormat="false" ht="15" hidden="false" customHeight="false" outlineLevel="0" collapsed="false">
      <c r="A23" s="2" t="s">
        <v>149</v>
      </c>
      <c r="B23" s="19" t="n">
        <f aca="false">B22-B2</f>
        <v>0</v>
      </c>
      <c r="C23" s="19" t="n">
        <f aca="false">C22-C2</f>
        <v>0</v>
      </c>
      <c r="D23" s="19" t="n">
        <f aca="false">D22-D2</f>
        <v>0</v>
      </c>
      <c r="E23" s="19" t="n">
        <f aca="false">E22-E2</f>
        <v>0</v>
      </c>
      <c r="F23" s="19" t="n">
        <f aca="false">F22-F2</f>
        <v>0</v>
      </c>
      <c r="G23" s="19" t="n">
        <f aca="false">G22-G2</f>
        <v>0</v>
      </c>
      <c r="H23" s="19" t="n">
        <f aca="false">H22-H2</f>
        <v>0</v>
      </c>
      <c r="I23" s="19" t="n">
        <f aca="false">I22-I2</f>
        <v>0</v>
      </c>
      <c r="J23" s="19" t="n">
        <f aca="false">J22-J2</f>
        <v>0</v>
      </c>
      <c r="K23" s="19" t="n">
        <f aca="false">K22-K2</f>
        <v>0</v>
      </c>
      <c r="L23" s="19" t="n">
        <f aca="false">L22-L2</f>
        <v>0</v>
      </c>
      <c r="M23" s="19" t="n">
        <f aca="false">M22-M2</f>
        <v>0</v>
      </c>
      <c r="N23" s="19" t="n">
        <f aca="false">N22-N2</f>
        <v>0</v>
      </c>
      <c r="O23" s="19" t="n">
        <f aca="false">O22-O2</f>
        <v>0</v>
      </c>
      <c r="P23" s="19" t="n">
        <f aca="false">P22-P2</f>
        <v>0</v>
      </c>
      <c r="Q23" s="19" t="n">
        <f aca="false">Q22-Q2</f>
        <v>0</v>
      </c>
      <c r="R23" s="19" t="n">
        <f aca="false">R22-R2</f>
        <v>0</v>
      </c>
      <c r="S23" s="19" t="n">
        <f aca="false">S22-S2</f>
        <v>0</v>
      </c>
      <c r="T23" s="19" t="n">
        <f aca="false">T22-T2</f>
        <v>0</v>
      </c>
      <c r="U23" s="19" t="n">
        <f aca="false">U22-U2</f>
        <v>0</v>
      </c>
    </row>
    <row r="25" customFormat="false" ht="15" hidden="false" customHeight="false" outlineLevel="0" collapsed="false">
      <c r="A25" s="1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4"/>
  </cols>
  <sheetData>
    <row r="1" customFormat="false" ht="73.5" hidden="false" customHeight="true" outlineLevel="0" collapsed="false">
      <c r="A1" s="4" t="s">
        <v>97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71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102</v>
      </c>
      <c r="M1" s="4" t="s">
        <v>163</v>
      </c>
      <c r="N1" s="4" t="s">
        <v>164</v>
      </c>
      <c r="O1" s="4" t="s">
        <v>165</v>
      </c>
      <c r="P1" s="4" t="s">
        <v>166</v>
      </c>
      <c r="Q1" s="4" t="s">
        <v>167</v>
      </c>
    </row>
    <row r="2" customFormat="false" ht="15" hidden="false" customHeight="false" outlineLevel="0" collapsed="false">
      <c r="A2" s="2" t="s">
        <v>54</v>
      </c>
      <c r="B2" s="13" t="n">
        <f aca="false">Edad_Total!B2</f>
        <v>49801559</v>
      </c>
      <c r="C2" s="16" t="n">
        <f aca="false">SUM(Edad_Total!B3:B5)/Edad_Total!B2*100</f>
        <v>12.3892567298947</v>
      </c>
      <c r="D2" s="16" t="n">
        <f aca="false">SUM(Edad_Total!B6:B15)/Edad_Total!B2*100</f>
        <v>66.4042625653546</v>
      </c>
      <c r="E2" s="16" t="n">
        <f aca="false">SUM(Edad_Total!B16:B21)/Edad_Total!B2*100</f>
        <v>21.2064807047506</v>
      </c>
      <c r="F2" s="16" t="n">
        <f aca="false">SUM(Edad_Total!B19:B21)/Edad_Total!B2*100</f>
        <v>6.3486566755872</v>
      </c>
      <c r="G2" s="16" t="n">
        <f aca="false">SUM(Edad_Total!B16:B21)/SUM(Edad_Total!B3:B5)*100</f>
        <v>171.168304661734</v>
      </c>
      <c r="H2" s="16" t="n">
        <f aca="false">(SUM(Edad_Total!B3:B5)+SUM(Edad_Total!B16:B21))/SUM(Edad_Total!B6:B15)*100</f>
        <v>50.5927422981027</v>
      </c>
      <c r="I2" s="16" t="n">
        <f aca="false">SUM(Edad_Total!B16:B21)/SUM(Edad_Total!B6:B15)*100</f>
        <v>31.935420838202</v>
      </c>
      <c r="J2" s="16" t="n">
        <f aca="false">SUM(Edad_Total!B7:B10)/Edad_Total!B2*100</f>
        <v>23.3871313145036</v>
      </c>
      <c r="K2" s="16" t="n">
        <f aca="false">SUM(Edad_Total!B20:B21)/SUM(Edad_Total!B16:B21)*100</f>
        <v>15.4513264549209</v>
      </c>
      <c r="L2" s="16" t="n">
        <f aca="false">Edad_Extranjeros!B2/Edad_Total!B2*100</f>
        <v>14.9343577778358</v>
      </c>
      <c r="M2" s="16" t="n">
        <f aca="false">SUM(Edad_Extranjeros!B7:B11)/SUM(Edad_Total!B7:B11)*100</f>
        <v>24.0682147764169</v>
      </c>
      <c r="N2" s="16" t="n">
        <f aca="false">Edad_Mujeres!B2/Edad_Hombres!B2*100</f>
        <v>103.58238596565</v>
      </c>
      <c r="O2" s="16" t="n">
        <f aca="false">SUM(Edad_Mujeres!B16:B21)/SUM(Edad_Hombres!B16:B21)*100</f>
        <v>128.291659902611</v>
      </c>
    </row>
    <row r="3" customFormat="false" ht="15" hidden="false" customHeight="false" outlineLevel="0" collapsed="false">
      <c r="A3" s="12" t="s">
        <v>106</v>
      </c>
      <c r="B3" s="13" t="n">
        <f aca="false">Edad_Total!C2</f>
        <v>8778051</v>
      </c>
      <c r="C3" s="16" t="n">
        <f aca="false">SUM(Edad_Total!C3:C5)/Edad_Total!C2*100</f>
        <v>13.1601536605335</v>
      </c>
      <c r="D3" s="16" t="n">
        <f aca="false">SUM(Edad_Total!C6:C15)/Edad_Total!C2*100</f>
        <v>67.1013531363625</v>
      </c>
      <c r="E3" s="16" t="n">
        <f aca="false">SUM(Edad_Total!C16:C21)/Edad_Total!C2*100</f>
        <v>19.738493203104</v>
      </c>
      <c r="F3" s="16" t="n">
        <f aca="false">SUM(Edad_Total!C19:C21)/Edad_Total!C2*100</f>
        <v>5.37350489305656</v>
      </c>
      <c r="G3" s="16" t="n">
        <f aca="false">SUM(Edad_Total!C16:C21)/SUM(Edad_Total!C3:C5)*100</f>
        <v>149.986798879853</v>
      </c>
      <c r="H3" s="16" t="n">
        <f aca="false">(SUM(Edad_Total!C3:C5)+SUM(Edad_Total!C16:C21))/SUM(Edad_Total!C6:C15)*100</f>
        <v>49.0282912727278</v>
      </c>
      <c r="I3" s="16" t="n">
        <f aca="false">SUM(Edad_Total!C16:C21)/SUM(Edad_Total!C6:C15)*100</f>
        <v>29.4159391435694</v>
      </c>
      <c r="J3" s="16" t="n">
        <f aca="false">SUM(Edad_Total!C7:C10)/Edad_Total!C2*100</f>
        <v>23.402039928909</v>
      </c>
      <c r="K3" s="16" t="n">
        <f aca="false">SUM(Edad_Total!C20:C21)/SUM(Edad_Total!C16:C21)*100</f>
        <v>13.2167684853592</v>
      </c>
      <c r="L3" s="16" t="n">
        <f aca="false">Edad_Extranjeros!C2/Edad_Total!C2*100</f>
        <v>11.2430652316784</v>
      </c>
      <c r="M3" s="16" t="n">
        <f aca="false">SUM(Edad_Extranjeros!C7:C11)/SUM(Edad_Total!C7:C11)*100</f>
        <v>16.7996494210095</v>
      </c>
      <c r="N3" s="16" t="n">
        <f aca="false">Edad_Mujeres!C2/Edad_Hombres!C2*100</f>
        <v>102.935191504236</v>
      </c>
      <c r="O3" s="16" t="n">
        <f aca="false">SUM(Edad_Mujeres!C16:C21)/SUM(Edad_Hombres!C16:C21)*100</f>
        <v>125.713392432601</v>
      </c>
      <c r="P3" s="22" t="n">
        <f aca="false">RANK(E3,E$3:E$21,0)</f>
        <v>13</v>
      </c>
      <c r="Q3" s="22" t="n">
        <f aca="false">RANK(L3,L$3:L$21,0)</f>
        <v>12</v>
      </c>
    </row>
    <row r="4" customFormat="false" ht="15" hidden="false" customHeight="false" outlineLevel="0" collapsed="false">
      <c r="A4" s="12" t="s">
        <v>107</v>
      </c>
      <c r="B4" s="13" t="n">
        <f aca="false">Edad_Total!D2</f>
        <v>1389298</v>
      </c>
      <c r="C4" s="16" t="n">
        <f aca="false">SUM(Edad_Total!D3:D5)/Edad_Total!D2*100</f>
        <v>12.2659069544475</v>
      </c>
      <c r="D4" s="16" t="n">
        <f aca="false">SUM(Edad_Total!D6:D15)/Edad_Total!D2*100</f>
        <v>64.8274884150125</v>
      </c>
      <c r="E4" s="16" t="n">
        <f aca="false">SUM(Edad_Total!D16:D21)/Edad_Total!D2*100</f>
        <v>22.90660463054</v>
      </c>
      <c r="F4" s="16" t="n">
        <f aca="false">SUM(Edad_Total!D19:D21)/Edad_Total!D2*100</f>
        <v>7.3162849151154</v>
      </c>
      <c r="G4" s="16" t="n">
        <f aca="false">SUM(Edad_Total!D16:D21)/SUM(Edad_Total!D3:D5)*100</f>
        <v>186.750190716507</v>
      </c>
      <c r="H4" s="16" t="n">
        <f aca="false">(SUM(Edad_Total!D3:D5)+SUM(Edad_Total!D16:D21))/SUM(Edad_Total!D6:D15)*100</f>
        <v>54.2555518421757</v>
      </c>
      <c r="I4" s="16" t="n">
        <f aca="false">SUM(Edad_Total!D16:D21)/SUM(Edad_Total!D6:D15)*100</f>
        <v>35.3347093811449</v>
      </c>
      <c r="J4" s="16" t="n">
        <f aca="false">SUM(Edad_Total!D7:D10)/Edad_Total!D2*100</f>
        <v>22.4218994053112</v>
      </c>
      <c r="K4" s="16" t="n">
        <f aca="false">SUM(Edad_Total!D20:D21)/SUM(Edad_Total!D16:D21)*100</f>
        <v>17.1059040161387</v>
      </c>
      <c r="L4" s="16" t="n">
        <f aca="false">Edad_Extranjeros!D2/Edad_Total!D2*100</f>
        <v>16.0933075553265</v>
      </c>
      <c r="M4" s="16" t="n">
        <f aca="false">SUM(Edad_Extranjeros!D7:D11)/SUM(Edad_Total!D7:D11)*100</f>
        <v>27.2072671151131</v>
      </c>
      <c r="N4" s="16" t="n">
        <f aca="false">Edad_Mujeres!D2/Edad_Hombres!D2*100</f>
        <v>100.764446448286</v>
      </c>
      <c r="O4" s="16" t="n">
        <f aca="false">SUM(Edad_Mujeres!D16:D21)/SUM(Edad_Hombres!D16:D21)*100</f>
        <v>126.089273154825</v>
      </c>
      <c r="P4" s="22" t="n">
        <f aca="false">RANK(E4,E$3:E$21,0)</f>
        <v>8</v>
      </c>
      <c r="Q4" s="22" t="n">
        <f aca="false">RANK(L4,L$3:L$21,0)</f>
        <v>6</v>
      </c>
    </row>
    <row r="5" customFormat="false" ht="15" hidden="false" customHeight="false" outlineLevel="0" collapsed="false">
      <c r="A5" s="12" t="s">
        <v>108</v>
      </c>
      <c r="B5" s="13" t="n">
        <f aca="false">Edad_Total!E2</f>
        <v>1026726</v>
      </c>
      <c r="C5" s="16" t="n">
        <f aca="false">SUM(Edad_Total!E3:E5)/Edad_Total!E2*100</f>
        <v>9.50204825825001</v>
      </c>
      <c r="D5" s="16" t="n">
        <f aca="false">SUM(Edad_Total!E6:E15)/Edad_Total!E2*100</f>
        <v>61.6523785313706</v>
      </c>
      <c r="E5" s="16" t="n">
        <f aca="false">SUM(Edad_Total!E16:E21)/Edad_Total!E2*100</f>
        <v>28.8455732103794</v>
      </c>
      <c r="F5" s="16" t="n">
        <f aca="false">SUM(Edad_Total!E19:E21)/Edad_Total!E2*100</f>
        <v>8.77157099362439</v>
      </c>
      <c r="G5" s="16" t="n">
        <f aca="false">SUM(Edad_Total!E16:E21)/SUM(Edad_Total!E3:E5)*100</f>
        <v>303.572160721607</v>
      </c>
      <c r="H5" s="16" t="n">
        <f aca="false">(SUM(Edad_Total!E3:E5)+SUM(Edad_Total!E16:E21))/SUM(Edad_Total!E6:E15)*100</f>
        <v>62.1997437602784</v>
      </c>
      <c r="I5" s="16" t="n">
        <f aca="false">SUM(Edad_Total!E16:E21)/SUM(Edad_Total!E6:E15)*100</f>
        <v>46.7874458334189</v>
      </c>
      <c r="J5" s="16" t="n">
        <f aca="false">SUM(Edad_Total!E7:E10)/Edad_Total!E2*100</f>
        <v>18.1914162103619</v>
      </c>
      <c r="K5" s="16" t="n">
        <f aca="false">SUM(Edad_Total!E20:E21)/SUM(Edad_Total!E16:E21)*100</f>
        <v>16.0440970405011</v>
      </c>
      <c r="L5" s="16" t="n">
        <f aca="false">Edad_Extranjeros!E2/Edad_Total!E2*100</f>
        <v>8.18981890007655</v>
      </c>
      <c r="M5" s="16" t="n">
        <f aca="false">SUM(Edad_Extranjeros!E7:E11)/SUM(Edad_Total!E7:E11)*100</f>
        <v>16.7220503721072</v>
      </c>
      <c r="N5" s="16" t="n">
        <f aca="false">Edad_Mujeres!E2/Edad_Hombres!E2*100</f>
        <v>109.17008415893</v>
      </c>
      <c r="O5" s="16" t="n">
        <f aca="false">SUM(Edad_Mujeres!E16:E21)/SUM(Edad_Hombres!E16:E21)*100</f>
        <v>134.74976617365</v>
      </c>
      <c r="P5" s="22" t="n">
        <f aca="false">RANK(E5,E$3:E$21,0)</f>
        <v>1</v>
      </c>
      <c r="Q5" s="22" t="n">
        <f aca="false">RANK(L5,L$3:L$21,0)</f>
        <v>16</v>
      </c>
    </row>
    <row r="6" customFormat="false" ht="15" hidden="false" customHeight="false" outlineLevel="0" collapsed="false">
      <c r="A6" s="12" t="s">
        <v>109</v>
      </c>
      <c r="B6" s="13" t="n">
        <f aca="false">Edad_Total!F2</f>
        <v>1266279</v>
      </c>
      <c r="C6" s="16" t="n">
        <f aca="false">SUM(Edad_Total!F3:F5)/Edad_Total!F2*100</f>
        <v>12.7282376158809</v>
      </c>
      <c r="D6" s="16" t="n">
        <f aca="false">SUM(Edad_Total!F6:F15)/Edad_Total!F2*100</f>
        <v>69.9575685927035</v>
      </c>
      <c r="E6" s="16" t="n">
        <f aca="false">SUM(Edad_Total!F16:F21)/Edad_Total!F2*100</f>
        <v>17.3141937914156</v>
      </c>
      <c r="F6" s="16" t="n">
        <f aca="false">SUM(Edad_Total!F19:F21)/Edad_Total!F2*100</f>
        <v>4.70796720154089</v>
      </c>
      <c r="G6" s="16" t="n">
        <f aca="false">SUM(Edad_Total!F16:F21)/SUM(Edad_Total!F3:F5)*100</f>
        <v>136.029781293625</v>
      </c>
      <c r="H6" s="16" t="n">
        <f aca="false">(SUM(Edad_Total!F3:F5)+SUM(Edad_Total!F16:F21))/SUM(Edad_Total!F6:F15)*100</f>
        <v>42.9437900882534</v>
      </c>
      <c r="I6" s="16" t="n">
        <f aca="false">SUM(Edad_Total!F16:F21)/SUM(Edad_Total!F6:F15)*100</f>
        <v>24.7495648286746</v>
      </c>
      <c r="J6" s="16" t="n">
        <f aca="false">SUM(Edad_Total!F7:F10)/Edad_Total!F2*100</f>
        <v>26.5806350733132</v>
      </c>
      <c r="K6" s="16" t="n">
        <f aca="false">SUM(Edad_Total!F20:F21)/SUM(Edad_Total!F16:F21)*100</f>
        <v>13.2353611924505</v>
      </c>
      <c r="L6" s="16" t="n">
        <f aca="false">Edad_Extranjeros!F2/Edad_Total!F2*100</f>
        <v>22.0658322533976</v>
      </c>
      <c r="M6" s="16" t="n">
        <f aca="false">SUM(Edad_Extranjeros!F7:F11)/SUM(Edad_Total!F7:F11)*100</f>
        <v>30.3306215334721</v>
      </c>
      <c r="N6" s="16" t="n">
        <f aca="false">Edad_Mujeres!F2/Edad_Hombres!F2*100</f>
        <v>100.740801803416</v>
      </c>
      <c r="O6" s="16" t="n">
        <f aca="false">SUM(Edad_Mujeres!F16:F21)/SUM(Edad_Hombres!F16:F21)*100</f>
        <v>124.299466991314</v>
      </c>
      <c r="P6" s="22" t="n">
        <f aca="false">RANK(E6,E$3:E$21,0)</f>
        <v>17</v>
      </c>
      <c r="Q6" s="22" t="n">
        <f aca="false">RANK(L6,L$3:L$21,0)</f>
        <v>1</v>
      </c>
    </row>
    <row r="7" customFormat="false" ht="15" hidden="false" customHeight="false" outlineLevel="0" collapsed="false">
      <c r="A7" s="12" t="s">
        <v>110</v>
      </c>
      <c r="B7" s="13" t="n">
        <f aca="false">Edad_Total!G2</f>
        <v>2277705</v>
      </c>
      <c r="C7" s="16" t="n">
        <f aca="false">SUM(Edad_Total!G3:G5)/Edad_Total!G2*100</f>
        <v>10.6772826156153</v>
      </c>
      <c r="D7" s="16" t="n">
        <f aca="false">SUM(Edad_Total!G6:G15)/Edad_Total!G2*100</f>
        <v>70.3750924724668</v>
      </c>
      <c r="E7" s="16" t="n">
        <f aca="false">SUM(Edad_Total!G16:G21)/Edad_Total!G2*100</f>
        <v>18.9476249119179</v>
      </c>
      <c r="F7" s="16" t="n">
        <f aca="false">SUM(Edad_Total!G19:G21)/Edad_Total!G2*100</f>
        <v>4.90107366845136</v>
      </c>
      <c r="G7" s="16" t="n">
        <f aca="false">SUM(Edad_Total!G16:G21)/SUM(Edad_Total!G3:G5)*100</f>
        <v>177.45736995111</v>
      </c>
      <c r="H7" s="16" t="n">
        <f aca="false">(SUM(Edad_Total!G3:G5)+SUM(Edad_Total!G16:G21))/SUM(Edad_Total!G6:G15)*100</f>
        <v>42.0957280292363</v>
      </c>
      <c r="I7" s="16" t="n">
        <f aca="false">SUM(Edad_Total!G16:G21)/SUM(Edad_Total!G6:G15)*100</f>
        <v>26.9237655628387</v>
      </c>
      <c r="J7" s="16" t="n">
        <f aca="false">SUM(Edad_Total!G7:G10)/Edad_Total!G2*100</f>
        <v>24.7110578411164</v>
      </c>
      <c r="K7" s="16" t="n">
        <f aca="false">SUM(Edad_Total!G20:G21)/SUM(Edad_Total!G16:G21)*100</f>
        <v>12.2969337606095</v>
      </c>
      <c r="L7" s="16" t="n">
        <f aca="false">Edad_Extranjeros!G2/Edad_Total!G2*100</f>
        <v>15.3527344410273</v>
      </c>
      <c r="M7" s="16" t="n">
        <f aca="false">SUM(Edad_Extranjeros!G7:G11)/SUM(Edad_Total!G7:G11)*100</f>
        <v>19.4751138429763</v>
      </c>
      <c r="N7" s="16" t="n">
        <f aca="false">Edad_Mujeres!G2/Edad_Hombres!G2*100</f>
        <v>102.771419948775</v>
      </c>
      <c r="O7" s="16" t="n">
        <f aca="false">SUM(Edad_Mujeres!G16:G21)/SUM(Edad_Hombres!G16:G21)*100</f>
        <v>121.933045356371</v>
      </c>
      <c r="P7" s="22" t="n">
        <f aca="false">RANK(E7,E$3:E$21,0)</f>
        <v>15</v>
      </c>
      <c r="Q7" s="22" t="n">
        <f aca="false">RANK(L7,L$3:L$21,0)</f>
        <v>8</v>
      </c>
    </row>
    <row r="8" customFormat="false" ht="15" hidden="false" customHeight="false" outlineLevel="0" collapsed="false">
      <c r="A8" s="12" t="s">
        <v>111</v>
      </c>
      <c r="B8" s="13" t="n">
        <f aca="false">Edad_Total!H2</f>
        <v>599056</v>
      </c>
      <c r="C8" s="16" t="n">
        <f aca="false">SUM(Edad_Total!H3:H5)/Edad_Total!H2*100</f>
        <v>10.7898092999653</v>
      </c>
      <c r="D8" s="16" t="n">
        <f aca="false">SUM(Edad_Total!H6:H15)/Edad_Total!H2*100</f>
        <v>63.9893432333538</v>
      </c>
      <c r="E8" s="16" t="n">
        <f aca="false">SUM(Edad_Total!H16:H21)/Edad_Total!H2*100</f>
        <v>25.2208474666809</v>
      </c>
      <c r="F8" s="16" t="n">
        <f aca="false">SUM(Edad_Total!H19:H21)/Edad_Total!H2*100</f>
        <v>7.31951603856735</v>
      </c>
      <c r="G8" s="16" t="n">
        <f aca="false">SUM(Edad_Total!H16:H21)/SUM(Edad_Total!H3:H5)*100</f>
        <v>233.746925135758</v>
      </c>
      <c r="H8" s="16" t="n">
        <f aca="false">(SUM(Edad_Total!H3:H5)+SUM(Edad_Total!H16:H21))/SUM(Edad_Total!H6:H15)*100</f>
        <v>56.2760218296411</v>
      </c>
      <c r="I8" s="16" t="n">
        <f aca="false">SUM(Edad_Total!H16:H21)/SUM(Edad_Total!H6:H15)*100</f>
        <v>39.4141370926508</v>
      </c>
      <c r="J8" s="16" t="n">
        <f aca="false">SUM(Edad_Total!H7:H10)/Edad_Total!H2*100</f>
        <v>19.8724326273337</v>
      </c>
      <c r="K8" s="16" t="n">
        <f aca="false">SUM(Edad_Total!H20:H21)/SUM(Edad_Total!H16:H21)*100</f>
        <v>15.4996789928981</v>
      </c>
      <c r="L8" s="16" t="n">
        <f aca="false">Edad_Extranjeros!H2/Edad_Total!H2*100</f>
        <v>8.92888144013248</v>
      </c>
      <c r="M8" s="16" t="n">
        <f aca="false">SUM(Edad_Extranjeros!H7:H11)/SUM(Edad_Total!H7:H11)*100</f>
        <v>16.6791295659769</v>
      </c>
      <c r="N8" s="16" t="n">
        <f aca="false">Edad_Mujeres!H2/Edad_Hombres!H2*100</f>
        <v>106.133888477883</v>
      </c>
      <c r="O8" s="16" t="n">
        <f aca="false">SUM(Edad_Mujeres!H16:H21)/SUM(Edad_Hombres!H16:H21)*100</f>
        <v>129.228808544856</v>
      </c>
      <c r="P8" s="22" t="n">
        <f aca="false">RANK(E8,E$3:E$21,0)</f>
        <v>4</v>
      </c>
      <c r="Q8" s="22" t="n">
        <f aca="false">RANK(L8,L$3:L$21,0)</f>
        <v>15</v>
      </c>
    </row>
    <row r="9" customFormat="false" ht="15" hidden="false" customHeight="false" outlineLevel="0" collapsed="false">
      <c r="A9" s="12" t="s">
        <v>112</v>
      </c>
      <c r="B9" s="13" t="n">
        <f aca="false">Edad_Total!I2</f>
        <v>2427156</v>
      </c>
      <c r="C9" s="16" t="n">
        <f aca="false">SUM(Edad_Total!I3:I5)/Edad_Total!I2*100</f>
        <v>10.5722911918311</v>
      </c>
      <c r="D9" s="16" t="n">
        <f aca="false">SUM(Edad_Total!I6:I15)/Edad_Total!I2*100</f>
        <v>61.6474590013992</v>
      </c>
      <c r="E9" s="16" t="n">
        <f aca="false">SUM(Edad_Total!I16:I21)/Edad_Total!I2*100</f>
        <v>27.7802498067697</v>
      </c>
      <c r="F9" s="16" t="n">
        <f aca="false">SUM(Edad_Total!I19:I21)/Edad_Total!I2*100</f>
        <v>9.41534042311248</v>
      </c>
      <c r="G9" s="16" t="n">
        <f aca="false">SUM(Edad_Total!I16:I21)/SUM(Edad_Total!I3:I5)*100</f>
        <v>262.764705423879</v>
      </c>
      <c r="H9" s="16" t="n">
        <f aca="false">(SUM(Edad_Total!I3:I5)+SUM(Edad_Total!I16:I21))/SUM(Edad_Total!I6:I15)*100</f>
        <v>62.212687464913</v>
      </c>
      <c r="I9" s="16" t="n">
        <f aca="false">SUM(Edad_Total!I16:I21)/SUM(Edad_Total!I6:I15)*100</f>
        <v>45.0630897960275</v>
      </c>
      <c r="J9" s="16" t="n">
        <f aca="false">SUM(Edad_Total!I7:I10)/Edad_Total!I2*100</f>
        <v>19.6462032106713</v>
      </c>
      <c r="K9" s="16" t="n">
        <f aca="false">SUM(Edad_Total!I20:I21)/SUM(Edad_Total!I16:I21)*100</f>
        <v>19.0776691829682</v>
      </c>
      <c r="L9" s="16" t="n">
        <f aca="false">Edad_Extranjeros!I2/Edad_Total!I2*100</f>
        <v>9.67449146243587</v>
      </c>
      <c r="M9" s="16" t="n">
        <f aca="false">SUM(Edad_Extranjeros!I7:I11)/SUM(Edad_Total!I7:I11)*100</f>
        <v>18.802105031293</v>
      </c>
      <c r="N9" s="16" t="n">
        <f aca="false">Edad_Mujeres!I2/Edad_Hombres!I2*100</f>
        <v>102.734018703454</v>
      </c>
      <c r="O9" s="16" t="n">
        <f aca="false">SUM(Edad_Mujeres!I16:I21)/SUM(Edad_Hombres!I16:I21)*100</f>
        <v>121.215014287917</v>
      </c>
      <c r="P9" s="22" t="n">
        <f aca="false">RANK(E9,E$3:E$21,0)</f>
        <v>2</v>
      </c>
      <c r="Q9" s="22" t="n">
        <f aca="false">RANK(L9,L$3:L$21,0)</f>
        <v>14</v>
      </c>
    </row>
    <row r="10" customFormat="false" ht="15" hidden="false" customHeight="false" outlineLevel="0" collapsed="false">
      <c r="A10" s="12" t="s">
        <v>113</v>
      </c>
      <c r="B10" s="13" t="n">
        <f aca="false">Edad_Total!J2</f>
        <v>2169241</v>
      </c>
      <c r="C10" s="16" t="n">
        <f aca="false">SUM(Edad_Total!J3:J5)/Edad_Total!J2*100</f>
        <v>13.1947072731891</v>
      </c>
      <c r="D10" s="16" t="n">
        <f aca="false">SUM(Edad_Total!J6:J15)/Edad_Total!J2*100</f>
        <v>66.2301699073547</v>
      </c>
      <c r="E10" s="16" t="n">
        <f aca="false">SUM(Edad_Total!J16:J21)/Edad_Total!J2*100</f>
        <v>20.5751228194562</v>
      </c>
      <c r="F10" s="16" t="n">
        <f aca="false">SUM(Edad_Total!J19:J21)/Edad_Total!J2*100</f>
        <v>6.29487456672633</v>
      </c>
      <c r="G10" s="16" t="n">
        <f aca="false">SUM(Edad_Total!J16:J21)/SUM(Edad_Total!J3:J5)*100</f>
        <v>155.934666783125</v>
      </c>
      <c r="H10" s="16" t="n">
        <f aca="false">(SUM(Edad_Total!J3:J5)+SUM(Edad_Total!J16:J21))/SUM(Edad_Total!J6:J15)*100</f>
        <v>50.9885904564096</v>
      </c>
      <c r="I10" s="16" t="n">
        <f aca="false">SUM(Edad_Total!J16:J21)/SUM(Edad_Total!J6:J15)*100</f>
        <v>31.066087929772</v>
      </c>
      <c r="J10" s="16" t="n">
        <f aca="false">SUM(Edad_Total!J7:J10)/Edad_Total!J2*100</f>
        <v>22.9731044176281</v>
      </c>
      <c r="K10" s="16" t="n">
        <f aca="false">SUM(Edad_Total!J20:J21)/SUM(Edad_Total!J16:J21)*100</f>
        <v>16.8908685170414</v>
      </c>
      <c r="L10" s="16" t="n">
        <f aca="false">Edad_Extranjeros!J2/Edad_Total!J2*100</f>
        <v>13.1897285732659</v>
      </c>
      <c r="M10" s="16" t="n">
        <f aca="false">SUM(Edad_Extranjeros!J7:J11)/SUM(Edad_Total!J7:J11)*100</f>
        <v>21.5576486092038</v>
      </c>
      <c r="N10" s="16" t="n">
        <f aca="false">Edad_Mujeres!J2/Edad_Hombres!J2*100</f>
        <v>98.6970257379781</v>
      </c>
      <c r="O10" s="16" t="n">
        <f aca="false">SUM(Edad_Mujeres!J16:J21)/SUM(Edad_Hombres!J16:J21)*100</f>
        <v>119.973484344428</v>
      </c>
      <c r="P10" s="22" t="n">
        <f aca="false">RANK(E10,E$3:E$21,0)</f>
        <v>11</v>
      </c>
      <c r="Q10" s="22" t="n">
        <f aca="false">RANK(L10,L$3:L$21,0)</f>
        <v>10</v>
      </c>
    </row>
    <row r="11" customFormat="false" ht="15" hidden="false" customHeight="false" outlineLevel="0" collapsed="false">
      <c r="A11" s="12" t="s">
        <v>114</v>
      </c>
      <c r="B11" s="13" t="n">
        <f aca="false">Edad_Total!K2</f>
        <v>8233788</v>
      </c>
      <c r="C11" s="16" t="n">
        <f aca="false">SUM(Edad_Total!K3:K5)/Edad_Total!K2*100</f>
        <v>12.6803969205911</v>
      </c>
      <c r="D11" s="16" t="n">
        <f aca="false">SUM(Edad_Total!K6:K15)/Edad_Total!K2*100</f>
        <v>67.2337932431586</v>
      </c>
      <c r="E11" s="16" t="n">
        <f aca="false">SUM(Edad_Total!K16:K21)/Edad_Total!K2*100</f>
        <v>20.0858098362503</v>
      </c>
      <c r="F11" s="16" t="n">
        <f aca="false">SUM(Edad_Total!K19:K21)/Edad_Total!K2*100</f>
        <v>6.0884370595891</v>
      </c>
      <c r="G11" s="16" t="n">
        <f aca="false">SUM(Edad_Total!K16:K21)/SUM(Edad_Total!K3:K5)*100</f>
        <v>158.400481956791</v>
      </c>
      <c r="H11" s="16" t="n">
        <f aca="false">(SUM(Edad_Total!K3:K5)+SUM(Edad_Total!K16:K21))/SUM(Edad_Total!K6:K15)*100</f>
        <v>48.7347287372866</v>
      </c>
      <c r="I11" s="16" t="n">
        <f aca="false">SUM(Edad_Total!K16:K21)/SUM(Edad_Total!K6:K15)*100</f>
        <v>29.8745747746342</v>
      </c>
      <c r="J11" s="16" t="n">
        <f aca="false">SUM(Edad_Total!K7:K10)/Edad_Total!K2*100</f>
        <v>24.9374649918118</v>
      </c>
      <c r="K11" s="16" t="n">
        <f aca="false">SUM(Edad_Total!K20:K21)/SUM(Edad_Total!K16:K21)*100</f>
        <v>15.5771204052671</v>
      </c>
      <c r="L11" s="16" t="n">
        <f aca="false">Edad_Extranjeros!K2/Edad_Total!K2*100</f>
        <v>19.4126931613979</v>
      </c>
      <c r="M11" s="16" t="n">
        <f aca="false">SUM(Edad_Extranjeros!K7:K11)/SUM(Edad_Total!K7:K11)*100</f>
        <v>32.2592348574356</v>
      </c>
      <c r="N11" s="16" t="n">
        <f aca="false">Edad_Mujeres!K2/Edad_Hombres!K2*100</f>
        <v>102.03512567036</v>
      </c>
      <c r="O11" s="16" t="n">
        <f aca="false">SUM(Edad_Mujeres!K16:K21)/SUM(Edad_Hombres!K16:K21)*100</f>
        <v>131.312650967239</v>
      </c>
      <c r="P11" s="22" t="n">
        <f aca="false">RANK(E11,E$3:E$21,0)</f>
        <v>12</v>
      </c>
      <c r="Q11" s="22" t="n">
        <f aca="false">RANK(L11,L$3:L$21,0)</f>
        <v>3</v>
      </c>
    </row>
    <row r="12" customFormat="false" ht="15" hidden="false" customHeight="false" outlineLevel="0" collapsed="false">
      <c r="A12" s="12" t="s">
        <v>115</v>
      </c>
      <c r="B12" s="13" t="n">
        <f aca="false">Edad_Total!L2</f>
        <v>5574948</v>
      </c>
      <c r="C12" s="16" t="n">
        <f aca="false">SUM(Edad_Total!L3:L5)/Edad_Total!L2*100</f>
        <v>12.6699657108909</v>
      </c>
      <c r="D12" s="16" t="n">
        <f aca="false">SUM(Edad_Total!L6:L15)/Edad_Total!L2*100</f>
        <v>66.6239936229002</v>
      </c>
      <c r="E12" s="16" t="n">
        <f aca="false">SUM(Edad_Total!L16:L21)/Edad_Total!L2*100</f>
        <v>20.7060406662089</v>
      </c>
      <c r="F12" s="16" t="n">
        <f aca="false">SUM(Edad_Total!L19:L21)/Edad_Total!L2*100</f>
        <v>5.87404582069644</v>
      </c>
      <c r="G12" s="16" t="n">
        <f aca="false">SUM(Edad_Total!L16:L21)/SUM(Edad_Total!L3:L5)*100</f>
        <v>163.426177613174</v>
      </c>
      <c r="H12" s="16" t="n">
        <f aca="false">(SUM(Edad_Total!L3:L5)+SUM(Edad_Total!L16:L21))/SUM(Edad_Total!L6:L15)*100</f>
        <v>50.0960758462065</v>
      </c>
      <c r="I12" s="16" t="n">
        <f aca="false">SUM(Edad_Total!L16:L21)/SUM(Edad_Total!L6:L15)*100</f>
        <v>31.0789545030993</v>
      </c>
      <c r="J12" s="16" t="n">
        <f aca="false">SUM(Edad_Total!L7:L10)/Edad_Total!L2*100</f>
        <v>23.5045959173072</v>
      </c>
      <c r="K12" s="16" t="n">
        <f aca="false">SUM(Edad_Total!L20:L21)/SUM(Edad_Total!L16:L21)*100</f>
        <v>14.1213547699097</v>
      </c>
      <c r="L12" s="16" t="n">
        <f aca="false">Edad_Extranjeros!L2/Edad_Total!L2*100</f>
        <v>21.0551739675419</v>
      </c>
      <c r="M12" s="16" t="n">
        <f aca="false">SUM(Edad_Extranjeros!L7:L11)/SUM(Edad_Total!L7:L11)*100</f>
        <v>30.0305367906712</v>
      </c>
      <c r="N12" s="16" t="n">
        <f aca="false">Edad_Mujeres!L2/Edad_Hombres!L2*100</f>
        <v>102.639462686003</v>
      </c>
      <c r="O12" s="16" t="n">
        <f aca="false">SUM(Edad_Mujeres!L16:L21)/SUM(Edad_Hombres!L16:L21)*100</f>
        <v>126.40859228052</v>
      </c>
      <c r="P12" s="22" t="n">
        <f aca="false">RANK(E12,E$3:E$21,0)</f>
        <v>10</v>
      </c>
      <c r="Q12" s="22" t="n">
        <f aca="false">RANK(L12,L$3:L$21,0)</f>
        <v>2</v>
      </c>
    </row>
    <row r="13" customFormat="false" ht="15" hidden="false" customHeight="false" outlineLevel="0" collapsed="false">
      <c r="A13" s="12" t="s">
        <v>116</v>
      </c>
      <c r="B13" s="13" t="n">
        <f aca="false">Edad_Total!M2</f>
        <v>1055849</v>
      </c>
      <c r="C13" s="16" t="n">
        <f aca="false">SUM(Edad_Total!M3:M5)/Edad_Total!M2*100</f>
        <v>11.8648594638059</v>
      </c>
      <c r="D13" s="16" t="n">
        <f aca="false">SUM(Edad_Total!M6:M15)/Edad_Total!M2*100</f>
        <v>64.3373247500353</v>
      </c>
      <c r="E13" s="16" t="n">
        <f aca="false">SUM(Edad_Total!M16:M21)/Edad_Total!M2*100</f>
        <v>23.7978157861588</v>
      </c>
      <c r="F13" s="16" t="n">
        <f aca="false">SUM(Edad_Total!M19:M21)/Edad_Total!M2*100</f>
        <v>7.31695536009411</v>
      </c>
      <c r="G13" s="16" t="n">
        <f aca="false">SUM(Edad_Total!M16:M21)/SUM(Edad_Total!M3:M5)*100</f>
        <v>200.573937337857</v>
      </c>
      <c r="H13" s="16" t="n">
        <f aca="false">(SUM(Edad_Total!M3:M5)+SUM(Edad_Total!M16:M21))/SUM(Edad_Total!M6:M15)*100</f>
        <v>55.4307711558137</v>
      </c>
      <c r="I13" s="16" t="n">
        <f aca="false">SUM(Edad_Total!M16:M21)/SUM(Edad_Total!M6:M15)*100</f>
        <v>36.9891285946666</v>
      </c>
      <c r="J13" s="16" t="n">
        <f aca="false">SUM(Edad_Total!M7:M10)/Edad_Total!M2*100</f>
        <v>21.515103011889</v>
      </c>
      <c r="K13" s="16" t="n">
        <f aca="false">SUM(Edad_Total!M20:M21)/SUM(Edad_Total!M16:M21)*100</f>
        <v>16.5066124352785</v>
      </c>
      <c r="L13" s="16" t="n">
        <f aca="false">Edad_Extranjeros!M2/Edad_Total!M2*100</f>
        <v>5.11323115331833</v>
      </c>
      <c r="M13" s="16" t="n">
        <f aca="false">SUM(Edad_Extranjeros!M7:M11)/SUM(Edad_Total!M7:M11)*100</f>
        <v>8.81148784913093</v>
      </c>
      <c r="N13" s="16" t="n">
        <f aca="false">Edad_Mujeres!M2/Edad_Hombres!M2*100</f>
        <v>102.309842746749</v>
      </c>
      <c r="O13" s="16" t="n">
        <f aca="false">SUM(Edad_Mujeres!M16:M21)/SUM(Edad_Hombres!M16:M21)*100</f>
        <v>120.616538184628</v>
      </c>
      <c r="P13" s="22" t="n">
        <f aca="false">RANK(E13,E$3:E$21,0)</f>
        <v>6</v>
      </c>
      <c r="Q13" s="22" t="n">
        <f aca="false">RANK(L13,L$3:L$21,0)</f>
        <v>19</v>
      </c>
    </row>
    <row r="14" customFormat="false" ht="15" hidden="false" customHeight="false" outlineLevel="0" collapsed="false">
      <c r="A14" s="12" t="s">
        <v>117</v>
      </c>
      <c r="B14" s="13" t="n">
        <f aca="false">Edad_Total!N2</f>
        <v>2734494</v>
      </c>
      <c r="C14" s="16" t="n">
        <f aca="false">SUM(Edad_Total!N3:N5)/Edad_Total!N2*100</f>
        <v>10.2991266391515</v>
      </c>
      <c r="D14" s="16" t="n">
        <f aca="false">SUM(Edad_Total!N6:N15)/Edad_Total!N2*100</f>
        <v>62.4034282028046</v>
      </c>
      <c r="E14" s="16" t="n">
        <f aca="false">SUM(Edad_Total!N16:N21)/Edad_Total!N2*100</f>
        <v>27.2974451580439</v>
      </c>
      <c r="F14" s="16" t="n">
        <f aca="false">SUM(Edad_Total!N19:N21)/Edad_Total!N2*100</f>
        <v>9.27897446474558</v>
      </c>
      <c r="G14" s="16" t="n">
        <f aca="false">SUM(Edad_Total!N16:N21)/SUM(Edad_Total!N3:N5)*100</f>
        <v>265.046213280593</v>
      </c>
      <c r="H14" s="16" t="n">
        <f aca="false">(SUM(Edad_Total!N3:N5)+SUM(Edad_Total!N16:N21))/SUM(Edad_Total!N6:N15)*100</f>
        <v>60.2476063895247</v>
      </c>
      <c r="I14" s="16" t="n">
        <f aca="false">SUM(Edad_Total!N16:N21)/SUM(Edad_Total!N6:N15)*100</f>
        <v>43.7435024712585</v>
      </c>
      <c r="J14" s="16" t="n">
        <f aca="false">SUM(Edad_Total!N7:N10)/Edad_Total!N2*100</f>
        <v>19.3972266898373</v>
      </c>
      <c r="K14" s="16" t="n">
        <f aca="false">SUM(Edad_Total!N20:N21)/SUM(Edad_Total!N16:N21)*100</f>
        <v>18.2121436619077</v>
      </c>
      <c r="L14" s="16" t="n">
        <f aca="false">Edad_Extranjeros!N2/Edad_Total!N2*100</f>
        <v>7.43230740312467</v>
      </c>
      <c r="M14" s="16" t="n">
        <f aca="false">SUM(Edad_Extranjeros!N7:N11)/SUM(Edad_Total!N7:N11)*100</f>
        <v>14.4582538712249</v>
      </c>
      <c r="N14" s="16" t="n">
        <f aca="false">Edad_Mujeres!N2/Edad_Hombres!N2*100</f>
        <v>107.361442137727</v>
      </c>
      <c r="O14" s="16" t="n">
        <f aca="false">SUM(Edad_Mujeres!N16:N21)/SUM(Edad_Hombres!N16:N21)*100</f>
        <v>131.042348906456</v>
      </c>
      <c r="P14" s="22" t="n">
        <f aca="false">RANK(E14,E$3:E$21,0)</f>
        <v>3</v>
      </c>
      <c r="Q14" s="22" t="n">
        <f aca="false">RANK(L14,L$3:L$21,0)</f>
        <v>17</v>
      </c>
    </row>
    <row r="15" customFormat="false" ht="15" hidden="false" customHeight="false" outlineLevel="0" collapsed="false">
      <c r="A15" s="12" t="s">
        <v>55</v>
      </c>
      <c r="B15" s="13" t="n">
        <f aca="false">Edad_Total!O2</f>
        <v>7201554</v>
      </c>
      <c r="C15" s="16" t="n">
        <f aca="false">SUM(Edad_Total!O3:O5)/Edad_Total!O2*100</f>
        <v>12.7050356075925</v>
      </c>
      <c r="D15" s="16" t="n">
        <f aca="false">SUM(Edad_Total!O6:O15)/Edad_Total!O2*100</f>
        <v>67.9216874580125</v>
      </c>
      <c r="E15" s="16" t="n">
        <f aca="false">SUM(Edad_Total!O16:O21)/Edad_Total!O2*100</f>
        <v>19.373276934395</v>
      </c>
      <c r="F15" s="16" t="n">
        <f aca="false">SUM(Edad_Total!O19:O21)/Edad_Total!O2*100</f>
        <v>5.98679118423607</v>
      </c>
      <c r="G15" s="16" t="n">
        <f aca="false">SUM(Edad_Total!O16:O21)/SUM(Edad_Total!O3:O5)*100</f>
        <v>152.485026667832</v>
      </c>
      <c r="H15" s="16" t="n">
        <f aca="false">(SUM(Edad_Total!O3:O5)+SUM(Edad_Total!O16:O21))/SUM(Edad_Total!O6:O15)*100</f>
        <v>47.228379833492</v>
      </c>
      <c r="I15" s="16" t="n">
        <f aca="false">SUM(Edad_Total!O16:O21)/SUM(Edad_Total!O6:O15)*100</f>
        <v>28.5229617511654</v>
      </c>
      <c r="J15" s="16" t="n">
        <f aca="false">SUM(Edad_Total!O7:O10)/Edad_Total!O2*100</f>
        <v>25.4174307378657</v>
      </c>
      <c r="K15" s="16" t="n">
        <f aca="false">SUM(Edad_Total!O20:O21)/SUM(Edad_Total!O16:O21)*100</f>
        <v>16.0953771456955</v>
      </c>
      <c r="L15" s="16" t="n">
        <f aca="false">Edad_Extranjeros!O2/Edad_Total!O2*100</f>
        <v>17.0725096277831</v>
      </c>
      <c r="M15" s="16" t="n">
        <f aca="false">SUM(Edad_Extranjeros!O7:O11)/SUM(Edad_Total!O7:O11)*100</f>
        <v>27.7997885820607</v>
      </c>
      <c r="N15" s="16" t="n">
        <f aca="false">Edad_Mujeres!O2/Edad_Hombres!O2*100</f>
        <v>108.703431503245</v>
      </c>
      <c r="O15" s="16" t="n">
        <f aca="false">SUM(Edad_Mujeres!O16:O21)/SUM(Edad_Hombres!O16:O21)*100</f>
        <v>138.873175291833</v>
      </c>
      <c r="P15" s="22" t="n">
        <f aca="false">RANK(E15,E$3:E$21,0)</f>
        <v>14</v>
      </c>
      <c r="Q15" s="22" t="n">
        <f aca="false">RANK(L15,L$3:L$21,0)</f>
        <v>4</v>
      </c>
    </row>
    <row r="16" customFormat="false" ht="15" hidden="false" customHeight="false" outlineLevel="0" collapsed="false">
      <c r="A16" s="12" t="s">
        <v>118</v>
      </c>
      <c r="B16" s="13" t="n">
        <f aca="false">Edad_Total!P2</f>
        <v>1616189</v>
      </c>
      <c r="C16" s="16" t="n">
        <f aca="false">SUM(Edad_Total!P3:P5)/Edad_Total!P2*100</f>
        <v>14.7598455378672</v>
      </c>
      <c r="D16" s="16" t="n">
        <f aca="false">SUM(Edad_Total!P6:P15)/Edad_Total!P2*100</f>
        <v>67.6722215037969</v>
      </c>
      <c r="E16" s="16" t="n">
        <f aca="false">SUM(Edad_Total!P16:P21)/Edad_Total!P2*100</f>
        <v>17.5679329583359</v>
      </c>
      <c r="F16" s="16" t="n">
        <f aca="false">SUM(Edad_Total!P19:P21)/Edad_Total!P2*100</f>
        <v>4.83637742862994</v>
      </c>
      <c r="G16" s="16" t="n">
        <f aca="false">SUM(Edad_Total!P16:P21)/SUM(Edad_Total!P3:P5)*100</f>
        <v>119.025181620393</v>
      </c>
      <c r="H16" s="16" t="n">
        <f aca="false">(SUM(Edad_Total!P3:P5)+SUM(Edad_Total!P16:P21))/SUM(Edad_Total!P6:P15)*100</f>
        <v>47.7711205245261</v>
      </c>
      <c r="I16" s="16" t="n">
        <f aca="false">SUM(Edad_Total!P16:P21)/SUM(Edad_Total!P6:P15)*100</f>
        <v>25.9603313855305</v>
      </c>
      <c r="J16" s="16" t="n">
        <f aca="false">SUM(Edad_Total!P7:P10)/Edad_Total!P2*100</f>
        <v>24.4618049002932</v>
      </c>
      <c r="K16" s="16" t="n">
        <f aca="false">SUM(Edad_Total!P20:P21)/SUM(Edad_Total!P16:P21)*100</f>
        <v>13.970999996478</v>
      </c>
      <c r="L16" s="16" t="n">
        <f aca="false">Edad_Extranjeros!P2/Edad_Total!P2*100</f>
        <v>16.7913529915128</v>
      </c>
      <c r="M16" s="16" t="n">
        <f aca="false">SUM(Edad_Extranjeros!P7:P11)/SUM(Edad_Total!P7:P11)*100</f>
        <v>23.8375773015517</v>
      </c>
      <c r="N16" s="16" t="n">
        <f aca="false">Edad_Mujeres!P2/Edad_Hombres!P2*100</f>
        <v>99.6936987696056</v>
      </c>
      <c r="O16" s="16" t="n">
        <f aca="false">SUM(Edad_Mujeres!P16:P21)/SUM(Edad_Hombres!P16:P21)*100</f>
        <v>124.127152025134</v>
      </c>
      <c r="P16" s="22" t="n">
        <f aca="false">RANK(E16,E$3:E$21,0)</f>
        <v>16</v>
      </c>
      <c r="Q16" s="22" t="n">
        <f aca="false">RANK(L16,L$3:L$21,0)</f>
        <v>5</v>
      </c>
    </row>
    <row r="17" customFormat="false" ht="15" hidden="false" customHeight="false" outlineLevel="0" collapsed="false">
      <c r="A17" s="12" t="s">
        <v>119</v>
      </c>
      <c r="B17" s="13" t="n">
        <f aca="false">Edad_Total!Q2</f>
        <v>692026</v>
      </c>
      <c r="C17" s="16" t="n">
        <f aca="false">SUM(Edad_Total!Q3:Q5)/Edad_Total!Q2*100</f>
        <v>13.3113495735709</v>
      </c>
      <c r="D17" s="16" t="n">
        <f aca="false">SUM(Edad_Total!Q6:Q15)/Edad_Total!Q2*100</f>
        <v>65.2056425625627</v>
      </c>
      <c r="E17" s="16" t="n">
        <f aca="false">SUM(Edad_Total!Q16:Q21)/Edad_Total!Q2*100</f>
        <v>21.4830078638664</v>
      </c>
      <c r="F17" s="16" t="n">
        <f aca="false">SUM(Edad_Total!Q19:Q21)/Edad_Total!Q2*100</f>
        <v>6.65798683864479</v>
      </c>
      <c r="G17" s="16" t="n">
        <f aca="false">SUM(Edad_Total!Q16:Q21)/SUM(Edad_Total!Q3:Q5)*100</f>
        <v>161.388653683319</v>
      </c>
      <c r="H17" s="16" t="n">
        <f aca="false">(SUM(Edad_Total!Q3:Q5)+SUM(Edad_Total!Q16:Q21))/SUM(Edad_Total!Q6:Q15)*100</f>
        <v>53.3609609077209</v>
      </c>
      <c r="I17" s="16" t="n">
        <f aca="false">SUM(Edad_Total!Q16:Q21)/SUM(Edad_Total!Q6:Q15)*100</f>
        <v>32.9465472919068</v>
      </c>
      <c r="J17" s="16" t="n">
        <f aca="false">SUM(Edad_Total!Q7:Q10)/Edad_Total!Q2*100</f>
        <v>22.7995768945097</v>
      </c>
      <c r="K17" s="16" t="n">
        <f aca="false">SUM(Edad_Total!Q20:Q21)/SUM(Edad_Total!Q16:Q21)*100</f>
        <v>15.9590496946216</v>
      </c>
      <c r="L17" s="16" t="n">
        <f aca="false">Edad_Extranjeros!Q2/Edad_Total!Q2*100</f>
        <v>13.8574273220948</v>
      </c>
      <c r="M17" s="16" t="n">
        <f aca="false">SUM(Edad_Extranjeros!Q7:Q11)/SUM(Edad_Total!Q7:Q11)*100</f>
        <v>23.507486633656</v>
      </c>
      <c r="N17" s="16" t="n">
        <f aca="false">Edad_Mujeres!Q2/Edad_Hombres!Q2*100</f>
        <v>101.500129572527</v>
      </c>
      <c r="O17" s="16" t="n">
        <f aca="false">SUM(Edad_Mujeres!Q16:Q21)/SUM(Edad_Hombres!Q16:Q21)*100</f>
        <v>123.205116656157</v>
      </c>
      <c r="P17" s="22" t="n">
        <f aca="false">RANK(E17,E$3:E$21,0)</f>
        <v>9</v>
      </c>
      <c r="Q17" s="22" t="n">
        <f aca="false">RANK(L17,L$3:L$21,0)</f>
        <v>9</v>
      </c>
    </row>
    <row r="18" customFormat="false" ht="15" hidden="false" customHeight="false" outlineLevel="0" collapsed="false">
      <c r="A18" s="12" t="s">
        <v>120</v>
      </c>
      <c r="B18" s="13" t="n">
        <f aca="false">Edad_Total!R2</f>
        <v>2257392</v>
      </c>
      <c r="C18" s="16" t="n">
        <f aca="false">SUM(Edad_Total!R3:R5)/Edad_Total!R2*100</f>
        <v>11.5776081424936</v>
      </c>
      <c r="D18" s="16" t="n">
        <f aca="false">SUM(Edad_Total!R6:R15)/Edad_Total!R2*100</f>
        <v>63.7205235067724</v>
      </c>
      <c r="E18" s="16" t="n">
        <f aca="false">SUM(Edad_Total!R16:R21)/Edad_Total!R2*100</f>
        <v>24.7018683507339</v>
      </c>
      <c r="F18" s="16" t="n">
        <f aca="false">SUM(Edad_Total!R19:R21)/Edad_Total!R2*100</f>
        <v>7.70712397315132</v>
      </c>
      <c r="G18" s="16" t="n">
        <f aca="false">SUM(Edad_Total!R16:R21)/SUM(Edad_Total!R3:R5)*100</f>
        <v>213.35899476568</v>
      </c>
      <c r="H18" s="16" t="n">
        <f aca="false">(SUM(Edad_Total!R3:R5)+SUM(Edad_Total!R16:R21))/SUM(Edad_Total!R6:R15)*100</f>
        <v>56.9353082753184</v>
      </c>
      <c r="I18" s="16" t="n">
        <f aca="false">SUM(Edad_Total!R16:R21)/SUM(Edad_Total!R6:R15)*100</f>
        <v>38.7659532459876</v>
      </c>
      <c r="J18" s="16" t="n">
        <f aca="false">SUM(Edad_Total!R7:R10)/Edad_Total!R2*100</f>
        <v>21.2124876849036</v>
      </c>
      <c r="K18" s="16" t="n">
        <f aca="false">SUM(Edad_Total!R20:R21)/SUM(Edad_Total!R16:R21)*100</f>
        <v>16.1886811401354</v>
      </c>
      <c r="L18" s="16" t="n">
        <f aca="false">Edad_Extranjeros!R2/Edad_Total!R2*100</f>
        <v>10.8188564502754</v>
      </c>
      <c r="M18" s="16" t="n">
        <f aca="false">SUM(Edad_Extranjeros!R7:R11)/SUM(Edad_Total!R7:R11)*100</f>
        <v>21.7861770640605</v>
      </c>
      <c r="N18" s="16" t="n">
        <f aca="false">Edad_Mujeres!R2/Edad_Hombres!R2*100</f>
        <v>105.038511844209</v>
      </c>
      <c r="O18" s="16" t="n">
        <f aca="false">SUM(Edad_Mujeres!R16:R21)/SUM(Edad_Hombres!R16:R21)*100</f>
        <v>131.189701279048</v>
      </c>
      <c r="P18" s="22" t="n">
        <f aca="false">RANK(E18,E$3:E$21,0)</f>
        <v>5</v>
      </c>
      <c r="Q18" s="22" t="n">
        <f aca="false">RANK(L18,L$3:L$21,0)</f>
        <v>13</v>
      </c>
    </row>
    <row r="19" customFormat="false" ht="15" hidden="false" customHeight="false" outlineLevel="0" collapsed="false">
      <c r="A19" s="12" t="s">
        <v>121</v>
      </c>
      <c r="B19" s="13" t="n">
        <f aca="false">Edad_Total!S2</f>
        <v>330756</v>
      </c>
      <c r="C19" s="16" t="n">
        <f aca="false">SUM(Edad_Total!S3:S5)/Edad_Total!S2*100</f>
        <v>12.4965231167386</v>
      </c>
      <c r="D19" s="16" t="n">
        <f aca="false">SUM(Edad_Total!S6:S15)/Edad_Total!S2*100</f>
        <v>64.4517408603321</v>
      </c>
      <c r="E19" s="16" t="n">
        <f aca="false">SUM(Edad_Total!S16:S21)/Edad_Total!S2*100</f>
        <v>23.0517360229293</v>
      </c>
      <c r="F19" s="16" t="n">
        <f aca="false">SUM(Edad_Total!S19:S21)/Edad_Total!S2*100</f>
        <v>7.20833484502171</v>
      </c>
      <c r="G19" s="16" t="n">
        <f aca="false">SUM(Edad_Total!S16:S21)/SUM(Edad_Total!S3:S5)*100</f>
        <v>184.465197299978</v>
      </c>
      <c r="H19" s="16" t="n">
        <f aca="false">(SUM(Edad_Total!S3:S5)+SUM(Edad_Total!S16:S21))/SUM(Edad_Total!S6:S15)*100</f>
        <v>55.1548471230615</v>
      </c>
      <c r="I19" s="16" t="n">
        <f aca="false">SUM(Edad_Total!S16:S21)/SUM(Edad_Total!S6:S15)*100</f>
        <v>35.7658857855876</v>
      </c>
      <c r="J19" s="16" t="n">
        <f aca="false">SUM(Edad_Total!S7:S10)/Edad_Total!S2*100</f>
        <v>21.4786731004124</v>
      </c>
      <c r="K19" s="16" t="n">
        <f aca="false">SUM(Edad_Total!S20:S21)/SUM(Edad_Total!S16:S21)*100</f>
        <v>16.5282969375041</v>
      </c>
      <c r="L19" s="16" t="n">
        <f aca="false">Edad_Extranjeros!S2/Edad_Total!S2*100</f>
        <v>15.6269274026775</v>
      </c>
      <c r="M19" s="16" t="n">
        <f aca="false">SUM(Edad_Extranjeros!S7:S11)/SUM(Edad_Total!S7:S11)*100</f>
        <v>25.7223661996064</v>
      </c>
      <c r="N19" s="16" t="n">
        <f aca="false">Edad_Mujeres!S2/Edad_Hombres!S2*100</f>
        <v>102.521445759526</v>
      </c>
      <c r="O19" s="16" t="n">
        <f aca="false">SUM(Edad_Mujeres!S16:S21)/SUM(Edad_Hombres!S16:S21)*100</f>
        <v>122.172037997552</v>
      </c>
      <c r="P19" s="22" t="n">
        <f aca="false">RANK(E19,E$3:E$21,0)</f>
        <v>7</v>
      </c>
      <c r="Q19" s="22" t="n">
        <f aca="false">RANK(L19,L$3:L$21,0)</f>
        <v>7</v>
      </c>
    </row>
    <row r="20" customFormat="false" ht="15" hidden="false" customHeight="false" outlineLevel="0" collapsed="false">
      <c r="A20" s="12" t="s">
        <v>122</v>
      </c>
      <c r="B20" s="13" t="n">
        <f aca="false">Edad_Total!T2</f>
        <v>84435</v>
      </c>
      <c r="C20" s="16" t="n">
        <f aca="false">SUM(Edad_Total!T3:T5)/Edad_Total!T2*100</f>
        <v>15.7884763427489</v>
      </c>
      <c r="D20" s="16" t="n">
        <f aca="false">SUM(Edad_Total!T6:T15)/Edad_Total!T2*100</f>
        <v>69.7506958015041</v>
      </c>
      <c r="E20" s="16" t="n">
        <f aca="false">SUM(Edad_Total!T16:T21)/Edad_Total!T2*100</f>
        <v>14.460827855747</v>
      </c>
      <c r="F20" s="16" t="n">
        <f aca="false">SUM(Edad_Total!T19:T21)/Edad_Total!T2*100</f>
        <v>3.20127909042459</v>
      </c>
      <c r="G20" s="16" t="n">
        <f aca="false">SUM(Edad_Total!T16:T21)/SUM(Edad_Total!T3:T5)*100</f>
        <v>91.5910284299752</v>
      </c>
      <c r="H20" s="16" t="n">
        <f aca="false">(SUM(Edad_Total!T3:T5)+SUM(Edad_Total!T16:T21))/SUM(Edad_Total!T6:T15)*100</f>
        <v>43.3677454409617</v>
      </c>
      <c r="I20" s="16" t="n">
        <f aca="false">SUM(Edad_Total!T16:T21)/SUM(Edad_Total!T6:T15)*100</f>
        <v>20.7321628688831</v>
      </c>
      <c r="J20" s="16" t="n">
        <f aca="false">SUM(Edad_Total!T7:T10)/Edad_Total!T2*100</f>
        <v>26.9390655533843</v>
      </c>
      <c r="K20" s="16" t="n">
        <f aca="false">SUM(Edad_Total!T20:T21)/SUM(Edad_Total!T16:T21)*100</f>
        <v>10.5651105651106</v>
      </c>
      <c r="L20" s="16" t="n">
        <f aca="false">Edad_Extranjeros!T2/Edad_Total!T2*100</f>
        <v>7.16527506365844</v>
      </c>
      <c r="M20" s="16" t="n">
        <f aca="false">SUM(Edad_Extranjeros!T7:T11)/SUM(Edad_Total!T7:T11)*100</f>
        <v>8.86058328113037</v>
      </c>
      <c r="N20" s="16" t="n">
        <f aca="false">Edad_Mujeres!T2/Edad_Hombres!T2*100</f>
        <v>98.4278059785674</v>
      </c>
      <c r="O20" s="16" t="n">
        <f aca="false">SUM(Edad_Mujeres!T16:T21)/SUM(Edad_Hombres!T16:T21)*100</f>
        <v>119.052744886975</v>
      </c>
      <c r="P20" s="22" t="n">
        <f aca="false">RANK(E20,E$3:E$21,0)</f>
        <v>18</v>
      </c>
      <c r="Q20" s="22" t="n">
        <f aca="false">RANK(L20,L$3:L$21,0)</f>
        <v>18</v>
      </c>
    </row>
    <row r="21" customFormat="false" ht="15" hidden="false" customHeight="false" outlineLevel="0" collapsed="false">
      <c r="A21" s="12" t="s">
        <v>123</v>
      </c>
      <c r="B21" s="13" t="n">
        <f aca="false">Edad_Total!U2</f>
        <v>86616</v>
      </c>
      <c r="C21" s="16" t="n">
        <f aca="false">SUM(Edad_Total!U3:U5)/Edad_Total!U2*100</f>
        <v>18.5439179828207</v>
      </c>
      <c r="D21" s="16" t="n">
        <f aca="false">SUM(Edad_Total!U6:U15)/Edad_Total!U2*100</f>
        <v>67.7634617160802</v>
      </c>
      <c r="E21" s="16" t="n">
        <f aca="false">SUM(Edad_Total!U16:U21)/Edad_Total!U2*100</f>
        <v>13.6926203010991</v>
      </c>
      <c r="F21" s="16" t="n">
        <f aca="false">SUM(Edad_Total!U19:U21)/Edad_Total!U2*100</f>
        <v>2.86783042394015</v>
      </c>
      <c r="G21" s="16" t="n">
        <f aca="false">SUM(Edad_Total!U16:U21)/SUM(Edad_Total!U3:U5)*100</f>
        <v>73.8388743618478</v>
      </c>
      <c r="H21" s="16" t="n">
        <f aca="false">(SUM(Edad_Total!U3:U5)+SUM(Edad_Total!U16:U21))/SUM(Edad_Total!U6:U15)*100</f>
        <v>47.57215388285</v>
      </c>
      <c r="I21" s="16" t="n">
        <f aca="false">SUM(Edad_Total!U16:U21)/SUM(Edad_Total!U6:U15)*100</f>
        <v>20.2064947013323</v>
      </c>
      <c r="J21" s="16" t="n">
        <f aca="false">SUM(Edad_Total!U7:U10)/Edad_Total!U2*100</f>
        <v>27.1335550013854</v>
      </c>
      <c r="K21" s="16" t="n">
        <f aca="false">SUM(Edad_Total!U20:U21)/SUM(Edad_Total!U16:U21)*100</f>
        <v>10.0337268128162</v>
      </c>
      <c r="L21" s="16" t="n">
        <f aca="false">Edad_Extranjeros!U2/Edad_Total!U2*100</f>
        <v>13.0010621594163</v>
      </c>
      <c r="M21" s="16" t="n">
        <f aca="false">SUM(Edad_Extranjeros!U7:U11)/SUM(Edad_Total!U7:U11)*100</f>
        <v>14.7753495316954</v>
      </c>
      <c r="N21" s="16" t="n">
        <f aca="false">Edad_Mujeres!U2/Edad_Hombres!U2*100</f>
        <v>100.788168204367</v>
      </c>
      <c r="O21" s="16" t="n">
        <f aca="false">SUM(Edad_Mujeres!U16:U21)/SUM(Edad_Hombres!U16:U21)*100</f>
        <v>113.578245993157</v>
      </c>
      <c r="P21" s="22" t="n">
        <f aca="false">RANK(E21,E$3:E$21,0)</f>
        <v>19</v>
      </c>
      <c r="Q21" s="22" t="n">
        <f aca="false">RANK(L21,L$3:L$21,0)</f>
        <v>11</v>
      </c>
    </row>
    <row r="23" customFormat="false" ht="15" hidden="false" customHeight="false" outlineLevel="0" collapsed="false">
      <c r="A23" s="11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5"/>
  </cols>
  <sheetData>
    <row r="1" customFormat="false" ht="57.75" hidden="false" customHeight="true" outlineLevel="0" collapsed="false">
      <c r="A1" s="4" t="s">
        <v>127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174</v>
      </c>
      <c r="H1" s="4" t="s">
        <v>175</v>
      </c>
      <c r="I1" s="4" t="s">
        <v>176</v>
      </c>
      <c r="J1" s="4" t="s">
        <v>177</v>
      </c>
      <c r="K1" s="4" t="s">
        <v>178</v>
      </c>
      <c r="L1" s="4" t="s">
        <v>179</v>
      </c>
      <c r="M1" s="4" t="s">
        <v>180</v>
      </c>
    </row>
    <row r="2" customFormat="false" ht="15" hidden="false" customHeight="false" outlineLevel="0" collapsed="false">
      <c r="A2" s="12" t="s">
        <v>129</v>
      </c>
      <c r="B2" s="15" t="n">
        <f aca="false">Edad_Hombres!B3/Edad_Total!B$2*100</f>
        <v>1.73226504816847</v>
      </c>
      <c r="C2" s="15" t="n">
        <f aca="false">Edad_Mujeres!B3/Edad_Total!B$2*100</f>
        <v>1.63744873930553</v>
      </c>
      <c r="D2" s="15" t="n">
        <f aca="false">Edad_Hombres!O3/Edad_Total!O$2*100</f>
        <v>1.84067216603528</v>
      </c>
      <c r="E2" s="15" t="n">
        <f aca="false">Edad_Mujeres!O3/Edad_Total!O$2*100</f>
        <v>1.73593088380647</v>
      </c>
      <c r="F2" s="18" t="n">
        <f aca="false">B2+C2</f>
        <v>3.369713787474</v>
      </c>
      <c r="G2" s="18" t="n">
        <f aca="false">D2+E2</f>
        <v>3.57660304984174</v>
      </c>
      <c r="H2" s="18" t="n">
        <f aca="false">G2-F2</f>
        <v>0.20688926236774</v>
      </c>
      <c r="I2" s="16" t="n">
        <f aca="false">Edad_Total!O3/Edad_Total!B3*100</f>
        <v>15.3483258549491</v>
      </c>
      <c r="J2" s="16" t="n">
        <f aca="false">Edad_Extranjeros!B3/Edad_Total!B3*100</f>
        <v>14.490903782096</v>
      </c>
      <c r="K2" s="16" t="n">
        <f aca="false">Edad_Extranjeros!O3/Edad_Total!O3*100</f>
        <v>14.5614218992045</v>
      </c>
      <c r="L2" s="16" t="n">
        <f aca="false">Edad_Mujeres!B3/Edad_Hombres!B3*100</f>
        <v>94.52645488846</v>
      </c>
      <c r="M2" s="16" t="n">
        <f aca="false">Edad_Mujeres!O3/Edad_Hombres!O3*100</f>
        <v>94.3096177493456</v>
      </c>
    </row>
    <row r="3" customFormat="false" ht="15" hidden="false" customHeight="false" outlineLevel="0" collapsed="false">
      <c r="A3" s="12" t="s">
        <v>130</v>
      </c>
      <c r="B3" s="15" t="n">
        <f aca="false">Edad_Hombres!B4/Edad_Total!B$2*100</f>
        <v>2.10001658783413</v>
      </c>
      <c r="C3" s="15" t="n">
        <f aca="false">Edad_Mujeres!B4/Edad_Total!B$2*100</f>
        <v>1.99004412693185</v>
      </c>
      <c r="D3" s="15" t="n">
        <f aca="false">Edad_Hombres!O4/Edad_Total!O$2*100</f>
        <v>2.11769570845404</v>
      </c>
      <c r="E3" s="15" t="n">
        <f aca="false">Edad_Mujeres!O4/Edad_Total!O$2*100</f>
        <v>2.00909414829077</v>
      </c>
      <c r="F3" s="18" t="n">
        <f aca="false">B3+C3</f>
        <v>4.09006071476598</v>
      </c>
      <c r="G3" s="18" t="n">
        <f aca="false">D3+E3</f>
        <v>4.12678985674481</v>
      </c>
      <c r="H3" s="18" t="n">
        <f aca="false">G3-F3</f>
        <v>0.0367291419788307</v>
      </c>
      <c r="I3" s="16" t="n">
        <f aca="false">Edad_Total!O4/Edad_Total!B4*100</f>
        <v>14.590355802945</v>
      </c>
      <c r="J3" s="16" t="n">
        <f aca="false">Edad_Extranjeros!B4/Edad_Total!B4*100</f>
        <v>14.6830941316128</v>
      </c>
      <c r="K3" s="16" t="n">
        <f aca="false">Edad_Extranjeros!O4/Edad_Total!O4*100</f>
        <v>15.4054772487912</v>
      </c>
      <c r="L3" s="16" t="n">
        <f aca="false">Edad_Mujeres!B4/Edad_Hombres!B4*100</f>
        <v>94.7632575123752</v>
      </c>
      <c r="M3" s="16" t="n">
        <f aca="false">Edad_Mujeres!O4/Edad_Hombres!O4*100</f>
        <v>94.8717108067171</v>
      </c>
    </row>
    <row r="4" customFormat="false" ht="15" hidden="false" customHeight="false" outlineLevel="0" collapsed="false">
      <c r="A4" s="12" t="s">
        <v>131</v>
      </c>
      <c r="B4" s="15" t="n">
        <f aca="false">Edad_Hombres!B5/Edad_Total!B$2*100</f>
        <v>2.53736635031847</v>
      </c>
      <c r="C4" s="15" t="n">
        <f aca="false">Edad_Mujeres!B5/Edad_Total!B$2*100</f>
        <v>2.39211587733629</v>
      </c>
      <c r="D4" s="15" t="n">
        <f aca="false">Edad_Hombres!O5/Edad_Total!O$2*100</f>
        <v>2.56562680776955</v>
      </c>
      <c r="E4" s="15" t="n">
        <f aca="false">Edad_Mujeres!O5/Edad_Total!O$2*100</f>
        <v>2.43601589323638</v>
      </c>
      <c r="F4" s="18" t="n">
        <f aca="false">B4+C4</f>
        <v>4.92948222765476</v>
      </c>
      <c r="G4" s="18" t="n">
        <f aca="false">D4+E4</f>
        <v>5.00164270100592</v>
      </c>
      <c r="H4" s="18" t="n">
        <f aca="false">G4-F4</f>
        <v>0.0721604733511612</v>
      </c>
      <c r="I4" s="16" t="n">
        <f aca="false">Edad_Total!O5/Edad_Total!B5*100</f>
        <v>14.6721798612523</v>
      </c>
      <c r="J4" s="16" t="n">
        <f aca="false">Edad_Extranjeros!B5/Edad_Total!B5*100</f>
        <v>14.915890652349</v>
      </c>
      <c r="K4" s="16" t="n">
        <f aca="false">Edad_Extranjeros!O5/Edad_Total!O5*100</f>
        <v>15.9901831225222</v>
      </c>
      <c r="L4" s="16" t="n">
        <f aca="false">Edad_Mujeres!B5/Edad_Hombres!B5*100</f>
        <v>94.2755419230672</v>
      </c>
      <c r="M4" s="16" t="n">
        <f aca="false">Edad_Mujeres!O5/Edad_Hombres!O5*100</f>
        <v>94.9481774145536</v>
      </c>
    </row>
    <row r="5" customFormat="false" ht="15" hidden="false" customHeight="false" outlineLevel="0" collapsed="false">
      <c r="A5" s="12" t="s">
        <v>132</v>
      </c>
      <c r="B5" s="15" t="n">
        <f aca="false">Edad_Hombres!B6/Edad_Total!B$2*100</f>
        <v>2.86310113303883</v>
      </c>
      <c r="C5" s="15" t="n">
        <f aca="false">Edad_Mujeres!B6/Edad_Total!B$2*100</f>
        <v>2.65199930789315</v>
      </c>
      <c r="D5" s="15" t="n">
        <f aca="false">Edad_Hombres!O6/Edad_Total!O$2*100</f>
        <v>2.85191224005263</v>
      </c>
      <c r="E5" s="15" t="n">
        <f aca="false">Edad_Mujeres!O6/Edad_Total!O$2*100</f>
        <v>2.697348377864</v>
      </c>
      <c r="F5" s="18" t="n">
        <f aca="false">B5+C5</f>
        <v>5.51510044093198</v>
      </c>
      <c r="G5" s="18" t="n">
        <f aca="false">D5+E5</f>
        <v>5.54926061791663</v>
      </c>
      <c r="H5" s="18" t="n">
        <f aca="false">G5-F5</f>
        <v>0.0341601769846545</v>
      </c>
      <c r="I5" s="16" t="n">
        <f aca="false">Edad_Total!O6/Edad_Total!B6*100</f>
        <v>14.5500665184595</v>
      </c>
      <c r="J5" s="16" t="n">
        <f aca="false">Edad_Extranjeros!B6/Edad_Total!B6*100</f>
        <v>14.2030200181606</v>
      </c>
      <c r="K5" s="16" t="n">
        <f aca="false">Edad_Extranjeros!O6/Edad_Total!O6*100</f>
        <v>16.110531412571</v>
      </c>
      <c r="L5" s="16" t="n">
        <f aca="false">Edad_Mujeres!B6/Edad_Hombres!B6*100</f>
        <v>92.6268121405262</v>
      </c>
      <c r="M5" s="16" t="n">
        <f aca="false">Edad_Mujeres!O6/Edad_Hombres!O6*100</f>
        <v>94.5803429706595</v>
      </c>
    </row>
    <row r="6" customFormat="false" ht="15" hidden="false" customHeight="false" outlineLevel="0" collapsed="false">
      <c r="A6" s="12" t="s">
        <v>133</v>
      </c>
      <c r="B6" s="15" t="n">
        <f aca="false">Edad_Hombres!B7/Edad_Total!B$2*100</f>
        <v>2.93109900435045</v>
      </c>
      <c r="C6" s="15" t="n">
        <f aca="false">Edad_Mujeres!B7/Edad_Total!B$2*100</f>
        <v>2.71601136020662</v>
      </c>
      <c r="D6" s="15" t="n">
        <f aca="false">Edad_Hombres!O7/Edad_Total!O$2*100</f>
        <v>2.99438149043943</v>
      </c>
      <c r="E6" s="15" t="n">
        <f aca="false">Edad_Mujeres!O7/Edad_Total!O$2*100</f>
        <v>2.93311693559473</v>
      </c>
      <c r="F6" s="18" t="n">
        <f aca="false">B6+C6</f>
        <v>5.64711036455706</v>
      </c>
      <c r="G6" s="18" t="n">
        <f aca="false">D6+E6</f>
        <v>5.92749842603416</v>
      </c>
      <c r="H6" s="18" t="n">
        <f aca="false">G6-F6</f>
        <v>0.280388061477098</v>
      </c>
      <c r="I6" s="16" t="n">
        <f aca="false">Edad_Total!O7/Edad_Total!B7*100</f>
        <v>15.1784860271609</v>
      </c>
      <c r="J6" s="16" t="n">
        <f aca="false">Edad_Extranjeros!B7/Edad_Total!B7*100</f>
        <v>19.1560862467638</v>
      </c>
      <c r="K6" s="16" t="n">
        <f aca="false">Edad_Extranjeros!O7/Edad_Total!O7*100</f>
        <v>23.2985531962743</v>
      </c>
      <c r="L6" s="16" t="n">
        <f aca="false">Edad_Mujeres!B7/Edad_Hombres!B7*100</f>
        <v>92.661877206311</v>
      </c>
      <c r="M6" s="16" t="n">
        <f aca="false">Edad_Mujeres!O7/Edad_Hombres!O7*100</f>
        <v>97.9540163789985</v>
      </c>
    </row>
    <row r="7" customFormat="false" ht="15" hidden="false" customHeight="false" outlineLevel="0" collapsed="false">
      <c r="A7" s="12" t="s">
        <v>134</v>
      </c>
      <c r="B7" s="15" t="n">
        <f aca="false">Edad_Hombres!B8/Edad_Total!B$2*100</f>
        <v>2.93450652819925</v>
      </c>
      <c r="C7" s="15" t="n">
        <f aca="false">Edad_Mujeres!B8/Edad_Total!B$2*100</f>
        <v>2.74409682636642</v>
      </c>
      <c r="D7" s="15" t="n">
        <f aca="false">Edad_Hombres!O8/Edad_Total!O$2*100</f>
        <v>3.17001025056536</v>
      </c>
      <c r="E7" s="15" t="n">
        <f aca="false">Edad_Mujeres!O8/Edad_Total!O$2*100</f>
        <v>3.20750215856189</v>
      </c>
      <c r="F7" s="18" t="n">
        <f aca="false">B7+C7</f>
        <v>5.67860335456567</v>
      </c>
      <c r="G7" s="18" t="n">
        <f aca="false">D7+E7</f>
        <v>6.37751240912725</v>
      </c>
      <c r="H7" s="18" t="n">
        <f aca="false">G7-F7</f>
        <v>0.698909054561585</v>
      </c>
      <c r="I7" s="16" t="n">
        <f aca="false">Edad_Total!O8/Edad_Total!B8*100</f>
        <v>16.2402631086695</v>
      </c>
      <c r="J7" s="16" t="n">
        <f aca="false">Edad_Extranjeros!B8/Edad_Total!B8*100</f>
        <v>25.9295418405655</v>
      </c>
      <c r="K7" s="16" t="n">
        <f aca="false">Edad_Extranjeros!O8/Edad_Total!O8*100</f>
        <v>30.9218777216513</v>
      </c>
      <c r="L7" s="16" t="n">
        <f aca="false">Edad_Mujeres!B8/Edad_Hombres!B8*100</f>
        <v>93.5113553163682</v>
      </c>
      <c r="M7" s="16" t="n">
        <f aca="false">Edad_Mujeres!O8/Edad_Hombres!O8*100</f>
        <v>101.182706207017</v>
      </c>
    </row>
    <row r="8" customFormat="false" ht="15" hidden="false" customHeight="false" outlineLevel="0" collapsed="false">
      <c r="A8" s="12" t="s">
        <v>135</v>
      </c>
      <c r="B8" s="15" t="n">
        <f aca="false">Edad_Hombres!B9/Edad_Total!B$2*100</f>
        <v>3.00258672625088</v>
      </c>
      <c r="C8" s="15" t="n">
        <f aca="false">Edad_Mujeres!B9/Edad_Total!B$2*100</f>
        <v>2.87256067626317</v>
      </c>
      <c r="D8" s="15" t="n">
        <f aca="false">Edad_Hombres!O9/Edad_Total!O$2*100</f>
        <v>3.25968534013631</v>
      </c>
      <c r="E8" s="15" t="n">
        <f aca="false">Edad_Mujeres!O9/Edad_Total!O$2*100</f>
        <v>3.3221024240046</v>
      </c>
      <c r="F8" s="18" t="n">
        <f aca="false">B8+C8</f>
        <v>5.87514740251405</v>
      </c>
      <c r="G8" s="18" t="n">
        <f aca="false">D8+E8</f>
        <v>6.58178776414091</v>
      </c>
      <c r="H8" s="18" t="n">
        <f aca="false">G8-F8</f>
        <v>0.706640361626862</v>
      </c>
      <c r="I8" s="16" t="n">
        <f aca="false">Edad_Total!O9/Edad_Total!B9*100</f>
        <v>16.1997528978115</v>
      </c>
      <c r="J8" s="16" t="n">
        <f aca="false">Edad_Extranjeros!B9/Edad_Total!B9*100</f>
        <v>27.6186765507542</v>
      </c>
      <c r="K8" s="16" t="n">
        <f aca="false">Edad_Extranjeros!O9/Edad_Total!O9*100</f>
        <v>31.5143114531711</v>
      </c>
      <c r="L8" s="16" t="n">
        <f aca="false">Edad_Mujeres!B9/Edad_Hombres!B9*100</f>
        <v>95.6695322452828</v>
      </c>
      <c r="M8" s="16" t="n">
        <f aca="false">Edad_Mujeres!O9/Edad_Hombres!O9*100</f>
        <v>101.914819295585</v>
      </c>
    </row>
    <row r="9" customFormat="false" ht="15" hidden="false" customHeight="false" outlineLevel="0" collapsed="false">
      <c r="A9" s="12" t="s">
        <v>136</v>
      </c>
      <c r="B9" s="15" t="n">
        <f aca="false">Edad_Hombres!B10/Edad_Total!B$2*100</f>
        <v>3.11780801882126</v>
      </c>
      <c r="C9" s="15" t="n">
        <f aca="false">Edad_Mujeres!B10/Edad_Total!B$2*100</f>
        <v>3.0684621740456</v>
      </c>
      <c r="D9" s="15" t="n">
        <f aca="false">Edad_Hombres!O10/Edad_Total!O$2*100</f>
        <v>3.21776383263946</v>
      </c>
      <c r="E9" s="15" t="n">
        <f aca="false">Edad_Mujeres!O10/Edad_Total!O$2*100</f>
        <v>3.31286830592397</v>
      </c>
      <c r="F9" s="18" t="n">
        <f aca="false">B9+C9</f>
        <v>6.18627019286685</v>
      </c>
      <c r="G9" s="18" t="n">
        <f aca="false">D9+E9</f>
        <v>6.53063213856343</v>
      </c>
      <c r="H9" s="18" t="n">
        <f aca="false">G9-F9</f>
        <v>0.344361945696573</v>
      </c>
      <c r="I9" s="16" t="n">
        <f aca="false">Edad_Total!O10/Edad_Total!B10*100</f>
        <v>15.26545031759</v>
      </c>
      <c r="J9" s="16" t="n">
        <f aca="false">Edad_Extranjeros!B10/Edad_Total!B10*100</f>
        <v>25.9383503107413</v>
      </c>
      <c r="K9" s="16" t="n">
        <f aca="false">Edad_Extranjeros!O10/Edad_Total!O10*100</f>
        <v>28.8934674584899</v>
      </c>
      <c r="L9" s="16" t="n">
        <f aca="false">Edad_Mujeres!B10/Edad_Hombres!B10*100</f>
        <v>98.4172904656805</v>
      </c>
      <c r="M9" s="16" t="n">
        <f aca="false">Edad_Mujeres!O10/Edad_Hombres!O10*100</f>
        <v>102.955607627876</v>
      </c>
    </row>
    <row r="10" customFormat="false" ht="15" hidden="false" customHeight="false" outlineLevel="0" collapsed="false">
      <c r="A10" s="12" t="s">
        <v>137</v>
      </c>
      <c r="B10" s="15" t="n">
        <f aca="false">Edad_Hombres!B11/Edad_Total!B$2*100</f>
        <v>3.42548111797062</v>
      </c>
      <c r="C10" s="15" t="n">
        <f aca="false">Edad_Mujeres!B11/Edad_Total!B$2*100</f>
        <v>3.44063526204069</v>
      </c>
      <c r="D10" s="15" t="n">
        <f aca="false">Edad_Hombres!O11/Edad_Total!O$2*100</f>
        <v>3.41026395136383</v>
      </c>
      <c r="E10" s="15" t="n">
        <f aca="false">Edad_Mujeres!O11/Edad_Total!O$2*100</f>
        <v>3.59186364498551</v>
      </c>
      <c r="F10" s="18" t="n">
        <f aca="false">B10+C10</f>
        <v>6.86611638001132</v>
      </c>
      <c r="G10" s="18" t="n">
        <f aca="false">D10+E10</f>
        <v>7.00212759634934</v>
      </c>
      <c r="H10" s="18" t="n">
        <f aca="false">G10-F10</f>
        <v>0.136011216338027</v>
      </c>
      <c r="I10" s="16" t="n">
        <f aca="false">Edad_Total!O11/Edad_Total!B11*100</f>
        <v>14.7469478126929</v>
      </c>
      <c r="J10" s="16" t="n">
        <f aca="false">Edad_Extranjeros!B11/Edad_Total!B11*100</f>
        <v>21.8458440332067</v>
      </c>
      <c r="K10" s="16" t="n">
        <f aca="false">Edad_Extranjeros!O11/Edad_Total!O11*100</f>
        <v>24.2550499541905</v>
      </c>
      <c r="L10" s="16" t="n">
        <f aca="false">Edad_Mujeres!B11/Edad_Hombres!B11*100</f>
        <v>100.442394616936</v>
      </c>
      <c r="M10" s="16" t="n">
        <f aca="false">Edad_Mujeres!O11/Edad_Hombres!O11*100</f>
        <v>105.325092022541</v>
      </c>
    </row>
    <row r="11" customFormat="false" ht="15" hidden="false" customHeight="false" outlineLevel="0" collapsed="false">
      <c r="A11" s="12" t="s">
        <v>138</v>
      </c>
      <c r="B11" s="15" t="n">
        <f aca="false">Edad_Hombres!B12/Edad_Total!B$2*100</f>
        <v>4.04070683811324</v>
      </c>
      <c r="C11" s="15" t="n">
        <f aca="false">Edad_Mujeres!B12/Edad_Total!B$2*100</f>
        <v>4.02143434907329</v>
      </c>
      <c r="D11" s="15" t="n">
        <f aca="false">Edad_Hombres!O12/Edad_Total!O$2*100</f>
        <v>3.90878135469095</v>
      </c>
      <c r="E11" s="15" t="n">
        <f aca="false">Edad_Mujeres!O12/Edad_Total!O$2*100</f>
        <v>4.14034248719096</v>
      </c>
      <c r="F11" s="18" t="n">
        <f aca="false">B11+C11</f>
        <v>8.06214118718653</v>
      </c>
      <c r="G11" s="18" t="n">
        <f aca="false">D11+E11</f>
        <v>8.0491238418819</v>
      </c>
      <c r="H11" s="18" t="n">
        <f aca="false">G11-F11</f>
        <v>-0.0130173453046254</v>
      </c>
      <c r="I11" s="16" t="n">
        <f aca="false">Edad_Total!O12/Edad_Total!B12*100</f>
        <v>14.4371508157263</v>
      </c>
      <c r="J11" s="16" t="n">
        <f aca="false">Edad_Extranjeros!B12/Edad_Total!B12*100</f>
        <v>16.6774593332324</v>
      </c>
      <c r="K11" s="16" t="n">
        <f aca="false">Edad_Extranjeros!O12/Edad_Total!O12*100</f>
        <v>18.6650151295065</v>
      </c>
      <c r="L11" s="16" t="n">
        <f aca="false">Edad_Mujeres!B12/Edad_Hombres!B12*100</f>
        <v>99.5230416406811</v>
      </c>
      <c r="M11" s="16" t="n">
        <f aca="false">Edad_Mujeres!O12/Edad_Hombres!O12*100</f>
        <v>105.924125999581</v>
      </c>
    </row>
    <row r="12" customFormat="false" ht="15" hidden="false" customHeight="false" outlineLevel="0" collapsed="false">
      <c r="A12" s="12" t="s">
        <v>139</v>
      </c>
      <c r="B12" s="15" t="n">
        <f aca="false">Edad_Hombres!B13/Edad_Total!B$2*100</f>
        <v>4.07637439623125</v>
      </c>
      <c r="C12" s="15" t="n">
        <f aca="false">Edad_Mujeres!B13/Edad_Total!B$2*100</f>
        <v>4.06513378426567</v>
      </c>
      <c r="D12" s="15" t="n">
        <f aca="false">Edad_Hombres!O13/Edad_Total!O$2*100</f>
        <v>3.98591748392083</v>
      </c>
      <c r="E12" s="15" t="n">
        <f aca="false">Edad_Mujeres!O13/Edad_Total!O$2*100</f>
        <v>4.22524082996531</v>
      </c>
      <c r="F12" s="18" t="n">
        <f aca="false">B12+C12</f>
        <v>8.14150818049692</v>
      </c>
      <c r="G12" s="18" t="n">
        <f aca="false">D12+E12</f>
        <v>8.21115831388614</v>
      </c>
      <c r="H12" s="18" t="n">
        <f aca="false">G12-F12</f>
        <v>0.0696501333892208</v>
      </c>
      <c r="I12" s="16" t="n">
        <f aca="false">Edad_Total!O13/Edad_Total!B13*100</f>
        <v>14.5842078548848</v>
      </c>
      <c r="J12" s="16" t="n">
        <f aca="false">Edad_Extranjeros!B13/Edad_Total!B13*100</f>
        <v>13.0032866390207</v>
      </c>
      <c r="K12" s="16" t="n">
        <f aca="false">Edad_Extranjeros!O13/Edad_Total!O13*100</f>
        <v>14.488163143823</v>
      </c>
      <c r="L12" s="16" t="n">
        <f aca="false">Edad_Mujeres!B13/Edad_Hombres!B13*100</f>
        <v>99.7242497652823</v>
      </c>
      <c r="M12" s="16" t="n">
        <f aca="false">Edad_Mujeres!O13/Edad_Hombres!O13*100</f>
        <v>106.004222290349</v>
      </c>
    </row>
    <row r="13" customFormat="false" ht="15" hidden="false" customHeight="false" outlineLevel="0" collapsed="false">
      <c r="A13" s="12" t="s">
        <v>140</v>
      </c>
      <c r="B13" s="15" t="n">
        <f aca="false">Edad_Hombres!B14/Edad_Total!B$2*100</f>
        <v>3.7194016355994</v>
      </c>
      <c r="C13" s="15" t="n">
        <f aca="false">Edad_Mujeres!B14/Edad_Total!B$2*100</f>
        <v>3.81079837279793</v>
      </c>
      <c r="D13" s="15" t="n">
        <f aca="false">Edad_Hombres!O14/Edad_Total!O$2*100</f>
        <v>3.47919351851003</v>
      </c>
      <c r="E13" s="15" t="n">
        <f aca="false">Edad_Mujeres!O14/Edad_Total!O$2*100</f>
        <v>3.80333189197776</v>
      </c>
      <c r="F13" s="18" t="n">
        <f aca="false">B13+C13</f>
        <v>7.53020000839733</v>
      </c>
      <c r="G13" s="18" t="n">
        <f aca="false">D13+E13</f>
        <v>7.28252541048779</v>
      </c>
      <c r="H13" s="18" t="n">
        <f aca="false">G13-F13</f>
        <v>-0.247674597909535</v>
      </c>
      <c r="I13" s="16" t="n">
        <f aca="false">Edad_Total!O14/Edad_Total!B14*100</f>
        <v>13.9848811663085</v>
      </c>
      <c r="J13" s="16" t="n">
        <f aca="false">Edad_Extranjeros!B14/Edad_Total!B14*100</f>
        <v>10.9587678595856</v>
      </c>
      <c r="K13" s="16" t="n">
        <f aca="false">Edad_Extranjeros!O14/Edad_Total!O14*100</f>
        <v>12.5015492272931</v>
      </c>
      <c r="L13" s="16" t="n">
        <f aca="false">Edad_Mujeres!B14/Edad_Hombres!B14*100</f>
        <v>102.45729679537</v>
      </c>
      <c r="M13" s="16" t="n">
        <f aca="false">Edad_Mujeres!O14/Edad_Hombres!O14*100</f>
        <v>109.316480148151</v>
      </c>
    </row>
    <row r="14" customFormat="false" ht="15" hidden="false" customHeight="false" outlineLevel="0" collapsed="false">
      <c r="A14" s="12" t="s">
        <v>141</v>
      </c>
      <c r="B14" s="15" t="n">
        <f aca="false">Edad_Hombres!B15/Edad_Total!B$2*100</f>
        <v>3.35024451744573</v>
      </c>
      <c r="C14" s="15" t="n">
        <f aca="false">Edad_Mujeres!B15/Edad_Total!B$2*100</f>
        <v>3.5518205363812</v>
      </c>
      <c r="D14" s="15" t="n">
        <f aca="false">Edad_Hombres!O15/Edad_Total!O$2*100</f>
        <v>3.00269913965791</v>
      </c>
      <c r="E14" s="15" t="n">
        <f aca="false">Edad_Mujeres!O15/Edad_Total!O$2*100</f>
        <v>3.40736179996706</v>
      </c>
      <c r="F14" s="18" t="n">
        <f aca="false">B14+C14</f>
        <v>6.90206505382693</v>
      </c>
      <c r="G14" s="18" t="n">
        <f aca="false">D14+E14</f>
        <v>6.41006093962498</v>
      </c>
      <c r="H14" s="18" t="n">
        <f aca="false">G14-F14</f>
        <v>-0.492004114201954</v>
      </c>
      <c r="I14" s="16" t="n">
        <f aca="false">Edad_Total!O15/Edad_Total!B15*100</f>
        <v>13.429702537081</v>
      </c>
      <c r="J14" s="16" t="n">
        <f aca="false">Edad_Extranjeros!B15/Edad_Total!B15*100</f>
        <v>8.69874228181359</v>
      </c>
      <c r="K14" s="16" t="n">
        <f aca="false">Edad_Extranjeros!O15/Edad_Total!O15*100</f>
        <v>9.46982825849609</v>
      </c>
      <c r="L14" s="16" t="n">
        <f aca="false">Edad_Mujeres!B15/Edad_Hombres!B15*100</f>
        <v>106.016755430411</v>
      </c>
      <c r="M14" s="16" t="n">
        <f aca="false">Edad_Mujeres!O15/Edad_Hombres!O15*100</f>
        <v>113.476630241259</v>
      </c>
    </row>
    <row r="15" customFormat="false" ht="15" hidden="false" customHeight="false" outlineLevel="0" collapsed="false">
      <c r="A15" s="12" t="s">
        <v>142</v>
      </c>
      <c r="B15" s="15" t="n">
        <f aca="false">Edad_Hombres!B16/Edad_Total!B$2*100</f>
        <v>2.84941079856556</v>
      </c>
      <c r="C15" s="15" t="n">
        <f aca="false">Edad_Mujeres!B16/Edad_Total!B$2*100</f>
        <v>3.13611065870448</v>
      </c>
      <c r="D15" s="15" t="n">
        <f aca="false">Edad_Hombres!O16/Edad_Total!O$2*100</f>
        <v>2.4242684287308</v>
      </c>
      <c r="E15" s="15" t="n">
        <f aca="false">Edad_Mujeres!O16/Edad_Total!O$2*100</f>
        <v>2.9076502099408</v>
      </c>
      <c r="F15" s="18" t="n">
        <f aca="false">B15+C15</f>
        <v>5.98552145727004</v>
      </c>
      <c r="G15" s="18" t="n">
        <f aca="false">D15+E15</f>
        <v>5.3319186386716</v>
      </c>
      <c r="H15" s="18" t="n">
        <f aca="false">G15-F15</f>
        <v>-0.653602818598445</v>
      </c>
      <c r="I15" s="16" t="n">
        <f aca="false">Edad_Total!O16/Edad_Total!B16*100</f>
        <v>12.8814515698872</v>
      </c>
      <c r="J15" s="16" t="n">
        <f aca="false">Edad_Extranjeros!B16/Edad_Total!B16*100</f>
        <v>7.57832494599755</v>
      </c>
      <c r="K15" s="16" t="n">
        <f aca="false">Edad_Extranjeros!O16/Edad_Total!O16*100</f>
        <v>7.93606975345134</v>
      </c>
      <c r="L15" s="16" t="n">
        <f aca="false">Edad_Mujeres!B16/Edad_Hombres!B16*100</f>
        <v>110.061724349583</v>
      </c>
      <c r="M15" s="16" t="n">
        <f aca="false">Edad_Mujeres!O16/Edad_Hombres!O16*100</f>
        <v>119.939284589169</v>
      </c>
    </row>
    <row r="16" customFormat="false" ht="15" hidden="false" customHeight="false" outlineLevel="0" collapsed="false">
      <c r="A16" s="12" t="s">
        <v>143</v>
      </c>
      <c r="B16" s="15" t="n">
        <f aca="false">Edad_Hombres!B17/Edad_Total!B$2*100</f>
        <v>2.22939205577882</v>
      </c>
      <c r="C16" s="15" t="n">
        <f aca="false">Edad_Mujeres!B17/Edad_Total!B$2*100</f>
        <v>2.58247337196813</v>
      </c>
      <c r="D16" s="15" t="n">
        <f aca="false">Edad_Hombres!O17/Edad_Total!O$2*100</f>
        <v>1.88159388931889</v>
      </c>
      <c r="E16" s="15" t="n">
        <f aca="false">Edad_Mujeres!O17/Edad_Total!O$2*100</f>
        <v>2.41113237504017</v>
      </c>
      <c r="F16" s="18" t="n">
        <f aca="false">B16+C16</f>
        <v>4.81186542774695</v>
      </c>
      <c r="G16" s="18" t="n">
        <f aca="false">D16+E16</f>
        <v>4.29272626435905</v>
      </c>
      <c r="H16" s="18" t="n">
        <f aca="false">G16-F16</f>
        <v>-0.519139163387896</v>
      </c>
      <c r="I16" s="16" t="n">
        <f aca="false">Edad_Total!O17/Edad_Total!B17*100</f>
        <v>12.9003949283587</v>
      </c>
      <c r="J16" s="16" t="n">
        <f aca="false">Edad_Extranjeros!B17/Edad_Total!B17*100</f>
        <v>6.82607628827433</v>
      </c>
      <c r="K16" s="16" t="n">
        <f aca="false">Edad_Extranjeros!O17/Edad_Total!O17*100</f>
        <v>6.31714125825265</v>
      </c>
      <c r="L16" s="16" t="n">
        <f aca="false">Edad_Mujeres!B17/Edad_Hombres!B17*100</f>
        <v>115.837560525709</v>
      </c>
      <c r="M16" s="16" t="n">
        <f aca="false">Edad_Mujeres!O17/Edad_Hombres!O17*100</f>
        <v>128.143080647066</v>
      </c>
    </row>
    <row r="17" customFormat="false" ht="15" hidden="false" customHeight="false" outlineLevel="0" collapsed="false">
      <c r="A17" s="12" t="s">
        <v>144</v>
      </c>
      <c r="B17" s="15" t="n">
        <f aca="false">Edad_Hombres!B18/Edad_Total!B$2*100</f>
        <v>1.80341141529324</v>
      </c>
      <c r="C17" s="15" t="n">
        <f aca="false">Edad_Mujeres!B18/Edad_Total!B$2*100</f>
        <v>2.25702572885319</v>
      </c>
      <c r="D17" s="15" t="n">
        <f aca="false">Edad_Hombres!O18/Edad_Total!O$2*100</f>
        <v>1.59959919761763</v>
      </c>
      <c r="E17" s="15" t="n">
        <f aca="false">Edad_Mujeres!O18/Edad_Total!O$2*100</f>
        <v>2.16224164951065</v>
      </c>
      <c r="F17" s="18" t="n">
        <f aca="false">B17+C17</f>
        <v>4.06043714414643</v>
      </c>
      <c r="G17" s="18" t="n">
        <f aca="false">D17+E17</f>
        <v>3.76184084712827</v>
      </c>
      <c r="H17" s="18" t="n">
        <f aca="false">G17-F17</f>
        <v>-0.298596297018158</v>
      </c>
      <c r="I17" s="16" t="n">
        <f aca="false">Edad_Total!O18/Edad_Total!B18*100</f>
        <v>13.3971033958226</v>
      </c>
      <c r="J17" s="16" t="n">
        <f aca="false">Edad_Extranjeros!B18/Edad_Total!B18*100</f>
        <v>5.4968916916111</v>
      </c>
      <c r="K17" s="16" t="n">
        <f aca="false">Edad_Extranjeros!O18/Edad_Total!O18*100</f>
        <v>4.20728578758338</v>
      </c>
      <c r="L17" s="16" t="n">
        <f aca="false">Edad_Mujeres!B18/Edad_Hombres!B18*100</f>
        <v>125.15312422408</v>
      </c>
      <c r="M17" s="16" t="n">
        <f aca="false">Edad_Mujeres!O18/Edad_Hombres!O18*100</f>
        <v>135.173964373763</v>
      </c>
    </row>
    <row r="18" customFormat="false" ht="15" hidden="false" customHeight="false" outlineLevel="0" collapsed="false">
      <c r="A18" s="12" t="s">
        <v>145</v>
      </c>
      <c r="B18" s="15" t="n">
        <f aca="false">Edad_Hombres!B19/Edad_Total!B$2*100</f>
        <v>1.28297389244381</v>
      </c>
      <c r="C18" s="15" t="n">
        <f aca="false">Edad_Mujeres!B19/Edad_Total!B$2*100</f>
        <v>1.78900021985256</v>
      </c>
      <c r="D18" s="15" t="n">
        <f aca="false">Edad_Hombres!O19/Edad_Total!O$2*100</f>
        <v>1.16655377436592</v>
      </c>
      <c r="E18" s="15" t="n">
        <f aca="false">Edad_Mujeres!O19/Edad_Total!O$2*100</f>
        <v>1.70203542179924</v>
      </c>
      <c r="F18" s="18" t="n">
        <f aca="false">B18+C18</f>
        <v>3.07197411229636</v>
      </c>
      <c r="G18" s="18" t="n">
        <f aca="false">D18+E18</f>
        <v>2.86858919616516</v>
      </c>
      <c r="H18" s="18" t="n">
        <f aca="false">G18-F18</f>
        <v>-0.203384916131204</v>
      </c>
      <c r="I18" s="16" t="n">
        <f aca="false">Edad_Total!O19/Edad_Total!B19*100</f>
        <v>13.5031188496435</v>
      </c>
      <c r="J18" s="16" t="n">
        <f aca="false">Edad_Extranjeros!B19/Edad_Total!B19*100</f>
        <v>4.09885410137062</v>
      </c>
      <c r="K18" s="16" t="n">
        <f aca="false">Edad_Extranjeros!O19/Edad_Total!O19*100</f>
        <v>2.85986746247271</v>
      </c>
      <c r="L18" s="16" t="n">
        <f aca="false">Edad_Mujeres!B19/Edad_Hombres!B19*100</f>
        <v>139.441669888143</v>
      </c>
      <c r="M18" s="16" t="n">
        <f aca="false">Edad_Mujeres!O19/Edad_Hombres!O19*100</f>
        <v>145.902868706106</v>
      </c>
    </row>
    <row r="19" customFormat="false" ht="15" hidden="false" customHeight="false" outlineLevel="0" collapsed="false">
      <c r="A19" s="12" t="s">
        <v>146</v>
      </c>
      <c r="B19" s="15" t="n">
        <f aca="false">Edad_Hombres!B20/Edad_Total!B$2*100</f>
        <v>0.692648999201009</v>
      </c>
      <c r="C19" s="15" t="n">
        <f aca="false">Edad_Mujeres!B20/Edad_Total!B$2*100</f>
        <v>1.16210819825942</v>
      </c>
      <c r="D19" s="15" t="n">
        <f aca="false">Edad_Hombres!O20/Edad_Total!O$2*100</f>
        <v>0.639736923447356</v>
      </c>
      <c r="E19" s="15" t="n">
        <f aca="false">Edad_Mujeres!O20/Edad_Total!O$2*100</f>
        <v>1.11132958247623</v>
      </c>
      <c r="F19" s="18" t="n">
        <f aca="false">B19+C19</f>
        <v>1.85475719746043</v>
      </c>
      <c r="G19" s="18" t="n">
        <f aca="false">D19+E19</f>
        <v>1.75106650592358</v>
      </c>
      <c r="H19" s="18" t="n">
        <f aca="false">G19-F19</f>
        <v>-0.103690691536842</v>
      </c>
      <c r="I19" s="16" t="n">
        <f aca="false">Edad_Total!O20/Edad_Total!B20*100</f>
        <v>13.652081091439</v>
      </c>
      <c r="J19" s="16" t="n">
        <f aca="false">Edad_Extranjeros!B20/Edad_Total!B20*100</f>
        <v>3.22778657093552</v>
      </c>
      <c r="K19" s="16" t="n">
        <f aca="false">Edad_Extranjeros!O20/Edad_Total!O20*100</f>
        <v>2.51300513861575</v>
      </c>
      <c r="L19" s="16" t="n">
        <f aca="false">Edad_Mujeres!B20/Edad_Hombres!B20*100</f>
        <v>167.777359037542</v>
      </c>
      <c r="M19" s="16" t="n">
        <f aca="false">Edad_Mujeres!O20/Edad_Hombres!O20*100</f>
        <v>173.716654728571</v>
      </c>
    </row>
    <row r="20" customFormat="false" ht="15" hidden="false" customHeight="false" outlineLevel="0" collapsed="false">
      <c r="A20" s="12" t="s">
        <v>147</v>
      </c>
      <c r="B20" s="15" t="n">
        <f aca="false">Edad_Hombres!B21/Edad_Total!B$2*100</f>
        <v>0.431368022033206</v>
      </c>
      <c r="C20" s="15" t="n">
        <f aca="false">Edad_Mujeres!B21/Edad_Total!B$2*100</f>
        <v>0.990557343797209</v>
      </c>
      <c r="D20" s="15" t="n">
        <f aca="false">Edad_Hombres!O21/Edad_Total!O$2*100</f>
        <v>0.3985250961112</v>
      </c>
      <c r="E20" s="15" t="n">
        <f aca="false">Edad_Mujeres!O21/Edad_Total!O$2*100</f>
        <v>0.968610386036125</v>
      </c>
      <c r="F20" s="18" t="n">
        <f aca="false">B20+C20</f>
        <v>1.42192536583042</v>
      </c>
      <c r="G20" s="18" t="n">
        <f aca="false">D20+E20</f>
        <v>1.36713548214733</v>
      </c>
      <c r="H20" s="18" t="n">
        <f aca="false">G20-F20</f>
        <v>-0.0547898836830896</v>
      </c>
      <c r="I20" s="16" t="n">
        <f aca="false">Edad_Total!O21/Edad_Total!B21*100</f>
        <v>13.9033045678756</v>
      </c>
      <c r="J20" s="16" t="n">
        <f aca="false">Edad_Extranjeros!B21/Edad_Total!B21*100</f>
        <v>1.80218346346279</v>
      </c>
      <c r="K20" s="16" t="n">
        <f aca="false">Edad_Extranjeros!O21/Edad_Total!O21*100</f>
        <v>1.57229191000965</v>
      </c>
      <c r="L20" s="16" t="n">
        <f aca="false">Edad_Mujeres!B21/Edad_Hombres!B21*100</f>
        <v>229.631612266557</v>
      </c>
      <c r="M20" s="16" t="n">
        <f aca="false">Edad_Mujeres!O21/Edad_Hombres!O21*100</f>
        <v>243.048780487805</v>
      </c>
    </row>
    <row r="21" customFormat="false" ht="15" hidden="false" customHeight="false" outlineLevel="0" collapsed="false">
      <c r="A21" s="2" t="s">
        <v>181</v>
      </c>
      <c r="B21" s="18" t="n">
        <f aca="false">SUM(B2:B20)</f>
        <v>49.1201630856576</v>
      </c>
      <c r="C21" s="18" t="n">
        <f aca="false">SUM(C2:C20)</f>
        <v>50.8798369143424</v>
      </c>
      <c r="D21" s="18" t="n">
        <f aca="false">SUM(D2:D20)</f>
        <v>47.9148805938274</v>
      </c>
      <c r="E21" s="18" t="n">
        <f aca="false">SUM(E2:E20)</f>
        <v>52.0851194061726</v>
      </c>
      <c r="F21" s="18" t="n">
        <f aca="false">SUM(F2:F20)</f>
        <v>100</v>
      </c>
      <c r="G21" s="18" t="n">
        <f aca="false">SUM(G2:G20)</f>
        <v>100</v>
      </c>
    </row>
    <row r="23" customFormat="false" ht="15" hidden="false" customHeight="false" outlineLevel="0" collapsed="false">
      <c r="A23" s="11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4"/>
  </cols>
  <sheetData>
    <row r="1" customFormat="false" ht="57.75" hidden="false" customHeight="true" outlineLevel="0" collapsed="false">
      <c r="A1" s="4" t="s">
        <v>183</v>
      </c>
      <c r="B1" s="4" t="s">
        <v>184</v>
      </c>
      <c r="C1" s="4" t="s">
        <v>185</v>
      </c>
      <c r="D1" s="4" t="s">
        <v>186</v>
      </c>
      <c r="E1" s="4" t="s">
        <v>187</v>
      </c>
      <c r="F1" s="4" t="s">
        <v>188</v>
      </c>
      <c r="G1" s="4" t="s">
        <v>189</v>
      </c>
      <c r="H1" s="4" t="s">
        <v>190</v>
      </c>
      <c r="I1" s="4" t="s">
        <v>191</v>
      </c>
      <c r="J1" s="4" t="s">
        <v>192</v>
      </c>
      <c r="K1" s="4" t="s">
        <v>193</v>
      </c>
      <c r="L1" s="4" t="s">
        <v>194</v>
      </c>
      <c r="M1" s="4" t="s">
        <v>195</v>
      </c>
      <c r="N1" s="4" t="s">
        <v>196</v>
      </c>
    </row>
    <row r="2" customFormat="false" ht="15" hidden="false" customHeight="false" outlineLevel="0" collapsed="false">
      <c r="A2" s="12" t="n">
        <v>1971</v>
      </c>
      <c r="B2" s="23" t="n">
        <v>34040642</v>
      </c>
      <c r="C2" s="23" t="n">
        <v>16641744</v>
      </c>
      <c r="D2" s="19" t="n">
        <f aca="false">B2-C2</f>
        <v>17398898</v>
      </c>
      <c r="F2" s="23" t="n">
        <v>3761320</v>
      </c>
      <c r="G2" s="23" t="n">
        <v>1800009</v>
      </c>
      <c r="H2" s="19" t="n">
        <f aca="false">F2-G2</f>
        <v>1961311</v>
      </c>
      <c r="J2" s="18" t="n">
        <f aca="false">F2/B2*100</f>
        <v>11.0494978326202</v>
      </c>
      <c r="K2" s="17" t="n">
        <f aca="false">B2/B$2*100</f>
        <v>100</v>
      </c>
      <c r="L2" s="17" t="n">
        <f aca="false">F2/F$2*100</f>
        <v>100</v>
      </c>
      <c r="M2" s="17" t="n">
        <f aca="false">D2/C2*100</f>
        <v>104.549727480485</v>
      </c>
      <c r="N2" s="17" t="n">
        <f aca="false">H2/G2*100</f>
        <v>108.961177416335</v>
      </c>
    </row>
    <row r="3" customFormat="false" ht="15" hidden="false" customHeight="false" outlineLevel="0" collapsed="false">
      <c r="A3" s="12" t="n">
        <v>1972</v>
      </c>
      <c r="B3" s="23" t="n">
        <v>34408338</v>
      </c>
      <c r="C3" s="23" t="n">
        <v>16827942</v>
      </c>
      <c r="D3" s="19" t="n">
        <f aca="false">B3-C3</f>
        <v>17580396</v>
      </c>
      <c r="E3" s="18" t="n">
        <f aca="false">(B3/B2-1)*100</f>
        <v>1.08016764196164</v>
      </c>
      <c r="F3" s="23" t="n">
        <v>3855573</v>
      </c>
      <c r="G3" s="23" t="n">
        <v>1846934</v>
      </c>
      <c r="H3" s="19" t="n">
        <f aca="false">F3-G3</f>
        <v>2008639</v>
      </c>
      <c r="I3" s="18" t="n">
        <f aca="false">(F3/F2-1)*100</f>
        <v>2.50584901045379</v>
      </c>
      <c r="J3" s="18" t="n">
        <f aca="false">F3/B3*100</f>
        <v>11.2053450532833</v>
      </c>
      <c r="K3" s="17" t="n">
        <f aca="false">B3/B$2*100</f>
        <v>101.080167641962</v>
      </c>
      <c r="L3" s="17" t="n">
        <f aca="false">F3/F$2*100</f>
        <v>102.505849010454</v>
      </c>
      <c r="M3" s="17" t="n">
        <f aca="false">D3/C3*100</f>
        <v>104.471455867865</v>
      </c>
      <c r="N3" s="17" t="n">
        <f aca="false">H3/G3*100</f>
        <v>108.755320980609</v>
      </c>
    </row>
    <row r="4" customFormat="false" ht="15" hidden="false" customHeight="false" outlineLevel="0" collapsed="false">
      <c r="A4" s="12" t="n">
        <v>1973</v>
      </c>
      <c r="B4" s="23" t="n">
        <v>34800600</v>
      </c>
      <c r="C4" s="23" t="n">
        <v>17027972</v>
      </c>
      <c r="D4" s="19" t="n">
        <f aca="false">B4-C4</f>
        <v>17772628</v>
      </c>
      <c r="E4" s="18" t="n">
        <f aca="false">(B4/B3-1)*100</f>
        <v>1.14002018929249</v>
      </c>
      <c r="F4" s="23" t="n">
        <v>3951653</v>
      </c>
      <c r="G4" s="23" t="n">
        <v>1894859</v>
      </c>
      <c r="H4" s="19" t="n">
        <f aca="false">F4-G4</f>
        <v>2056794</v>
      </c>
      <c r="I4" s="18" t="n">
        <f aca="false">(F4/F3-1)*100</f>
        <v>2.49197719768242</v>
      </c>
      <c r="J4" s="18" t="n">
        <f aca="false">F4/B4*100</f>
        <v>11.3551289345586</v>
      </c>
      <c r="K4" s="17" t="n">
        <f aca="false">B4/B$2*100</f>
        <v>102.232501960451</v>
      </c>
      <c r="L4" s="17" t="n">
        <f aca="false">F4/F$2*100</f>
        <v>105.060271394085</v>
      </c>
      <c r="M4" s="17" t="n">
        <f aca="false">D4/C4*100</f>
        <v>104.373133805952</v>
      </c>
      <c r="N4" s="17" t="n">
        <f aca="false">H4/G4*100</f>
        <v>108.546018463643</v>
      </c>
    </row>
    <row r="5" customFormat="false" ht="15" hidden="false" customHeight="false" outlineLevel="0" collapsed="false">
      <c r="A5" s="12" t="n">
        <v>1974</v>
      </c>
      <c r="B5" s="23" t="n">
        <v>35177294</v>
      </c>
      <c r="C5" s="23" t="n">
        <v>17220063</v>
      </c>
      <c r="D5" s="19" t="n">
        <f aca="false">B5-C5</f>
        <v>17957231</v>
      </c>
      <c r="E5" s="18" t="n">
        <f aca="false">(B5/B4-1)*100</f>
        <v>1.08243536030987</v>
      </c>
      <c r="F5" s="23" t="n">
        <v>4047656</v>
      </c>
      <c r="G5" s="23" t="n">
        <v>1943160</v>
      </c>
      <c r="H5" s="19" t="n">
        <f aca="false">F5-G5</f>
        <v>2104496</v>
      </c>
      <c r="I5" s="18" t="n">
        <f aca="false">(F5/F4-1)*100</f>
        <v>2.42943902210038</v>
      </c>
      <c r="J5" s="18" t="n">
        <f aca="false">F5/B5*100</f>
        <v>11.5064450380976</v>
      </c>
      <c r="K5" s="17" t="n">
        <f aca="false">B5/B$2*100</f>
        <v>103.3391027114</v>
      </c>
      <c r="L5" s="17" t="n">
        <f aca="false">F5/F$2*100</f>
        <v>107.612646624058</v>
      </c>
      <c r="M5" s="17" t="n">
        <f aca="false">D5/C5*100</f>
        <v>104.280867032833</v>
      </c>
      <c r="N5" s="17" t="n">
        <f aca="false">H5/G5*100</f>
        <v>108.302764569052</v>
      </c>
    </row>
    <row r="6" customFormat="false" ht="15" hidden="false" customHeight="false" outlineLevel="0" collapsed="false">
      <c r="A6" s="12" t="n">
        <v>1975</v>
      </c>
      <c r="B6" s="23" t="n">
        <v>35569375</v>
      </c>
      <c r="C6" s="23" t="n">
        <v>17419371</v>
      </c>
      <c r="D6" s="19" t="n">
        <f aca="false">B6-C6</f>
        <v>18150004</v>
      </c>
      <c r="E6" s="18" t="n">
        <f aca="false">(B6/B5-1)*100</f>
        <v>1.11458544821554</v>
      </c>
      <c r="F6" s="23" t="n">
        <v>4147492</v>
      </c>
      <c r="G6" s="23" t="n">
        <v>1993057</v>
      </c>
      <c r="H6" s="19" t="n">
        <f aca="false">F6-G6</f>
        <v>2154435</v>
      </c>
      <c r="I6" s="18" t="n">
        <f aca="false">(F6/F5-1)*100</f>
        <v>2.46651395276674</v>
      </c>
      <c r="J6" s="18" t="n">
        <f aca="false">F6/B6*100</f>
        <v>11.6602892235245</v>
      </c>
      <c r="K6" s="17" t="n">
        <f aca="false">B6/B$2*100</f>
        <v>104.490905312538</v>
      </c>
      <c r="L6" s="17" t="n">
        <f aca="false">F6/F$2*100</f>
        <v>110.266927567981</v>
      </c>
      <c r="M6" s="17" t="n">
        <f aca="false">D6/C6*100</f>
        <v>104.194370738186</v>
      </c>
      <c r="N6" s="17" t="n">
        <f aca="false">H6/G6*100</f>
        <v>108.097008765931</v>
      </c>
    </row>
    <row r="7" customFormat="false" ht="15" hidden="false" customHeight="false" outlineLevel="0" collapsed="false">
      <c r="A7" s="12" t="n">
        <v>1976</v>
      </c>
      <c r="B7" s="23" t="n">
        <v>35946425</v>
      </c>
      <c r="C7" s="23" t="n">
        <v>17612561</v>
      </c>
      <c r="D7" s="19" t="n">
        <f aca="false">B7-C7</f>
        <v>18333864</v>
      </c>
      <c r="E7" s="18" t="n">
        <f aca="false">(B7/B6-1)*100</f>
        <v>1.06004111683153</v>
      </c>
      <c r="F7" s="23" t="n">
        <v>4244740</v>
      </c>
      <c r="G7" s="23" t="n">
        <v>2042054</v>
      </c>
      <c r="H7" s="19" t="n">
        <f aca="false">F7-G7</f>
        <v>2202686</v>
      </c>
      <c r="I7" s="18" t="n">
        <f aca="false">(F7/F6-1)*100</f>
        <v>2.34474231656143</v>
      </c>
      <c r="J7" s="18" t="n">
        <f aca="false">F7/B7*100</f>
        <v>11.8085178150539</v>
      </c>
      <c r="K7" s="17" t="n">
        <f aca="false">B7/B$2*100</f>
        <v>105.5985518722</v>
      </c>
      <c r="L7" s="17" t="n">
        <f aca="false">F7/F$2*100</f>
        <v>112.85240287984</v>
      </c>
      <c r="M7" s="17" t="n">
        <f aca="false">D7/C7*100</f>
        <v>104.095389648331</v>
      </c>
      <c r="N7" s="17" t="n">
        <f aca="false">H7/G7*100</f>
        <v>107.866197465885</v>
      </c>
    </row>
    <row r="8" customFormat="false" ht="15" hidden="false" customHeight="false" outlineLevel="0" collapsed="false">
      <c r="A8" s="12" t="n">
        <v>1977</v>
      </c>
      <c r="B8" s="23" t="n">
        <v>36329199</v>
      </c>
      <c r="C8" s="23" t="n">
        <v>17807322</v>
      </c>
      <c r="D8" s="19" t="n">
        <f aca="false">B8-C8</f>
        <v>18521877</v>
      </c>
      <c r="E8" s="18" t="n">
        <f aca="false">(B8/B7-1)*100</f>
        <v>1.06484580872785</v>
      </c>
      <c r="F8" s="23" t="n">
        <v>4342419</v>
      </c>
      <c r="G8" s="23" t="n">
        <v>2090755</v>
      </c>
      <c r="H8" s="19" t="n">
        <f aca="false">F8-G8</f>
        <v>2251664</v>
      </c>
      <c r="I8" s="18" t="n">
        <f aca="false">(F8/F7-1)*100</f>
        <v>2.30117745727654</v>
      </c>
      <c r="J8" s="18" t="n">
        <f aca="false">F8/B8*100</f>
        <v>11.9529720432317</v>
      </c>
      <c r="K8" s="17" t="n">
        <f aca="false">B8/B$2*100</f>
        <v>106.723013625889</v>
      </c>
      <c r="L8" s="17" t="n">
        <f aca="false">F8/F$2*100</f>
        <v>115.449336934906</v>
      </c>
      <c r="M8" s="17" t="n">
        <f aca="false">D8/C8*100</f>
        <v>104.012703313839</v>
      </c>
      <c r="N8" s="17" t="n">
        <f aca="false">H8/G8*100</f>
        <v>107.696215003671</v>
      </c>
    </row>
    <row r="9" customFormat="false" ht="15" hidden="false" customHeight="false" outlineLevel="0" collapsed="false">
      <c r="A9" s="12" t="n">
        <v>1978</v>
      </c>
      <c r="B9" s="23" t="n">
        <v>36694077</v>
      </c>
      <c r="C9" s="23" t="n">
        <v>17993218</v>
      </c>
      <c r="D9" s="19" t="n">
        <f aca="false">B9-C9</f>
        <v>18700859</v>
      </c>
      <c r="E9" s="18" t="n">
        <f aca="false">(B9/B8-1)*100</f>
        <v>1.00436566190187</v>
      </c>
      <c r="F9" s="23" t="n">
        <v>4434785</v>
      </c>
      <c r="G9" s="23" t="n">
        <v>2136903</v>
      </c>
      <c r="H9" s="19" t="n">
        <f aca="false">F9-G9</f>
        <v>2297882</v>
      </c>
      <c r="I9" s="18" t="n">
        <f aca="false">(F9/F8-1)*100</f>
        <v>2.12706327970653</v>
      </c>
      <c r="J9" s="18" t="n">
        <f aca="false">F9/B9*100</f>
        <v>12.0858333621527</v>
      </c>
      <c r="K9" s="17" t="n">
        <f aca="false">B9/B$2*100</f>
        <v>107.794902928094</v>
      </c>
      <c r="L9" s="17" t="n">
        <f aca="false">F9/F$2*100</f>
        <v>117.905017387513</v>
      </c>
      <c r="M9" s="17" t="n">
        <f aca="false">D9/C9*100</f>
        <v>103.932820688328</v>
      </c>
      <c r="N9" s="17" t="n">
        <f aca="false">H9/G9*100</f>
        <v>107.533285319923</v>
      </c>
    </row>
    <row r="10" customFormat="false" ht="15" hidden="false" customHeight="false" outlineLevel="0" collapsed="false">
      <c r="A10" s="12" t="n">
        <v>1979</v>
      </c>
      <c r="B10" s="23" t="n">
        <v>37035719</v>
      </c>
      <c r="C10" s="23" t="n">
        <v>18167281</v>
      </c>
      <c r="D10" s="19" t="n">
        <f aca="false">B10-C10</f>
        <v>18868438</v>
      </c>
      <c r="E10" s="18" t="n">
        <f aca="false">(B10/B9-1)*100</f>
        <v>0.931054894772254</v>
      </c>
      <c r="F10" s="23" t="n">
        <v>4521712</v>
      </c>
      <c r="G10" s="23" t="n">
        <v>2180375</v>
      </c>
      <c r="H10" s="19" t="n">
        <f aca="false">F10-G10</f>
        <v>2341337</v>
      </c>
      <c r="I10" s="18" t="n">
        <f aca="false">(F10/F9-1)*100</f>
        <v>1.96011757052483</v>
      </c>
      <c r="J10" s="18" t="n">
        <f aca="false">F10/B10*100</f>
        <v>12.2090568837073</v>
      </c>
      <c r="K10" s="17" t="n">
        <f aca="false">B10/B$2*100</f>
        <v>108.798532648121</v>
      </c>
      <c r="L10" s="17" t="n">
        <f aca="false">F10/F$2*100</f>
        <v>120.216094349856</v>
      </c>
      <c r="M10" s="17" t="n">
        <f aca="false">D10/C10*100</f>
        <v>103.859449303393</v>
      </c>
      <c r="N10" s="17" t="n">
        <f aca="false">H10/G10*100</f>
        <v>107.382308089205</v>
      </c>
    </row>
    <row r="11" customFormat="false" ht="15" hidden="false" customHeight="false" outlineLevel="0" collapsed="false">
      <c r="A11" s="12" t="n">
        <v>1980</v>
      </c>
      <c r="B11" s="23" t="n">
        <v>37346940</v>
      </c>
      <c r="C11" s="23" t="n">
        <v>18323513</v>
      </c>
      <c r="D11" s="19" t="n">
        <f aca="false">B11-C11</f>
        <v>19023427</v>
      </c>
      <c r="E11" s="18" t="n">
        <f aca="false">(B11/B10-1)*100</f>
        <v>0.840326604702879</v>
      </c>
      <c r="F11" s="23" t="n">
        <v>4602359</v>
      </c>
      <c r="G11" s="23" t="n">
        <v>2219943</v>
      </c>
      <c r="H11" s="19" t="n">
        <f aca="false">F11-G11</f>
        <v>2382416</v>
      </c>
      <c r="I11" s="18" t="n">
        <f aca="false">(F11/F10-1)*100</f>
        <v>1.78355012437768</v>
      </c>
      <c r="J11" s="18" t="n">
        <f aca="false">F11/B11*100</f>
        <v>12.3232559347566</v>
      </c>
      <c r="K11" s="17" t="n">
        <f aca="false">B11/B$2*100</f>
        <v>109.71279566349</v>
      </c>
      <c r="L11" s="17" t="n">
        <f aca="false">F11/F$2*100</f>
        <v>122.360208650155</v>
      </c>
      <c r="M11" s="17" t="n">
        <f aca="false">D11/C11*100</f>
        <v>103.819758798436</v>
      </c>
      <c r="N11" s="17" t="n">
        <f aca="false">H11/G11*100</f>
        <v>107.318791518521</v>
      </c>
    </row>
    <row r="12" customFormat="false" ht="15" hidden="false" customHeight="false" outlineLevel="0" collapsed="false">
      <c r="A12" s="12" t="n">
        <v>1981</v>
      </c>
      <c r="B12" s="23" t="n">
        <v>37635389</v>
      </c>
      <c r="C12" s="23" t="n">
        <v>18467449</v>
      </c>
      <c r="D12" s="19" t="n">
        <f aca="false">B12-C12</f>
        <v>19167940</v>
      </c>
      <c r="E12" s="18" t="n">
        <f aca="false">(B12/B11-1)*100</f>
        <v>0.772349756097812</v>
      </c>
      <c r="F12" s="23" t="n">
        <v>4675012</v>
      </c>
      <c r="G12" s="23" t="n">
        <v>2255566</v>
      </c>
      <c r="H12" s="19" t="n">
        <f aca="false">F12-G12</f>
        <v>2419446</v>
      </c>
      <c r="I12" s="18" t="n">
        <f aca="false">(F12/F11-1)*100</f>
        <v>1.57860349442536</v>
      </c>
      <c r="J12" s="18" t="n">
        <f aca="false">F12/B12*100</f>
        <v>12.4218511465366</v>
      </c>
      <c r="K12" s="17" t="n">
        <f aca="false">B12/B$2*100</f>
        <v>110.560162173205</v>
      </c>
      <c r="L12" s="17" t="n">
        <f aca="false">F12/F$2*100</f>
        <v>124.291791179692</v>
      </c>
      <c r="M12" s="17" t="n">
        <f aca="false">D12/C12*100</f>
        <v>103.79311186943</v>
      </c>
      <c r="N12" s="17" t="n">
        <f aca="false">H12/G12*100</f>
        <v>107.265582119965</v>
      </c>
    </row>
    <row r="13" customFormat="false" ht="15" hidden="false" customHeight="false" outlineLevel="0" collapsed="false">
      <c r="A13" s="12" t="n">
        <v>1982</v>
      </c>
      <c r="B13" s="23" t="n">
        <v>37881873</v>
      </c>
      <c r="C13" s="23" t="n">
        <v>18591423</v>
      </c>
      <c r="D13" s="19" t="n">
        <f aca="false">B13-C13</f>
        <v>19290450</v>
      </c>
      <c r="E13" s="18" t="n">
        <f aca="false">(B13/B12-1)*100</f>
        <v>0.65492613879985</v>
      </c>
      <c r="F13" s="23" t="n">
        <v>4722808</v>
      </c>
      <c r="G13" s="23" t="n">
        <v>2279256</v>
      </c>
      <c r="H13" s="19" t="n">
        <f aca="false">F13-G13</f>
        <v>2443552</v>
      </c>
      <c r="I13" s="18" t="n">
        <f aca="false">(F13/F12-1)*100</f>
        <v>1.02237170728119</v>
      </c>
      <c r="J13" s="18" t="n">
        <f aca="false">F13/B13*100</f>
        <v>12.4671977016554</v>
      </c>
      <c r="K13" s="17" t="n">
        <f aca="false">B13/B$2*100</f>
        <v>111.284249574376</v>
      </c>
      <c r="L13" s="17" t="n">
        <f aca="false">F13/F$2*100</f>
        <v>125.562515287186</v>
      </c>
      <c r="M13" s="17" t="n">
        <f aca="false">D13/C13*100</f>
        <v>103.759943496525</v>
      </c>
      <c r="N13" s="17" t="n">
        <f aca="false">H13/G13*100</f>
        <v>107.208317099966</v>
      </c>
    </row>
    <row r="14" customFormat="false" ht="15" hidden="false" customHeight="false" outlineLevel="0" collapsed="false">
      <c r="A14" s="12" t="n">
        <v>1983</v>
      </c>
      <c r="B14" s="23" t="n">
        <v>38090151</v>
      </c>
      <c r="C14" s="23" t="n">
        <v>18695393</v>
      </c>
      <c r="D14" s="19" t="n">
        <f aca="false">B14-C14</f>
        <v>19394758</v>
      </c>
      <c r="E14" s="18" t="n">
        <f aca="false">(B14/B13-1)*100</f>
        <v>0.549809139585045</v>
      </c>
      <c r="F14" s="23" t="n">
        <v>4762083</v>
      </c>
      <c r="G14" s="23" t="n">
        <v>2298469</v>
      </c>
      <c r="H14" s="19" t="n">
        <f aca="false">F14-G14</f>
        <v>2463614</v>
      </c>
      <c r="I14" s="18" t="n">
        <f aca="false">(F14/F13-1)*100</f>
        <v>0.831602724480862</v>
      </c>
      <c r="J14" s="18" t="n">
        <f aca="false">F14/B14*100</f>
        <v>12.5021373635405</v>
      </c>
      <c r="K14" s="17" t="n">
        <f aca="false">B14/B$2*100</f>
        <v>111.896100549455</v>
      </c>
      <c r="L14" s="17" t="n">
        <f aca="false">F14/F$2*100</f>
        <v>126.606696585241</v>
      </c>
      <c r="M14" s="17" t="n">
        <f aca="false">D14/C14*100</f>
        <v>103.740841393385</v>
      </c>
      <c r="N14" s="17" t="n">
        <f aca="false">H14/G14*100</f>
        <v>107.185000102242</v>
      </c>
    </row>
    <row r="15" customFormat="false" ht="15" hidden="false" customHeight="false" outlineLevel="0" collapsed="false">
      <c r="A15" s="12" t="n">
        <v>1984</v>
      </c>
      <c r="B15" s="23" t="n">
        <v>38252899</v>
      </c>
      <c r="C15" s="23" t="n">
        <v>18775089</v>
      </c>
      <c r="D15" s="19" t="n">
        <f aca="false">B15-C15</f>
        <v>19477810</v>
      </c>
      <c r="E15" s="18" t="n">
        <f aca="false">(B15/B14-1)*100</f>
        <v>0.427270556107806</v>
      </c>
      <c r="F15" s="23" t="n">
        <v>4794710</v>
      </c>
      <c r="G15" s="23" t="n">
        <v>2314215</v>
      </c>
      <c r="H15" s="19" t="n">
        <f aca="false">F15-G15</f>
        <v>2480495</v>
      </c>
      <c r="I15" s="18" t="n">
        <f aca="false">(F15/F14-1)*100</f>
        <v>0.685141355159069</v>
      </c>
      <c r="J15" s="18" t="n">
        <f aca="false">F15/B15*100</f>
        <v>12.5342395618173</v>
      </c>
      <c r="K15" s="17" t="n">
        <f aca="false">B15/B$2*100</f>
        <v>112.374199640536</v>
      </c>
      <c r="L15" s="17" t="n">
        <f aca="false">F15/F$2*100</f>
        <v>127.474131421948</v>
      </c>
      <c r="M15" s="17" t="n">
        <f aca="false">D15/C15*100</f>
        <v>103.742837117843</v>
      </c>
      <c r="N15" s="17" t="n">
        <f aca="false">H15/G15*100</f>
        <v>107.185157818094</v>
      </c>
    </row>
    <row r="16" customFormat="false" ht="15" hidden="false" customHeight="false" outlineLevel="0" collapsed="false">
      <c r="A16" s="12" t="n">
        <v>1985</v>
      </c>
      <c r="B16" s="23" t="n">
        <v>38407829</v>
      </c>
      <c r="C16" s="23" t="n">
        <v>18849258</v>
      </c>
      <c r="D16" s="19" t="n">
        <f aca="false">B16-C16</f>
        <v>19558571</v>
      </c>
      <c r="E16" s="18" t="n">
        <f aca="false">(B16/B15-1)*100</f>
        <v>0.405015055198832</v>
      </c>
      <c r="F16" s="23" t="n">
        <v>4826262</v>
      </c>
      <c r="G16" s="23" t="n">
        <v>2329337</v>
      </c>
      <c r="H16" s="19" t="n">
        <f aca="false">F16-G16</f>
        <v>2496925</v>
      </c>
      <c r="I16" s="18" t="n">
        <f aca="false">(F16/F15-1)*100</f>
        <v>0.658058568714282</v>
      </c>
      <c r="J16" s="18" t="n">
        <f aca="false">F16/B16*100</f>
        <v>12.5658287012265</v>
      </c>
      <c r="K16" s="17" t="n">
        <f aca="false">B16/B$2*100</f>
        <v>112.829332067239</v>
      </c>
      <c r="L16" s="17" t="n">
        <f aca="false">F16/F$2*100</f>
        <v>128.312985866664</v>
      </c>
      <c r="M16" s="17" t="n">
        <f aca="false">D16/C16*100</f>
        <v>103.763081814679</v>
      </c>
      <c r="N16" s="17" t="n">
        <f aca="false">H16/G16*100</f>
        <v>107.19466526312</v>
      </c>
    </row>
    <row r="17" customFormat="false" ht="15" hidden="false" customHeight="false" outlineLevel="0" collapsed="false">
      <c r="A17" s="12" t="n">
        <v>1986</v>
      </c>
      <c r="B17" s="23" t="n">
        <v>38531195</v>
      </c>
      <c r="C17" s="23" t="n">
        <v>18906124</v>
      </c>
      <c r="D17" s="19" t="n">
        <f aca="false">B17-C17</f>
        <v>19625071</v>
      </c>
      <c r="E17" s="18" t="n">
        <f aca="false">(B17/B16-1)*100</f>
        <v>0.321200138648825</v>
      </c>
      <c r="F17" s="23" t="n">
        <v>4853420</v>
      </c>
      <c r="G17" s="23" t="n">
        <v>2342391</v>
      </c>
      <c r="H17" s="19" t="n">
        <f aca="false">F17-G17</f>
        <v>2511029</v>
      </c>
      <c r="I17" s="18" t="n">
        <f aca="false">(F17/F16-1)*100</f>
        <v>0.562712923583519</v>
      </c>
      <c r="J17" s="18" t="n">
        <f aca="false">F17/B17*100</f>
        <v>12.5960796180861</v>
      </c>
      <c r="K17" s="17" t="n">
        <f aca="false">B17/B$2*100</f>
        <v>113.191740038275</v>
      </c>
      <c r="L17" s="17" t="n">
        <f aca="false">F17/F$2*100</f>
        <v>129.035019620771</v>
      </c>
      <c r="M17" s="17" t="n">
        <f aca="false">D17/C17*100</f>
        <v>103.802720219121</v>
      </c>
      <c r="N17" s="17" t="n">
        <f aca="false">H17/G17*100</f>
        <v>107.199395831012</v>
      </c>
    </row>
    <row r="18" customFormat="false" ht="15" hidden="false" customHeight="false" outlineLevel="0" collapsed="false">
      <c r="A18" s="12" t="n">
        <v>1987</v>
      </c>
      <c r="B18" s="23" t="n">
        <v>38638052</v>
      </c>
      <c r="C18" s="23" t="n">
        <v>18954956</v>
      </c>
      <c r="D18" s="19" t="n">
        <f aca="false">B18-C18</f>
        <v>19683096</v>
      </c>
      <c r="E18" s="18" t="n">
        <f aca="false">(B18/B17-1)*100</f>
        <v>0.277325943303852</v>
      </c>
      <c r="F18" s="23" t="n">
        <v>4879392</v>
      </c>
      <c r="G18" s="23" t="n">
        <v>2354498</v>
      </c>
      <c r="H18" s="19" t="n">
        <f aca="false">F18-G18</f>
        <v>2524894</v>
      </c>
      <c r="I18" s="18" t="n">
        <f aca="false">(F18/F17-1)*100</f>
        <v>0.535127806783664</v>
      </c>
      <c r="J18" s="18" t="n">
        <f aca="false">F18/B18*100</f>
        <v>12.6284627392706</v>
      </c>
      <c r="K18" s="17" t="n">
        <f aca="false">B18/B$2*100</f>
        <v>113.505650099079</v>
      </c>
      <c r="L18" s="17" t="n">
        <f aca="false">F18/F$2*100</f>
        <v>129.725521891251</v>
      </c>
      <c r="M18" s="17" t="n">
        <f aca="false">D18/C18*100</f>
        <v>103.841422792013</v>
      </c>
      <c r="N18" s="17" t="n">
        <f aca="false">H18/G18*100</f>
        <v>107.237041611418</v>
      </c>
    </row>
    <row r="19" customFormat="false" ht="15" hidden="false" customHeight="false" outlineLevel="0" collapsed="false">
      <c r="A19" s="12" t="n">
        <v>1988</v>
      </c>
      <c r="B19" s="23" t="n">
        <v>38731578</v>
      </c>
      <c r="C19" s="23" t="n">
        <v>18995710</v>
      </c>
      <c r="D19" s="19" t="n">
        <f aca="false">B19-C19</f>
        <v>19735868</v>
      </c>
      <c r="E19" s="18" t="n">
        <f aca="false">(B19/B18-1)*100</f>
        <v>0.242056716523908</v>
      </c>
      <c r="F19" s="23" t="n">
        <v>4902168</v>
      </c>
      <c r="G19" s="23" t="n">
        <v>2364938</v>
      </c>
      <c r="H19" s="19" t="n">
        <f aca="false">F19-G19</f>
        <v>2537230</v>
      </c>
      <c r="I19" s="18" t="n">
        <f aca="false">(F19/F18-1)*100</f>
        <v>0.466779467605805</v>
      </c>
      <c r="J19" s="18" t="n">
        <f aca="false">F19/B19*100</f>
        <v>12.6567732406875</v>
      </c>
      <c r="K19" s="17" t="n">
        <f aca="false">B19/B$2*100</f>
        <v>113.780398148778</v>
      </c>
      <c r="L19" s="17" t="n">
        <f aca="false">F19/F$2*100</f>
        <v>130.331053991684</v>
      </c>
      <c r="M19" s="17" t="n">
        <f aca="false">D19/C19*100</f>
        <v>103.896448198041</v>
      </c>
      <c r="N19" s="17" t="n">
        <f aca="false">H19/G19*100</f>
        <v>107.285264983691</v>
      </c>
    </row>
    <row r="20" customFormat="false" ht="15" hidden="false" customHeight="false" outlineLevel="0" collapsed="false">
      <c r="A20" s="12" t="n">
        <v>1989</v>
      </c>
      <c r="B20" s="23" t="n">
        <v>38802300</v>
      </c>
      <c r="C20" s="23" t="n">
        <v>19023679</v>
      </c>
      <c r="D20" s="19" t="n">
        <f aca="false">B20-C20</f>
        <v>19778621</v>
      </c>
      <c r="E20" s="18" t="n">
        <f aca="false">(B20/B19-1)*100</f>
        <v>0.182595194030055</v>
      </c>
      <c r="F20" s="23" t="n">
        <v>4920827</v>
      </c>
      <c r="G20" s="23" t="n">
        <v>2373155</v>
      </c>
      <c r="H20" s="19" t="n">
        <f aca="false">F20-G20</f>
        <v>2547672</v>
      </c>
      <c r="I20" s="18" t="n">
        <f aca="false">(F20/F19-1)*100</f>
        <v>0.380627510113896</v>
      </c>
      <c r="J20" s="18" t="n">
        <f aca="false">F20/B20*100</f>
        <v>12.6817920587182</v>
      </c>
      <c r="K20" s="17" t="n">
        <f aca="false">B20/B$2*100</f>
        <v>113.988155687546</v>
      </c>
      <c r="L20" s="17" t="n">
        <f aca="false">F20/F$2*100</f>
        <v>130.827129837398</v>
      </c>
      <c r="M20" s="17" t="n">
        <f aca="false">D20/C20*100</f>
        <v>103.968433235233</v>
      </c>
      <c r="N20" s="17" t="n">
        <f aca="false">H20/G20*100</f>
        <v>107.35379694963</v>
      </c>
    </row>
    <row r="21" customFormat="false" ht="15" hidden="false" customHeight="false" outlineLevel="0" collapsed="false">
      <c r="A21" s="12" t="n">
        <v>1990</v>
      </c>
      <c r="B21" s="23" t="n">
        <v>38853227</v>
      </c>
      <c r="C21" s="23" t="n">
        <v>19039785</v>
      </c>
      <c r="D21" s="19" t="n">
        <f aca="false">B21-C21</f>
        <v>19813442</v>
      </c>
      <c r="E21" s="18" t="n">
        <f aca="false">(B21/B20-1)*100</f>
        <v>0.131247374511312</v>
      </c>
      <c r="F21" s="23" t="n">
        <v>4937156</v>
      </c>
      <c r="G21" s="23" t="n">
        <v>2380127</v>
      </c>
      <c r="H21" s="19" t="n">
        <f aca="false">F21-G21</f>
        <v>2557029</v>
      </c>
      <c r="I21" s="18" t="n">
        <f aca="false">(F21/F20-1)*100</f>
        <v>0.331834466035885</v>
      </c>
      <c r="J21" s="18" t="n">
        <f aca="false">F21/B21*100</f>
        <v>12.707196753567</v>
      </c>
      <c r="K21" s="17" t="n">
        <f aca="false">B21/B$2*100</f>
        <v>114.137762149139</v>
      </c>
      <c r="L21" s="17" t="n">
        <f aca="false">F21/F$2*100</f>
        <v>131.261259345124</v>
      </c>
      <c r="M21" s="17" t="n">
        <f aca="false">D21/C21*100</f>
        <v>104.063370463479</v>
      </c>
      <c r="N21" s="17" t="n">
        <f aca="false">H21/G21*100</f>
        <v>107.43246053677</v>
      </c>
    </row>
    <row r="22" customFormat="false" ht="15" hidden="false" customHeight="false" outlineLevel="0" collapsed="false">
      <c r="A22" s="12" t="n">
        <v>1991</v>
      </c>
      <c r="B22" s="23" t="n">
        <v>38881416</v>
      </c>
      <c r="C22" s="23" t="n">
        <v>19042818</v>
      </c>
      <c r="D22" s="19" t="n">
        <f aca="false">B22-C22</f>
        <v>19838598</v>
      </c>
      <c r="E22" s="18" t="n">
        <f aca="false">(B22/B21-1)*100</f>
        <v>0.0725525321230158</v>
      </c>
      <c r="F22" s="23" t="n">
        <v>4947735</v>
      </c>
      <c r="G22" s="23" t="n">
        <v>2384030</v>
      </c>
      <c r="H22" s="19" t="n">
        <f aca="false">F22-G22</f>
        <v>2563705</v>
      </c>
      <c r="I22" s="18" t="n">
        <f aca="false">(F22/F21-1)*100</f>
        <v>0.214273156448774</v>
      </c>
      <c r="J22" s="18" t="n">
        <f aca="false">F22/B22*100</f>
        <v>12.7251924158318</v>
      </c>
      <c r="K22" s="17" t="n">
        <f aca="false">B22/B$2*100</f>
        <v>114.220571985687</v>
      </c>
      <c r="L22" s="17" t="n">
        <f aca="false">F22/F$2*100</f>
        <v>131.542516988717</v>
      </c>
      <c r="M22" s="17" t="n">
        <f aca="false">D22/C22*100</f>
        <v>104.178898312214</v>
      </c>
      <c r="N22" s="17" t="n">
        <f aca="false">H22/G22*100</f>
        <v>107.536608180266</v>
      </c>
    </row>
    <row r="23" customFormat="false" ht="15" hidden="false" customHeight="false" outlineLevel="0" collapsed="false">
      <c r="A23" s="12" t="n">
        <v>1992</v>
      </c>
      <c r="B23" s="23" t="n">
        <v>39051336</v>
      </c>
      <c r="C23" s="23" t="n">
        <v>19126029</v>
      </c>
      <c r="D23" s="19" t="n">
        <f aca="false">B23-C23</f>
        <v>19925307</v>
      </c>
      <c r="E23" s="18" t="n">
        <f aca="false">(B23/B22-1)*100</f>
        <v>0.437021120835723</v>
      </c>
      <c r="F23" s="23" t="n">
        <v>4984663</v>
      </c>
      <c r="G23" s="23" t="n">
        <v>2401199</v>
      </c>
      <c r="H23" s="19" t="n">
        <f aca="false">F23-G23</f>
        <v>2583464</v>
      </c>
      <c r="I23" s="18" t="n">
        <f aca="false">(F23/F22-1)*100</f>
        <v>0.746361719049227</v>
      </c>
      <c r="J23" s="18" t="n">
        <f aca="false">F23/B23*100</f>
        <v>12.7643853209017</v>
      </c>
      <c r="K23" s="17" t="n">
        <f aca="false">B23/B$2*100</f>
        <v>114.719740009604</v>
      </c>
      <c r="L23" s="17" t="n">
        <f aca="false">F23/F$2*100</f>
        <v>132.524299979794</v>
      </c>
      <c r="M23" s="17" t="n">
        <f aca="false">D23/C23*100</f>
        <v>104.17900652561</v>
      </c>
      <c r="N23" s="17" t="n">
        <f aca="false">H23/G23*100</f>
        <v>107.590582871307</v>
      </c>
    </row>
    <row r="24" customFormat="false" ht="15" hidden="false" customHeight="false" outlineLevel="0" collapsed="false">
      <c r="A24" s="12" t="n">
        <v>1993</v>
      </c>
      <c r="B24" s="23" t="n">
        <v>39264034</v>
      </c>
      <c r="C24" s="23" t="n">
        <v>19231389</v>
      </c>
      <c r="D24" s="19" t="n">
        <f aca="false">B24-C24</f>
        <v>20032645</v>
      </c>
      <c r="E24" s="18" t="n">
        <f aca="false">(B24/B23-1)*100</f>
        <v>0.544662543683527</v>
      </c>
      <c r="F24" s="23" t="n">
        <v>5030383</v>
      </c>
      <c r="G24" s="23" t="n">
        <v>2422753</v>
      </c>
      <c r="H24" s="19" t="n">
        <f aca="false">F24-G24</f>
        <v>2607630</v>
      </c>
      <c r="I24" s="18" t="n">
        <f aca="false">(F24/F23-1)*100</f>
        <v>0.917213460568944</v>
      </c>
      <c r="J24" s="18" t="n">
        <f aca="false">F24/B24*100</f>
        <v>12.8116815506018</v>
      </c>
      <c r="K24" s="17" t="n">
        <f aca="false">B24/B$2*100</f>
        <v>115.344575463647</v>
      </c>
      <c r="L24" s="17" t="n">
        <f aca="false">F24/F$2*100</f>
        <v>133.739830697734</v>
      </c>
      <c r="M24" s="17" t="n">
        <f aca="false">D24/C24*100</f>
        <v>104.16639692536</v>
      </c>
      <c r="N24" s="17" t="n">
        <f aca="false">H24/G24*100</f>
        <v>107.630864557799</v>
      </c>
    </row>
    <row r="25" customFormat="false" ht="15" hidden="false" customHeight="false" outlineLevel="0" collapsed="false">
      <c r="A25" s="12" t="n">
        <v>1994</v>
      </c>
      <c r="B25" s="23" t="n">
        <v>39458489</v>
      </c>
      <c r="C25" s="23" t="n">
        <v>19328299</v>
      </c>
      <c r="D25" s="19" t="n">
        <f aca="false">B25-C25</f>
        <v>20130190</v>
      </c>
      <c r="E25" s="18" t="n">
        <f aca="false">(B25/B24-1)*100</f>
        <v>0.49524967302137</v>
      </c>
      <c r="F25" s="23" t="n">
        <v>5074384</v>
      </c>
      <c r="G25" s="23" t="n">
        <v>2443400</v>
      </c>
      <c r="H25" s="19" t="n">
        <f aca="false">F25-G25</f>
        <v>2630984</v>
      </c>
      <c r="I25" s="18" t="n">
        <f aca="false">(F25/F24-1)*100</f>
        <v>0.874704769000689</v>
      </c>
      <c r="J25" s="18" t="n">
        <f aca="false">F25/B25*100</f>
        <v>12.8600565520895</v>
      </c>
      <c r="K25" s="17" t="n">
        <f aca="false">B25/B$2*100</f>
        <v>115.915819096479</v>
      </c>
      <c r="L25" s="17" t="n">
        <f aca="false">F25/F$2*100</f>
        <v>134.9096593749</v>
      </c>
      <c r="M25" s="17" t="n">
        <f aca="false">D25/C25*100</f>
        <v>104.1487924002</v>
      </c>
      <c r="N25" s="17" t="n">
        <f aca="false">H25/G25*100</f>
        <v>107.677171154948</v>
      </c>
    </row>
    <row r="26" customFormat="false" ht="15" hidden="false" customHeight="false" outlineLevel="0" collapsed="false">
      <c r="A26" s="12" t="n">
        <v>1995</v>
      </c>
      <c r="B26" s="23" t="n">
        <v>39639726</v>
      </c>
      <c r="C26" s="23" t="n">
        <v>19417999</v>
      </c>
      <c r="D26" s="19" t="n">
        <f aca="false">B26-C26</f>
        <v>20221727</v>
      </c>
      <c r="E26" s="18" t="n">
        <f aca="false">(B26/B25-1)*100</f>
        <v>0.45931054278332</v>
      </c>
      <c r="F26" s="23" t="n">
        <v>5116658</v>
      </c>
      <c r="G26" s="23" t="n">
        <v>2463498</v>
      </c>
      <c r="H26" s="19" t="n">
        <f aca="false">F26-G26</f>
        <v>2653160</v>
      </c>
      <c r="I26" s="18" t="n">
        <f aca="false">(F26/F25-1)*100</f>
        <v>0.833086341120426</v>
      </c>
      <c r="J26" s="18" t="n">
        <f aca="false">F26/B26*100</f>
        <v>12.9079045601879</v>
      </c>
      <c r="K26" s="17" t="n">
        <f aca="false">B26/B$2*100</f>
        <v>116.448232674343</v>
      </c>
      <c r="L26" s="17" t="n">
        <f aca="false">F26/F$2*100</f>
        <v>136.033573320005</v>
      </c>
      <c r="M26" s="17" t="n">
        <f aca="false">D26/C26*100</f>
        <v>104.139087657796</v>
      </c>
      <c r="N26" s="17" t="n">
        <f aca="false">H26/G26*100</f>
        <v>107.698889952417</v>
      </c>
    </row>
    <row r="27" customFormat="false" ht="15" hidden="false" customHeight="false" outlineLevel="0" collapsed="false">
      <c r="A27" s="12" t="n">
        <v>1996</v>
      </c>
      <c r="B27" s="23" t="n">
        <v>39808374</v>
      </c>
      <c r="C27" s="23" t="n">
        <v>19500458</v>
      </c>
      <c r="D27" s="19" t="n">
        <f aca="false">B27-C27</f>
        <v>20307916</v>
      </c>
      <c r="E27" s="18" t="n">
        <f aca="false">(B27/B26-1)*100</f>
        <v>0.425451982185754</v>
      </c>
      <c r="F27" s="23" t="n">
        <v>5157603</v>
      </c>
      <c r="G27" s="23" t="n">
        <v>2482638</v>
      </c>
      <c r="H27" s="19" t="n">
        <f aca="false">F27-G27</f>
        <v>2674965</v>
      </c>
      <c r="I27" s="18" t="n">
        <f aca="false">(F27/F26-1)*100</f>
        <v>0.800229368466687</v>
      </c>
      <c r="J27" s="18" t="n">
        <f aca="false">F27/B27*100</f>
        <v>12.9560755232052</v>
      </c>
      <c r="K27" s="17" t="n">
        <f aca="false">B27/B$2*100</f>
        <v>116.943663988476</v>
      </c>
      <c r="L27" s="17" t="n">
        <f aca="false">F27/F$2*100</f>
        <v>137.122153924686</v>
      </c>
      <c r="M27" s="17" t="n">
        <f aca="false">D27/C27*100</f>
        <v>104.140713002741</v>
      </c>
      <c r="N27" s="17" t="n">
        <f aca="false">H27/G27*100</f>
        <v>107.746880535946</v>
      </c>
    </row>
    <row r="28" customFormat="false" ht="15" hidden="false" customHeight="false" outlineLevel="0" collapsed="false">
      <c r="A28" s="12" t="n">
        <v>1997</v>
      </c>
      <c r="B28" s="23" t="n">
        <v>39971329</v>
      </c>
      <c r="C28" s="23" t="n">
        <v>19579778</v>
      </c>
      <c r="D28" s="19" t="n">
        <f aca="false">B28-C28</f>
        <v>20391551</v>
      </c>
      <c r="E28" s="18" t="n">
        <f aca="false">(B28/B27-1)*100</f>
        <v>0.409348545610033</v>
      </c>
      <c r="F28" s="23" t="n">
        <v>5198753</v>
      </c>
      <c r="G28" s="23" t="n">
        <v>2501870</v>
      </c>
      <c r="H28" s="19" t="n">
        <f aca="false">F28-G28</f>
        <v>2696883</v>
      </c>
      <c r="I28" s="18" t="n">
        <f aca="false">(F28/F27-1)*100</f>
        <v>0.797851249892645</v>
      </c>
      <c r="J28" s="18" t="n">
        <f aca="false">F28/B28*100</f>
        <v>13.0062050226051</v>
      </c>
      <c r="K28" s="17" t="n">
        <f aca="false">B28/B$2*100</f>
        <v>117.422371176196</v>
      </c>
      <c r="L28" s="17" t="n">
        <f aca="false">F28/F$2*100</f>
        <v>138.216184743654</v>
      </c>
      <c r="M28" s="17" t="n">
        <f aca="false">D28/C28*100</f>
        <v>104.145976527415</v>
      </c>
      <c r="N28" s="17" t="n">
        <f aca="false">H28/G28*100</f>
        <v>107.7946895722</v>
      </c>
    </row>
    <row r="29" customFormat="false" ht="15" hidden="false" customHeight="false" outlineLevel="0" collapsed="false">
      <c r="A29" s="12" t="n">
        <v>1998</v>
      </c>
      <c r="B29" s="23" t="n">
        <v>40143449</v>
      </c>
      <c r="C29" s="23" t="n">
        <v>19664565</v>
      </c>
      <c r="D29" s="19" t="n">
        <f aca="false">B29-C29</f>
        <v>20478884</v>
      </c>
      <c r="E29" s="18" t="n">
        <f aca="false">(B29/B28-1)*100</f>
        <v>0.430608649514763</v>
      </c>
      <c r="F29" s="23" t="n">
        <v>5242444</v>
      </c>
      <c r="G29" s="23" t="n">
        <v>2522701</v>
      </c>
      <c r="H29" s="19" t="n">
        <f aca="false">F29-G29</f>
        <v>2719743</v>
      </c>
      <c r="I29" s="18" t="n">
        <f aca="false">(F29/F28-1)*100</f>
        <v>0.840413075981883</v>
      </c>
      <c r="J29" s="18" t="n">
        <f aca="false">F29/B29*100</f>
        <v>13.0592764961476</v>
      </c>
      <c r="K29" s="17" t="n">
        <f aca="false">B29/B$2*100</f>
        <v>117.928002062946</v>
      </c>
      <c r="L29" s="17" t="n">
        <f aca="false">F29/F$2*100</f>
        <v>139.377771633363</v>
      </c>
      <c r="M29" s="17" t="n">
        <f aca="false">D29/C29*100</f>
        <v>104.141047615343</v>
      </c>
      <c r="N29" s="17" t="n">
        <f aca="false">H29/G29*100</f>
        <v>107.810755218316</v>
      </c>
    </row>
    <row r="30" customFormat="false" ht="15" hidden="false" customHeight="false" outlineLevel="0" collapsed="false">
      <c r="A30" s="12" t="n">
        <v>1999</v>
      </c>
      <c r="B30" s="23" t="n">
        <v>40303568</v>
      </c>
      <c r="C30" s="23" t="n">
        <v>19744257</v>
      </c>
      <c r="D30" s="19" t="n">
        <f aca="false">B30-C30</f>
        <v>20559311</v>
      </c>
      <c r="E30" s="18" t="n">
        <f aca="false">(B30/B29-1)*100</f>
        <v>0.398867072931375</v>
      </c>
      <c r="F30" s="23" t="n">
        <v>5284618</v>
      </c>
      <c r="G30" s="23" t="n">
        <v>2542864</v>
      </c>
      <c r="H30" s="19" t="n">
        <f aca="false">F30-G30</f>
        <v>2741754</v>
      </c>
      <c r="I30" s="18" t="n">
        <f aca="false">(F30/F29-1)*100</f>
        <v>0.804472112625332</v>
      </c>
      <c r="J30" s="18" t="n">
        <f aca="false">F30/B30*100</f>
        <v>13.1120351428936</v>
      </c>
      <c r="K30" s="17" t="n">
        <f aca="false">B30/B$2*100</f>
        <v>118.398378032941</v>
      </c>
      <c r="L30" s="17" t="n">
        <f aca="false">F30/F$2*100</f>
        <v>140.499026937352</v>
      </c>
      <c r="M30" s="17" t="n">
        <f aca="false">D30/C30*100</f>
        <v>104.128056072204</v>
      </c>
      <c r="N30" s="17" t="n">
        <f aca="false">H30/G30*100</f>
        <v>107.821495762259</v>
      </c>
    </row>
    <row r="31" customFormat="false" ht="15" hidden="false" customHeight="false" outlineLevel="0" collapsed="false">
      <c r="A31" s="12" t="n">
        <v>2000</v>
      </c>
      <c r="B31" s="23" t="n">
        <v>40470182</v>
      </c>
      <c r="C31" s="23" t="n">
        <v>19826339</v>
      </c>
      <c r="D31" s="19" t="n">
        <f aca="false">B31-C31</f>
        <v>20643843</v>
      </c>
      <c r="E31" s="18" t="n">
        <f aca="false">(B31/B30-1)*100</f>
        <v>0.413397642610702</v>
      </c>
      <c r="F31" s="23" t="n">
        <v>5329606</v>
      </c>
      <c r="G31" s="23" t="n">
        <v>2564706</v>
      </c>
      <c r="H31" s="19" t="n">
        <f aca="false">F31-G31</f>
        <v>2764900</v>
      </c>
      <c r="I31" s="18" t="n">
        <f aca="false">(F31/F30-1)*100</f>
        <v>0.851300888730266</v>
      </c>
      <c r="J31" s="18" t="n">
        <f aca="false">F31/B31*100</f>
        <v>13.169216782865</v>
      </c>
      <c r="K31" s="17" t="n">
        <f aca="false">B31/B$2*100</f>
        <v>118.887834136618</v>
      </c>
      <c r="L31" s="17" t="n">
        <f aca="false">F31/F$2*100</f>
        <v>141.695096402327</v>
      </c>
      <c r="M31" s="17" t="n">
        <f aca="false">D31/C31*100</f>
        <v>104.123323019948</v>
      </c>
      <c r="N31" s="17" t="n">
        <f aca="false">H31/G31*100</f>
        <v>107.805728999737</v>
      </c>
    </row>
    <row r="32" customFormat="false" ht="15" hidden="false" customHeight="false" outlineLevel="0" collapsed="false">
      <c r="A32" s="12" t="n">
        <v>2001</v>
      </c>
      <c r="B32" s="23" t="n">
        <v>40665545</v>
      </c>
      <c r="C32" s="23" t="n">
        <v>19923892</v>
      </c>
      <c r="D32" s="19" t="n">
        <f aca="false">B32-C32</f>
        <v>20741653</v>
      </c>
      <c r="E32" s="18" t="n">
        <f aca="false">(B32/B31-1)*100</f>
        <v>0.482733188597972</v>
      </c>
      <c r="F32" s="23" t="n">
        <v>5379087</v>
      </c>
      <c r="G32" s="23" t="n">
        <v>2588683</v>
      </c>
      <c r="H32" s="19" t="n">
        <f aca="false">F32-G32</f>
        <v>2790404</v>
      </c>
      <c r="I32" s="18" t="n">
        <f aca="false">(F32/F31-1)*100</f>
        <v>0.928417597848696</v>
      </c>
      <c r="J32" s="18" t="n">
        <f aca="false">F32/B32*100</f>
        <v>13.2276279587548</v>
      </c>
      <c r="K32" s="17" t="n">
        <f aca="false">B32/B$2*100</f>
        <v>119.461745169201</v>
      </c>
      <c r="L32" s="17" t="n">
        <f aca="false">F32/F$2*100</f>
        <v>143.010618612615</v>
      </c>
      <c r="M32" s="17" t="n">
        <f aca="false">D32/C32*100</f>
        <v>104.104423974994</v>
      </c>
      <c r="N32" s="17" t="n">
        <f aca="false">H32/G32*100</f>
        <v>107.792417997878</v>
      </c>
    </row>
    <row r="33" customFormat="false" ht="15" hidden="false" customHeight="false" outlineLevel="0" collapsed="false">
      <c r="A33" s="12" t="n">
        <v>2002</v>
      </c>
      <c r="B33" s="23" t="n">
        <v>41035271</v>
      </c>
      <c r="C33" s="23" t="n">
        <v>20115522</v>
      </c>
      <c r="D33" s="19" t="n">
        <f aca="false">B33-C33</f>
        <v>20919749</v>
      </c>
      <c r="E33" s="18" t="n">
        <f aca="false">(B33/B32-1)*100</f>
        <v>0.909187372258269</v>
      </c>
      <c r="F33" s="23" t="n">
        <v>5478405</v>
      </c>
      <c r="G33" s="23" t="n">
        <v>2637531</v>
      </c>
      <c r="H33" s="19" t="n">
        <f aca="false">F33-G33</f>
        <v>2840874</v>
      </c>
      <c r="I33" s="18" t="n">
        <f aca="false">(F33/F32-1)*100</f>
        <v>1.84637281382509</v>
      </c>
      <c r="J33" s="18" t="n">
        <f aca="false">F33/B33*100</f>
        <v>13.3504784213561</v>
      </c>
      <c r="K33" s="17" t="n">
        <f aca="false">B33/B$2*100</f>
        <v>120.547876270959</v>
      </c>
      <c r="L33" s="17" t="n">
        <f aca="false">F33/F$2*100</f>
        <v>145.651127795561</v>
      </c>
      <c r="M33" s="17" t="n">
        <f aca="false">D33/C33*100</f>
        <v>103.998041910123</v>
      </c>
      <c r="N33" s="17" t="n">
        <f aca="false">H33/G33*100</f>
        <v>107.709596588628</v>
      </c>
    </row>
    <row r="34" customFormat="false" ht="15" hidden="false" customHeight="false" outlineLevel="0" collapsed="false">
      <c r="A34" s="12" t="n">
        <v>2003</v>
      </c>
      <c r="B34" s="23" t="n">
        <v>41827836</v>
      </c>
      <c r="C34" s="23" t="n">
        <v>20542468</v>
      </c>
      <c r="D34" s="19" t="n">
        <f aca="false">B34-C34</f>
        <v>21285368</v>
      </c>
      <c r="E34" s="18" t="n">
        <f aca="false">(B34/B33-1)*100</f>
        <v>1.93142382317884</v>
      </c>
      <c r="F34" s="23" t="n">
        <v>5638827</v>
      </c>
      <c r="G34" s="23" t="n">
        <v>2719422</v>
      </c>
      <c r="H34" s="19" t="n">
        <f aca="false">F34-G34</f>
        <v>2919405</v>
      </c>
      <c r="I34" s="18" t="n">
        <f aca="false">(F34/F33-1)*100</f>
        <v>2.92826105408417</v>
      </c>
      <c r="J34" s="18" t="n">
        <f aca="false">F34/B34*100</f>
        <v>13.4810392772889</v>
      </c>
      <c r="K34" s="17" t="n">
        <f aca="false">B34/B$2*100</f>
        <v>122.876166671592</v>
      </c>
      <c r="L34" s="17" t="n">
        <f aca="false">F34/F$2*100</f>
        <v>149.916173045633</v>
      </c>
      <c r="M34" s="17" t="n">
        <f aca="false">D34/C34*100</f>
        <v>103.616410647445</v>
      </c>
      <c r="N34" s="17" t="n">
        <f aca="false">H34/G34*100</f>
        <v>107.353878875732</v>
      </c>
    </row>
    <row r="35" customFormat="false" ht="15" hidden="false" customHeight="false" outlineLevel="0" collapsed="false">
      <c r="A35" s="12" t="n">
        <v>2004</v>
      </c>
      <c r="B35" s="23" t="n">
        <v>42547454</v>
      </c>
      <c r="C35" s="23" t="n">
        <v>20924581</v>
      </c>
      <c r="D35" s="19" t="n">
        <f aca="false">B35-C35</f>
        <v>21622873</v>
      </c>
      <c r="E35" s="18" t="n">
        <f aca="false">(B35/B34-1)*100</f>
        <v>1.72042847256071</v>
      </c>
      <c r="F35" s="23" t="n">
        <v>5766566</v>
      </c>
      <c r="G35" s="23" t="n">
        <v>2784940</v>
      </c>
      <c r="H35" s="19" t="n">
        <f aca="false">F35-G35</f>
        <v>2981626</v>
      </c>
      <c r="I35" s="18" t="n">
        <f aca="false">(F35/F34-1)*100</f>
        <v>2.26534703050829</v>
      </c>
      <c r="J35" s="18" t="n">
        <f aca="false">F35/B35*100</f>
        <v>13.5532574992619</v>
      </c>
      <c r="K35" s="17" t="n">
        <f aca="false">B35/B$2*100</f>
        <v>124.990163229001</v>
      </c>
      <c r="L35" s="17" t="n">
        <f aca="false">F35/F$2*100</f>
        <v>153.312294619974</v>
      </c>
      <c r="M35" s="17" t="n">
        <f aca="false">D35/C35*100</f>
        <v>103.337185103014</v>
      </c>
      <c r="N35" s="17" t="n">
        <f aca="false">H35/G35*100</f>
        <v>107.062486085876</v>
      </c>
    </row>
    <row r="36" customFormat="false" ht="15" hidden="false" customHeight="false" outlineLevel="0" collapsed="false">
      <c r="A36" s="12" t="n">
        <v>2005</v>
      </c>
      <c r="B36" s="23" t="n">
        <v>43296335</v>
      </c>
      <c r="C36" s="23" t="n">
        <v>21335283</v>
      </c>
      <c r="D36" s="19" t="n">
        <f aca="false">B36-C36</f>
        <v>21961052</v>
      </c>
      <c r="E36" s="18" t="n">
        <f aca="false">(B36/B35-1)*100</f>
        <v>1.76010766707686</v>
      </c>
      <c r="F36" s="23" t="n">
        <v>5866186</v>
      </c>
      <c r="G36" s="23" t="n">
        <v>2837647</v>
      </c>
      <c r="H36" s="19" t="n">
        <f aca="false">F36-G36</f>
        <v>3028539</v>
      </c>
      <c r="I36" s="18" t="n">
        <f aca="false">(F36/F35-1)*100</f>
        <v>1.72754460800415</v>
      </c>
      <c r="J36" s="18" t="n">
        <f aca="false">F36/B36*100</f>
        <v>13.5489204802208</v>
      </c>
      <c r="K36" s="17" t="n">
        <f aca="false">B36/B$2*100</f>
        <v>127.190124675087</v>
      </c>
      <c r="L36" s="17" t="n">
        <f aca="false">F36/F$2*100</f>
        <v>155.960832899089</v>
      </c>
      <c r="M36" s="17" t="n">
        <f aca="false">D36/C36*100</f>
        <v>102.933024136591</v>
      </c>
      <c r="N36" s="17" t="n">
        <f aca="false">H36/G36*100</f>
        <v>106.727122859186</v>
      </c>
    </row>
    <row r="37" customFormat="false" ht="15" hidden="false" customHeight="false" outlineLevel="0" collapsed="false">
      <c r="A37" s="12" t="n">
        <v>2006</v>
      </c>
      <c r="B37" s="23" t="n">
        <v>44009969</v>
      </c>
      <c r="C37" s="23" t="n">
        <v>21719317</v>
      </c>
      <c r="D37" s="19" t="n">
        <f aca="false">B37-C37</f>
        <v>22290652</v>
      </c>
      <c r="E37" s="18" t="n">
        <f aca="false">(B37/B36-1)*100</f>
        <v>1.64825498509285</v>
      </c>
      <c r="F37" s="23" t="n">
        <v>5953604</v>
      </c>
      <c r="G37" s="23" t="n">
        <v>2881077</v>
      </c>
      <c r="H37" s="19" t="n">
        <f aca="false">F37-G37</f>
        <v>3072527</v>
      </c>
      <c r="I37" s="18" t="n">
        <f aca="false">(F37/F36-1)*100</f>
        <v>1.4902016403844</v>
      </c>
      <c r="J37" s="18" t="n">
        <f aca="false">F37/B37*100</f>
        <v>13.5278532007146</v>
      </c>
      <c r="K37" s="17" t="n">
        <f aca="false">B37/B$2*100</f>
        <v>129.28654224559</v>
      </c>
      <c r="L37" s="17" t="n">
        <f aca="false">F37/F$2*100</f>
        <v>158.284963789308</v>
      </c>
      <c r="M37" s="17" t="n">
        <f aca="false">D37/C37*100</f>
        <v>102.630538520157</v>
      </c>
      <c r="N37" s="17" t="n">
        <f aca="false">H37/G37*100</f>
        <v>106.645084459735</v>
      </c>
    </row>
    <row r="38" customFormat="false" ht="15" hidden="false" customHeight="false" outlineLevel="0" collapsed="false">
      <c r="A38" s="12" t="n">
        <v>2007</v>
      </c>
      <c r="B38" s="23" t="n">
        <v>44784659</v>
      </c>
      <c r="C38" s="23" t="n">
        <v>22118970</v>
      </c>
      <c r="D38" s="19" t="n">
        <f aca="false">B38-C38</f>
        <v>22665689</v>
      </c>
      <c r="E38" s="18" t="n">
        <f aca="false">(B38/B37-1)*100</f>
        <v>1.76026027193974</v>
      </c>
      <c r="F38" s="23" t="n">
        <v>6074984</v>
      </c>
      <c r="G38" s="23" t="n">
        <v>2941755</v>
      </c>
      <c r="H38" s="19" t="n">
        <f aca="false">F38-G38</f>
        <v>3133229</v>
      </c>
      <c r="I38" s="18" t="n">
        <f aca="false">(F38/F37-1)*100</f>
        <v>2.03876509085925</v>
      </c>
      <c r="J38" s="18" t="n">
        <f aca="false">F38/B38*100</f>
        <v>13.5648772049375</v>
      </c>
      <c r="K38" s="17" t="n">
        <f aca="false">B38/B$2*100</f>
        <v>131.562321885704</v>
      </c>
      <c r="L38" s="17" t="n">
        <f aca="false">F38/F$2*100</f>
        <v>161.512022375124</v>
      </c>
      <c r="M38" s="17" t="n">
        <f aca="false">D38/C38*100</f>
        <v>102.471719976111</v>
      </c>
      <c r="N38" s="17" t="n">
        <f aca="false">H38/G38*100</f>
        <v>106.508835712015</v>
      </c>
    </row>
    <row r="39" customFormat="false" ht="15" hidden="false" customHeight="false" outlineLevel="0" collapsed="false">
      <c r="A39" s="12" t="n">
        <v>2008</v>
      </c>
      <c r="B39" s="23" t="n">
        <v>45668938</v>
      </c>
      <c r="C39" s="23" t="n">
        <v>22591484</v>
      </c>
      <c r="D39" s="19" t="n">
        <f aca="false">B39-C39</f>
        <v>23077454</v>
      </c>
      <c r="E39" s="18" t="n">
        <f aca="false">(B39/B38-1)*100</f>
        <v>1.97451319211786</v>
      </c>
      <c r="F39" s="23" t="n">
        <v>6226195</v>
      </c>
      <c r="G39" s="23" t="n">
        <v>3018293</v>
      </c>
      <c r="H39" s="19" t="n">
        <f aca="false">F39-G39</f>
        <v>3207902</v>
      </c>
      <c r="I39" s="18" t="n">
        <f aca="false">(F39/F38-1)*100</f>
        <v>2.48907651444019</v>
      </c>
      <c r="J39" s="18" t="n">
        <f aca="false">F39/B39*100</f>
        <v>13.6333255658365</v>
      </c>
      <c r="K39" s="17" t="n">
        <f aca="false">B39/B$2*100</f>
        <v>134.160037287193</v>
      </c>
      <c r="L39" s="17" t="n">
        <f aca="false">F39/F$2*100</f>
        <v>165.53218019206</v>
      </c>
      <c r="M39" s="17" t="n">
        <f aca="false">D39/C39*100</f>
        <v>102.151120307103</v>
      </c>
      <c r="N39" s="17" t="n">
        <f aca="false">H39/G39*100</f>
        <v>106.281994491588</v>
      </c>
    </row>
    <row r="40" customFormat="false" ht="15" hidden="false" customHeight="false" outlineLevel="0" collapsed="false">
      <c r="A40" s="12" t="n">
        <v>2009</v>
      </c>
      <c r="B40" s="23" t="n">
        <v>46239271</v>
      </c>
      <c r="C40" s="23" t="n">
        <v>22880534</v>
      </c>
      <c r="D40" s="19" t="n">
        <f aca="false">B40-C40</f>
        <v>23358737</v>
      </c>
      <c r="E40" s="18" t="n">
        <f aca="false">(B40/B39-1)*100</f>
        <v>1.2488422656117</v>
      </c>
      <c r="F40" s="23" t="n">
        <v>6327594</v>
      </c>
      <c r="G40" s="23" t="n">
        <v>3066114</v>
      </c>
      <c r="H40" s="19" t="n">
        <f aca="false">F40-G40</f>
        <v>3261480</v>
      </c>
      <c r="I40" s="18" t="n">
        <f aca="false">(F40/F39-1)*100</f>
        <v>1.62858696202095</v>
      </c>
      <c r="J40" s="18" t="n">
        <f aca="false">F40/B40*100</f>
        <v>13.684458822891</v>
      </c>
      <c r="K40" s="17" t="n">
        <f aca="false">B40/B$2*100</f>
        <v>135.835484536396</v>
      </c>
      <c r="L40" s="17" t="n">
        <f aca="false">F40/F$2*100</f>
        <v>168.228015696617</v>
      </c>
      <c r="M40" s="17" t="n">
        <f aca="false">D40/C40*100</f>
        <v>102.089999298093</v>
      </c>
      <c r="N40" s="17" t="n">
        <f aca="false">H40/G40*100</f>
        <v>106.371778740125</v>
      </c>
    </row>
    <row r="41" customFormat="false" ht="15" hidden="false" customHeight="false" outlineLevel="0" collapsed="false">
      <c r="A41" s="12" t="n">
        <v>2010</v>
      </c>
      <c r="B41" s="23" t="n">
        <v>46486621</v>
      </c>
      <c r="C41" s="23" t="n">
        <v>22982272</v>
      </c>
      <c r="D41" s="19" t="n">
        <f aca="false">B41-C41</f>
        <v>23504349</v>
      </c>
      <c r="E41" s="18" t="n">
        <f aca="false">(B41/B40-1)*100</f>
        <v>0.534934904142403</v>
      </c>
      <c r="F41" s="23" t="n">
        <v>6373532</v>
      </c>
      <c r="G41" s="23" t="n">
        <v>3082941</v>
      </c>
      <c r="H41" s="19" t="n">
        <f aca="false">F41-G41</f>
        <v>3290591</v>
      </c>
      <c r="I41" s="18" t="n">
        <f aca="false">(F41/F40-1)*100</f>
        <v>0.725994746186309</v>
      </c>
      <c r="J41" s="18" t="n">
        <f aca="false">F41/B41*100</f>
        <v>13.710465211055</v>
      </c>
      <c r="K41" s="17" t="n">
        <f aca="false">B41/B$2*100</f>
        <v>136.562115955392</v>
      </c>
      <c r="L41" s="17" t="n">
        <f aca="false">F41/F$2*100</f>
        <v>169.449342252188</v>
      </c>
      <c r="M41" s="17" t="n">
        <f aca="false">D41/C41*100</f>
        <v>102.271650949045</v>
      </c>
      <c r="N41" s="17" t="n">
        <f aca="false">H41/G41*100</f>
        <v>106.735451635305</v>
      </c>
    </row>
    <row r="42" customFormat="false" ht="15" hidden="false" customHeight="false" outlineLevel="0" collapsed="false">
      <c r="A42" s="12" t="n">
        <v>2011</v>
      </c>
      <c r="B42" s="23" t="n">
        <v>46667175</v>
      </c>
      <c r="C42" s="23" t="n">
        <v>23049476</v>
      </c>
      <c r="D42" s="19" t="n">
        <f aca="false">B42-C42</f>
        <v>23617699</v>
      </c>
      <c r="E42" s="18" t="n">
        <f aca="false">(B42/B41-1)*100</f>
        <v>0.388399922635796</v>
      </c>
      <c r="F42" s="23" t="n">
        <v>6394239</v>
      </c>
      <c r="G42" s="23" t="n">
        <v>3087772</v>
      </c>
      <c r="H42" s="19" t="n">
        <f aca="false">F42-G42</f>
        <v>3306467</v>
      </c>
      <c r="I42" s="18" t="n">
        <f aca="false">(F42/F41-1)*100</f>
        <v>0.324890500275199</v>
      </c>
      <c r="J42" s="18" t="n">
        <f aca="false">F42/B42*100</f>
        <v>13.7017914626287</v>
      </c>
      <c r="K42" s="17" t="n">
        <f aca="false">B42/B$2*100</f>
        <v>137.092523108113</v>
      </c>
      <c r="L42" s="17" t="n">
        <f aca="false">F42/F$2*100</f>
        <v>169.999867067944</v>
      </c>
      <c r="M42" s="17" t="n">
        <f aca="false">D42/C42*100</f>
        <v>102.465231747568</v>
      </c>
      <c r="N42" s="17" t="n">
        <f aca="false">H42/G42*100</f>
        <v>107.082614908096</v>
      </c>
    </row>
    <row r="43" customFormat="false" ht="15" hidden="false" customHeight="false" outlineLevel="0" collapsed="false">
      <c r="A43" s="12" t="n">
        <v>2012</v>
      </c>
      <c r="B43" s="23" t="n">
        <v>46818216</v>
      </c>
      <c r="C43" s="23" t="n">
        <v>23099009</v>
      </c>
      <c r="D43" s="19" t="n">
        <f aca="false">B43-C43</f>
        <v>23719207</v>
      </c>
      <c r="E43" s="18" t="n">
        <f aca="false">(B43/B42-1)*100</f>
        <v>0.323655760178321</v>
      </c>
      <c r="F43" s="23" t="n">
        <v>6425573</v>
      </c>
      <c r="G43" s="23" t="n">
        <v>3097459</v>
      </c>
      <c r="H43" s="19" t="n">
        <f aca="false">F43-G43</f>
        <v>3328114</v>
      </c>
      <c r="I43" s="18" t="n">
        <f aca="false">(F43/F42-1)*100</f>
        <v>0.490034857940103</v>
      </c>
      <c r="J43" s="18" t="n">
        <f aca="false">F43/B43*100</f>
        <v>13.7245148341406</v>
      </c>
      <c r="K43" s="17" t="n">
        <f aca="false">B43/B$2*100</f>
        <v>137.536230955926</v>
      </c>
      <c r="L43" s="17" t="n">
        <f aca="false">F43/F$2*100</f>
        <v>170.832925675029</v>
      </c>
      <c r="M43" s="17" t="n">
        <f aca="false">D43/C43*100</f>
        <v>102.684955012572</v>
      </c>
      <c r="N43" s="17" t="n">
        <f aca="false">H43/G43*100</f>
        <v>107.446587670733</v>
      </c>
    </row>
    <row r="44" customFormat="false" ht="15" hidden="false" customHeight="false" outlineLevel="0" collapsed="false">
      <c r="A44" s="12" t="n">
        <v>2013</v>
      </c>
      <c r="B44" s="23" t="n">
        <v>46712650</v>
      </c>
      <c r="C44" s="23" t="n">
        <v>23013226</v>
      </c>
      <c r="D44" s="19" t="n">
        <f aca="false">B44-C44</f>
        <v>23699424</v>
      </c>
      <c r="E44" s="18" t="n">
        <f aca="false">(B44/B43-1)*100</f>
        <v>-0.22548061207629</v>
      </c>
      <c r="F44" s="23" t="n">
        <v>6411525</v>
      </c>
      <c r="G44" s="23" t="n">
        <v>3085179</v>
      </c>
      <c r="H44" s="19" t="n">
        <f aca="false">F44-G44</f>
        <v>3326346</v>
      </c>
      <c r="I44" s="18" t="n">
        <f aca="false">(F44/F43-1)*100</f>
        <v>-0.218626416663537</v>
      </c>
      <c r="J44" s="18" t="n">
        <f aca="false">F44/B44*100</f>
        <v>13.7254576651078</v>
      </c>
      <c r="K44" s="17" t="n">
        <f aca="false">B44/B$2*100</f>
        <v>137.22611342054</v>
      </c>
      <c r="L44" s="17" t="n">
        <f aca="false">F44/F$2*100</f>
        <v>170.459439771144</v>
      </c>
      <c r="M44" s="17" t="n">
        <f aca="false">D44/C44*100</f>
        <v>102.981754926493</v>
      </c>
      <c r="N44" s="17" t="n">
        <f aca="false">H44/G44*100</f>
        <v>107.816953246473</v>
      </c>
    </row>
    <row r="45" customFormat="false" ht="15" hidden="false" customHeight="false" outlineLevel="0" collapsed="false">
      <c r="A45" s="12" t="n">
        <v>2014</v>
      </c>
      <c r="B45" s="23" t="n">
        <v>46495744</v>
      </c>
      <c r="C45" s="23" t="n">
        <v>22874710</v>
      </c>
      <c r="D45" s="19" t="n">
        <f aca="false">B45-C45</f>
        <v>23621034</v>
      </c>
      <c r="E45" s="18" t="n">
        <f aca="false">(B45/B44-1)*100</f>
        <v>-0.464341029678261</v>
      </c>
      <c r="F45" s="23" t="n">
        <v>6372553</v>
      </c>
      <c r="G45" s="23" t="n">
        <v>3062785</v>
      </c>
      <c r="H45" s="19" t="n">
        <f aca="false">F45-G45</f>
        <v>3309768</v>
      </c>
      <c r="I45" s="18" t="n">
        <f aca="false">(F45/F44-1)*100</f>
        <v>-0.607842907888534</v>
      </c>
      <c r="J45" s="18" t="n">
        <f aca="false">F45/B45*100</f>
        <v>13.7056694909538</v>
      </c>
      <c r="K45" s="17" t="n">
        <f aca="false">B45/B$2*100</f>
        <v>136.588916272496</v>
      </c>
      <c r="L45" s="17" t="n">
        <f aca="false">F45/F$2*100</f>
        <v>169.423314155669</v>
      </c>
      <c r="M45" s="17" t="n">
        <f aca="false">D45/C45*100</f>
        <v>103.262659941918</v>
      </c>
      <c r="N45" s="17" t="n">
        <f aca="false">H45/G45*100</f>
        <v>108.06400057464</v>
      </c>
    </row>
    <row r="46" customFormat="false" ht="15" hidden="false" customHeight="false" outlineLevel="0" collapsed="false">
      <c r="A46" s="12" t="n">
        <v>2015</v>
      </c>
      <c r="B46" s="23" t="n">
        <v>46425722</v>
      </c>
      <c r="C46" s="23" t="n">
        <v>22822721</v>
      </c>
      <c r="D46" s="19" t="n">
        <f aca="false">B46-C46</f>
        <v>23603001</v>
      </c>
      <c r="E46" s="18" t="n">
        <f aca="false">(B46/B45-1)*100</f>
        <v>-0.150598730068718</v>
      </c>
      <c r="F46" s="23" t="n">
        <v>6375737</v>
      </c>
      <c r="G46" s="23" t="n">
        <v>3062065</v>
      </c>
      <c r="H46" s="19" t="n">
        <f aca="false">F46-G46</f>
        <v>3313672</v>
      </c>
      <c r="I46" s="18" t="n">
        <f aca="false">(F46/F45-1)*100</f>
        <v>0.0499642764838493</v>
      </c>
      <c r="J46" s="18" t="n">
        <f aca="false">F46/B46*100</f>
        <v>13.7331994535271</v>
      </c>
      <c r="K46" s="17" t="n">
        <f aca="false">B46/B$2*100</f>
        <v>136.383215099175</v>
      </c>
      <c r="L46" s="17" t="n">
        <f aca="false">F46/F$2*100</f>
        <v>169.507965288782</v>
      </c>
      <c r="M46" s="17" t="n">
        <f aca="false">D46/C46*100</f>
        <v>103.418873674178</v>
      </c>
      <c r="N46" s="17" t="n">
        <f aca="false">H46/G46*100</f>
        <v>108.216905911534</v>
      </c>
    </row>
    <row r="47" customFormat="false" ht="15" hidden="false" customHeight="false" outlineLevel="0" collapsed="false">
      <c r="A47" s="12" t="n">
        <v>2016</v>
      </c>
      <c r="B47" s="23" t="n">
        <v>46418884</v>
      </c>
      <c r="C47" s="23" t="n">
        <v>22806445</v>
      </c>
      <c r="D47" s="19" t="n">
        <f aca="false">B47-C47</f>
        <v>23612439</v>
      </c>
      <c r="E47" s="18" t="n">
        <f aca="false">(B47/B46-1)*100</f>
        <v>-0.0147289039468257</v>
      </c>
      <c r="F47" s="23" t="n">
        <v>6411466</v>
      </c>
      <c r="G47" s="23" t="n">
        <v>3078169</v>
      </c>
      <c r="H47" s="19" t="n">
        <f aca="false">F47-G47</f>
        <v>3333297</v>
      </c>
      <c r="I47" s="18" t="n">
        <f aca="false">(F47/F46-1)*100</f>
        <v>0.560390116468112</v>
      </c>
      <c r="J47" s="18" t="n">
        <f aca="false">F47/B47*100</f>
        <v>13.8121933306281</v>
      </c>
      <c r="K47" s="17" t="n">
        <f aca="false">B47/B$2*100</f>
        <v>136.363127346423</v>
      </c>
      <c r="L47" s="17" t="n">
        <f aca="false">F47/F$2*100</f>
        <v>170.457871172886</v>
      </c>
      <c r="M47" s="17" t="n">
        <f aca="false">D47/C47*100</f>
        <v>103.534062410867</v>
      </c>
      <c r="N47" s="17" t="n">
        <f aca="false">H47/G47*100</f>
        <v>108.28830385856</v>
      </c>
    </row>
    <row r="48" customFormat="false" ht="15" hidden="false" customHeight="false" outlineLevel="0" collapsed="false">
      <c r="A48" s="12" t="n">
        <v>2017</v>
      </c>
      <c r="B48" s="23" t="n">
        <v>46497393</v>
      </c>
      <c r="C48" s="23" t="n">
        <v>22831107</v>
      </c>
      <c r="D48" s="19" t="n">
        <f aca="false">B48-C48</f>
        <v>23666286</v>
      </c>
      <c r="E48" s="18" t="n">
        <f aca="false">(B48/B47-1)*100</f>
        <v>0.169131597390404</v>
      </c>
      <c r="F48" s="23" t="n">
        <v>6459297</v>
      </c>
      <c r="G48" s="23" t="n">
        <v>3099759</v>
      </c>
      <c r="H48" s="19" t="n">
        <f aca="false">F48-G48</f>
        <v>3359538</v>
      </c>
      <c r="I48" s="18" t="n">
        <f aca="false">(F48/F47-1)*100</f>
        <v>0.746022828476356</v>
      </c>
      <c r="J48" s="18" t="n">
        <f aca="false">F48/B48*100</f>
        <v>13.8917401240108</v>
      </c>
      <c r="K48" s="17" t="n">
        <f aca="false">B48/B$2*100</f>
        <v>136.593760481956</v>
      </c>
      <c r="L48" s="17" t="n">
        <f aca="false">F48/F$2*100</f>
        <v>171.729525804771</v>
      </c>
      <c r="M48" s="17" t="n">
        <f aca="false">D48/C48*100</f>
        <v>103.658074923831</v>
      </c>
      <c r="N48" s="17" t="n">
        <f aca="false">H48/G48*100</f>
        <v>108.380619267498</v>
      </c>
    </row>
    <row r="49" customFormat="false" ht="15" hidden="false" customHeight="false" outlineLevel="0" collapsed="false">
      <c r="A49" s="12" t="n">
        <v>2018</v>
      </c>
      <c r="B49" s="23" t="n">
        <v>46645070</v>
      </c>
      <c r="C49" s="23" t="n">
        <v>22889600</v>
      </c>
      <c r="D49" s="19" t="n">
        <f aca="false">B49-C49</f>
        <v>23755470</v>
      </c>
      <c r="E49" s="18" t="n">
        <f aca="false">(B49/B48-1)*100</f>
        <v>0.317602752481205</v>
      </c>
      <c r="F49" s="23" t="n">
        <v>6529923</v>
      </c>
      <c r="G49" s="23" t="n">
        <v>3131714</v>
      </c>
      <c r="H49" s="19" t="n">
        <f aca="false">F49-G49</f>
        <v>3398209</v>
      </c>
      <c r="I49" s="18" t="n">
        <f aca="false">(F49/F48-1)*100</f>
        <v>1.0934007214717</v>
      </c>
      <c r="J49" s="18" t="n">
        <f aca="false">F49/B49*100</f>
        <v>13.9991707590963</v>
      </c>
      <c r="K49" s="17" t="n">
        <f aca="false">B49/B$2*100</f>
        <v>137.027586024964</v>
      </c>
      <c r="L49" s="17" t="n">
        <f aca="false">F49/F$2*100</f>
        <v>173.6072176789</v>
      </c>
      <c r="M49" s="17" t="n">
        <f aca="false">D49/C49*100</f>
        <v>103.782809660282</v>
      </c>
      <c r="N49" s="17" t="n">
        <f aca="false">H49/G49*100</f>
        <v>108.509557386147</v>
      </c>
    </row>
    <row r="50" customFormat="false" ht="15" hidden="false" customHeight="false" outlineLevel="0" collapsed="false">
      <c r="A50" s="12" t="n">
        <v>2019</v>
      </c>
      <c r="B50" s="23" t="n">
        <v>46918951</v>
      </c>
      <c r="C50" s="23" t="n">
        <v>23016783</v>
      </c>
      <c r="D50" s="19" t="n">
        <f aca="false">B50-C50</f>
        <v>23902168</v>
      </c>
      <c r="E50" s="18" t="n">
        <f aca="false">(B50/B49-1)*100</f>
        <v>0.587159586211361</v>
      </c>
      <c r="F50" s="23" t="n">
        <v>6618078</v>
      </c>
      <c r="G50" s="23" t="n">
        <v>3172045</v>
      </c>
      <c r="H50" s="19" t="n">
        <f aca="false">F50-G50</f>
        <v>3446033</v>
      </c>
      <c r="I50" s="18" t="n">
        <f aca="false">(F50/F49-1)*100</f>
        <v>1.35001591902386</v>
      </c>
      <c r="J50" s="18" t="n">
        <f aca="false">F50/B50*100</f>
        <v>14.1053409314288</v>
      </c>
      <c r="K50" s="17" t="n">
        <f aca="false">B50/B$2*100</f>
        <v>137.832156632064</v>
      </c>
      <c r="L50" s="17" t="n">
        <f aca="false">F50/F$2*100</f>
        <v>175.95094275414</v>
      </c>
      <c r="M50" s="17" t="n">
        <f aca="false">D50/C50*100</f>
        <v>103.846693084781</v>
      </c>
      <c r="N50" s="17" t="n">
        <f aca="false">H50/G50*100</f>
        <v>108.637582379821</v>
      </c>
    </row>
    <row r="51" customFormat="false" ht="15" hidden="false" customHeight="false" outlineLevel="0" collapsed="false">
      <c r="A51" s="12" t="n">
        <v>2020</v>
      </c>
      <c r="B51" s="23" t="n">
        <v>47318050</v>
      </c>
      <c r="C51" s="23" t="n">
        <v>23210668</v>
      </c>
      <c r="D51" s="19" t="n">
        <f aca="false">B51-C51</f>
        <v>24107382</v>
      </c>
      <c r="E51" s="18" t="n">
        <f aca="false">(B51/B50-1)*100</f>
        <v>0.85061364649861</v>
      </c>
      <c r="F51" s="23" t="n">
        <v>6720310</v>
      </c>
      <c r="G51" s="23" t="n">
        <v>3219909</v>
      </c>
      <c r="H51" s="19" t="n">
        <f aca="false">F51-G51</f>
        <v>3500401</v>
      </c>
      <c r="I51" s="18" t="n">
        <f aca="false">(F51/F50-1)*100</f>
        <v>1.54473851773884</v>
      </c>
      <c r="J51" s="18" t="n">
        <f aca="false">F51/B51*100</f>
        <v>14.2024238107868</v>
      </c>
      <c r="K51" s="17" t="n">
        <f aca="false">B51/B$2*100</f>
        <v>139.004575765639</v>
      </c>
      <c r="L51" s="17" t="n">
        <f aca="false">F51/F$2*100</f>
        <v>178.668924739187</v>
      </c>
      <c r="M51" s="17" t="n">
        <f aca="false">D51/C51*100</f>
        <v>103.863370067591</v>
      </c>
      <c r="N51" s="17" t="n">
        <f aca="false">H51/G51*100</f>
        <v>108.71117786248</v>
      </c>
    </row>
    <row r="52" customFormat="false" ht="15" hidden="false" customHeight="false" outlineLevel="0" collapsed="false">
      <c r="A52" s="12" t="n">
        <v>2021</v>
      </c>
      <c r="B52" s="23" t="n">
        <v>47400798</v>
      </c>
      <c r="C52" s="23" t="n">
        <v>23248611</v>
      </c>
      <c r="D52" s="19" t="n">
        <f aca="false">B52-C52</f>
        <v>24152187</v>
      </c>
      <c r="E52" s="18" t="n">
        <f aca="false">(B52/B51-1)*100</f>
        <v>0.174876183612804</v>
      </c>
      <c r="F52" s="23" t="n">
        <v>6726640</v>
      </c>
      <c r="G52" s="23" t="n">
        <v>3221401</v>
      </c>
      <c r="H52" s="19" t="n">
        <f aca="false">F52-G52</f>
        <v>3505239</v>
      </c>
      <c r="I52" s="18" t="n">
        <f aca="false">(F52/F51-1)*100</f>
        <v>0.0941920834009125</v>
      </c>
      <c r="J52" s="18" t="n">
        <f aca="false">F52/B52*100</f>
        <v>14.1909847171771</v>
      </c>
      <c r="K52" s="17" t="n">
        <f aca="false">B52/B$2*100</f>
        <v>139.247661662785</v>
      </c>
      <c r="L52" s="17" t="n">
        <f aca="false">F52/F$2*100</f>
        <v>178.837216721789</v>
      </c>
      <c r="M52" s="17" t="n">
        <f aca="false">D52/C52*100</f>
        <v>103.886580578943</v>
      </c>
      <c r="N52" s="17" t="n">
        <f aca="false">H52/G52*100</f>
        <v>108.811011109763</v>
      </c>
    </row>
    <row r="53" customFormat="false" ht="15" hidden="false" customHeight="false" outlineLevel="0" collapsed="false">
      <c r="A53" s="12" t="n">
        <v>2022</v>
      </c>
      <c r="B53" s="23" t="n">
        <v>47486727</v>
      </c>
      <c r="C53" s="23" t="n">
        <v>23288747</v>
      </c>
      <c r="D53" s="19" t="n">
        <f aca="false">B53-C53</f>
        <v>24197980</v>
      </c>
      <c r="E53" s="18" t="n">
        <f aca="false">(B53/B52-1)*100</f>
        <v>0.181281758167873</v>
      </c>
      <c r="F53" s="23" t="n">
        <v>6743254</v>
      </c>
      <c r="G53" s="23" t="n">
        <v>3229127</v>
      </c>
      <c r="H53" s="19" t="n">
        <f aca="false">F53-G53</f>
        <v>3514127</v>
      </c>
      <c r="I53" s="18" t="n">
        <f aca="false">(F53/F52-1)*100</f>
        <v>0.246988095096512</v>
      </c>
      <c r="J53" s="18" t="n">
        <f aca="false">F53/B53*100</f>
        <v>14.200292220603</v>
      </c>
      <c r="K53" s="17" t="n">
        <f aca="false">B53/B$2*100</f>
        <v>139.500092272055</v>
      </c>
      <c r="L53" s="17" t="n">
        <f aca="false">F53/F$2*100</f>
        <v>179.278923356694</v>
      </c>
      <c r="M53" s="17" t="n">
        <f aca="false">D53/C53*100</f>
        <v>103.904173118459</v>
      </c>
      <c r="N53" s="17" t="n">
        <f aca="false">H53/G53*100</f>
        <v>108.825914868012</v>
      </c>
    </row>
    <row r="54" customFormat="false" ht="15" hidden="false" customHeight="false" outlineLevel="0" collapsed="false">
      <c r="A54" s="12" t="n">
        <v>2023</v>
      </c>
      <c r="B54" s="23" t="n">
        <v>48085361</v>
      </c>
      <c r="C54" s="23" t="n">
        <v>23565593</v>
      </c>
      <c r="D54" s="19" t="n">
        <f aca="false">B54-C54</f>
        <v>24519768</v>
      </c>
      <c r="E54" s="18" t="n">
        <f aca="false">(B54/B53-1)*100</f>
        <v>1.26063436631461</v>
      </c>
      <c r="F54" s="23" t="n">
        <v>6871903</v>
      </c>
      <c r="G54" s="23" t="n">
        <v>3288197</v>
      </c>
      <c r="H54" s="19" t="n">
        <f aca="false">F54-G54</f>
        <v>3583706</v>
      </c>
      <c r="I54" s="18" t="n">
        <f aca="false">(F54/F53-1)*100</f>
        <v>1.90781779835076</v>
      </c>
      <c r="J54" s="18" t="n">
        <f aca="false">F54/B54*100</f>
        <v>14.2910500349576</v>
      </c>
      <c r="K54" s="17" t="n">
        <f aca="false">B54/B$2*100</f>
        <v>141.258678376277</v>
      </c>
      <c r="L54" s="17" t="n">
        <f aca="false">F54/F$2*100</f>
        <v>182.699238565185</v>
      </c>
      <c r="M54" s="17" t="n">
        <f aca="false">D54/C54*100</f>
        <v>104.049017565567</v>
      </c>
      <c r="N54" s="17" t="n">
        <f aca="false">H54/G54*100</f>
        <v>108.98696154762</v>
      </c>
    </row>
    <row r="55" customFormat="false" ht="15" hidden="false" customHeight="false" outlineLevel="0" collapsed="false">
      <c r="A55" s="12" t="n">
        <v>2024</v>
      </c>
      <c r="B55" s="23" t="n">
        <v>48619695</v>
      </c>
      <c r="C55" s="23" t="n">
        <v>23826871</v>
      </c>
      <c r="D55" s="19" t="n">
        <f aca="false">B55-C55</f>
        <v>24792824</v>
      </c>
      <c r="E55" s="18" t="n">
        <f aca="false">(B55/B54-1)*100</f>
        <v>1.11121969116548</v>
      </c>
      <c r="F55" s="23" t="n">
        <v>7009268</v>
      </c>
      <c r="G55" s="23" t="n">
        <v>3356163</v>
      </c>
      <c r="H55" s="19" t="n">
        <f aca="false">F55-G55</f>
        <v>3653105</v>
      </c>
      <c r="I55" s="18" t="n">
        <f aca="false">(F55/F54-1)*100</f>
        <v>1.9989368301619</v>
      </c>
      <c r="J55" s="18" t="n">
        <f aca="false">F55/B55*100</f>
        <v>14.4165198897278</v>
      </c>
      <c r="K55" s="17" t="n">
        <f aca="false">B55/B$2*100</f>
        <v>142.828372625875</v>
      </c>
      <c r="L55" s="17" t="n">
        <f aca="false">F55/F$2*100</f>
        <v>186.351280933289</v>
      </c>
      <c r="M55" s="17" t="n">
        <f aca="false">D55/C55*100</f>
        <v>104.054048892949</v>
      </c>
      <c r="N55" s="17" t="n">
        <f aca="false">H55/G55*100</f>
        <v>108.847663239241</v>
      </c>
    </row>
    <row r="56" customFormat="false" ht="15" hidden="false" customHeight="false" outlineLevel="0" collapsed="false">
      <c r="A56" s="12" t="n">
        <v>2025</v>
      </c>
      <c r="B56" s="23" t="n">
        <v>49128297</v>
      </c>
      <c r="C56" s="23" t="n">
        <v>24090369</v>
      </c>
      <c r="D56" s="19" t="n">
        <f aca="false">B56-C56</f>
        <v>25037928</v>
      </c>
      <c r="E56" s="18" t="n">
        <f aca="false">(B56/B55-1)*100</f>
        <v>1.04608225123584</v>
      </c>
      <c r="F56" s="23" t="n">
        <v>7113886</v>
      </c>
      <c r="G56" s="23" t="n">
        <v>3407410</v>
      </c>
      <c r="H56" s="19" t="n">
        <f aca="false">F56-G56</f>
        <v>3706476</v>
      </c>
      <c r="I56" s="18" t="n">
        <f aca="false">(F56/F55-1)*100</f>
        <v>1.4925666988336</v>
      </c>
      <c r="J56" s="18" t="n">
        <f aca="false">F56/B56*100</f>
        <v>14.4802210424676</v>
      </c>
      <c r="K56" s="17" t="n">
        <f aca="false">B56/B$2*100</f>
        <v>144.322474881643</v>
      </c>
      <c r="L56" s="17" t="n">
        <f aca="false">F56/F$2*100</f>
        <v>189.13269809535</v>
      </c>
      <c r="M56" s="17" t="n">
        <f aca="false">D56/C56*100</f>
        <v>103.933351954883</v>
      </c>
      <c r="N56" s="17" t="n">
        <f aca="false">H56/G56*100</f>
        <v>108.776930278423</v>
      </c>
    </row>
    <row r="57" customFormat="false" ht="15" hidden="false" customHeight="false" outlineLevel="0" collapsed="false">
      <c r="A57" s="12" t="n">
        <v>2026</v>
      </c>
      <c r="B57" s="23" t="n">
        <v>49596376</v>
      </c>
      <c r="C57" s="23" t="n">
        <v>24345990</v>
      </c>
      <c r="D57" s="19" t="n">
        <f aca="false">B57-C57</f>
        <v>25250386</v>
      </c>
      <c r="E57" s="18" t="n">
        <f aca="false">(B57/B56-1)*100</f>
        <v>0.952768625381006</v>
      </c>
      <c r="F57" s="23" t="n">
        <v>7168876</v>
      </c>
      <c r="G57" s="23" t="n">
        <v>3434233</v>
      </c>
      <c r="H57" s="19" t="n">
        <f aca="false">F57-G57</f>
        <v>3734643</v>
      </c>
      <c r="I57" s="18" t="n">
        <f aca="false">(F57/F56-1)*100</f>
        <v>0.772995237764573</v>
      </c>
      <c r="J57" s="18" t="n">
        <f aca="false">F57/B57*100</f>
        <v>14.4544351385674</v>
      </c>
      <c r="K57" s="17" t="n">
        <f aca="false">B57/B$2*100</f>
        <v>145.697534141689</v>
      </c>
      <c r="L57" s="17" t="n">
        <f aca="false">F57/F$2*100</f>
        <v>190.594684844682</v>
      </c>
      <c r="M57" s="17" t="n">
        <f aca="false">D57/C57*100</f>
        <v>103.714763704413</v>
      </c>
      <c r="N57" s="17" t="n">
        <f aca="false">H57/G57*100</f>
        <v>108.747513636961</v>
      </c>
    </row>
    <row r="59" customFormat="false" ht="15" hidden="false" customHeight="false" outlineLevel="0" collapsed="false">
      <c r="A59" s="2" t="s">
        <v>197</v>
      </c>
    </row>
    <row r="60" customFormat="false" ht="31.5" hidden="false" customHeight="true" outlineLevel="0" collapsed="false">
      <c r="A60" s="4" t="s">
        <v>198</v>
      </c>
      <c r="B60" s="4" t="s">
        <v>199</v>
      </c>
      <c r="C60" s="4" t="s">
        <v>200</v>
      </c>
      <c r="D60" s="4" t="s">
        <v>201</v>
      </c>
      <c r="E60" s="4" t="s">
        <v>202</v>
      </c>
      <c r="F60" s="4" t="s">
        <v>203</v>
      </c>
      <c r="G60" s="4" t="s">
        <v>204</v>
      </c>
      <c r="H60" s="4" t="s">
        <v>205</v>
      </c>
      <c r="I60" s="4" t="s">
        <v>206</v>
      </c>
    </row>
    <row r="61" customFormat="false" ht="15" hidden="false" customHeight="false" outlineLevel="0" collapsed="false">
      <c r="A61" s="12" t="s">
        <v>207</v>
      </c>
      <c r="B61" s="24" t="n">
        <v>1971</v>
      </c>
      <c r="C61" s="24" t="n">
        <v>2026</v>
      </c>
      <c r="D61" s="18" t="n">
        <f aca="false">((INDEX($B$2:$B$57,MATCH(C61,$A$2:$A$57,0))/INDEX($B$2:$B$57,MATCH(B61,$A$2:$A$57,0)))^(1/(C61-B61))-1)*100</f>
        <v>0.686642293803152</v>
      </c>
      <c r="E61" s="18" t="n">
        <f aca="false">((INDEX($F$2:$F$57,MATCH(C61,$A$2:$A$57,0))/INDEX($F$2:$F$57,MATCH(B61,$A$2:$A$57,0)))^(1/(C61-B61))-1)*100</f>
        <v>1.17959189633459</v>
      </c>
      <c r="F61" s="19" t="n">
        <f aca="false">INDEX($B$2:$B$57,MATCH(C61,$A$2:$A$57,0))-INDEX($B$2:$B$57,MATCH(B61,$A$2:$A$57,0))</f>
        <v>15555734</v>
      </c>
      <c r="G61" s="19" t="n">
        <f aca="false">INDEX($F$2:$F$57,MATCH(C61,$A$2:$A$57,0))-INDEX($F$2:$F$57,MATCH(B61,$A$2:$A$57,0))</f>
        <v>3407556</v>
      </c>
      <c r="H61" s="17" t="n">
        <f aca="false">(INDEX($B$2:$B$57,MATCH(C61,$A$2:$A$57,0))/INDEX($B$2:$B$57,MATCH(B61,$A$2:$A$57,0))-1)*100</f>
        <v>45.6975341416886</v>
      </c>
      <c r="I61" s="17" t="n">
        <f aca="false">(INDEX($F$2:$F$57,MATCH(C61,$A$2:$A$57,0))/INDEX($F$2:$F$57,MATCH(B61,$A$2:$A$57,0))-1)*100</f>
        <v>90.5946848446822</v>
      </c>
    </row>
    <row r="62" customFormat="false" ht="15" hidden="false" customHeight="false" outlineLevel="0" collapsed="false">
      <c r="A62" s="12" t="s">
        <v>208</v>
      </c>
      <c r="B62" s="24" t="n">
        <v>2002</v>
      </c>
      <c r="C62" s="24" t="n">
        <v>2008</v>
      </c>
      <c r="D62" s="18" t="n">
        <f aca="false">((INDEX($B$2:$B$57,MATCH(C62,$A$2:$A$57,0))/INDEX($B$2:$B$57,MATCH(B62,$A$2:$A$57,0)))^(1/(C62-B62))-1)*100</f>
        <v>1.79909906043287</v>
      </c>
      <c r="E62" s="18" t="n">
        <f aca="false">((INDEX($F$2:$F$57,MATCH(C62,$A$2:$A$57,0))/INDEX($F$2:$F$57,MATCH(B62,$A$2:$A$57,0)))^(1/(C62-B62))-1)*100</f>
        <v>2.15542396756807</v>
      </c>
      <c r="F62" s="19" t="n">
        <f aca="false">INDEX($B$2:$B$57,MATCH(C62,$A$2:$A$57,0))-INDEX($B$2:$B$57,MATCH(B62,$A$2:$A$57,0))</f>
        <v>4633667</v>
      </c>
      <c r="G62" s="19" t="n">
        <f aca="false">INDEX($F$2:$F$57,MATCH(C62,$A$2:$A$57,0))-INDEX($F$2:$F$57,MATCH(B62,$A$2:$A$57,0))</f>
        <v>747790</v>
      </c>
      <c r="H62" s="17" t="n">
        <f aca="false">(INDEX($B$2:$B$57,MATCH(C62,$A$2:$A$57,0))/INDEX($B$2:$B$57,MATCH(B62,$A$2:$A$57,0))-1)*100</f>
        <v>11.2919127547616</v>
      </c>
      <c r="I62" s="17" t="n">
        <f aca="false">(INDEX($F$2:$F$57,MATCH(C62,$A$2:$A$57,0))/INDEX($F$2:$F$57,MATCH(B62,$A$2:$A$57,0))-1)*100</f>
        <v>13.6497758015335</v>
      </c>
    </row>
    <row r="63" customFormat="false" ht="15" hidden="false" customHeight="false" outlineLevel="0" collapsed="false">
      <c r="A63" s="12" t="s">
        <v>209</v>
      </c>
      <c r="B63" s="24" t="n">
        <v>2012</v>
      </c>
      <c r="C63" s="24" t="n">
        <v>2015</v>
      </c>
      <c r="D63" s="18" t="n">
        <f aca="false">((INDEX($B$2:$B$57,MATCH(C63,$A$2:$A$57,0))/INDEX($B$2:$B$57,MATCH(B63,$A$2:$A$57,0)))^(1/(C63-B63))-1)*100</f>
        <v>-0.280229916846386</v>
      </c>
      <c r="E63" s="18" t="n">
        <f aca="false">((INDEX($F$2:$F$57,MATCH(C63,$A$2:$A$57,0))/INDEX($F$2:$F$57,MATCH(B63,$A$2:$A$57,0)))^(1/(C63-B63))-1)*100</f>
        <v>-0.259200742549193</v>
      </c>
      <c r="F63" s="19" t="n">
        <f aca="false">INDEX($B$2:$B$57,MATCH(C63,$A$2:$A$57,0))-INDEX($B$2:$B$57,MATCH(B63,$A$2:$A$57,0))</f>
        <v>-392494</v>
      </c>
      <c r="G63" s="19" t="n">
        <f aca="false">INDEX($F$2:$F$57,MATCH(C63,$A$2:$A$57,0))-INDEX($F$2:$F$57,MATCH(B63,$A$2:$A$57,0))</f>
        <v>-49836</v>
      </c>
      <c r="H63" s="17" t="n">
        <f aca="false">(INDEX($B$2:$B$57,MATCH(C63,$A$2:$A$57,0))/INDEX($B$2:$B$57,MATCH(B63,$A$2:$A$57,0))-1)*100</f>
        <v>-0.838336086962388</v>
      </c>
      <c r="I63" s="17" t="n">
        <f aca="false">(INDEX($F$2:$F$57,MATCH(C63,$A$2:$A$57,0))/INDEX($F$2:$F$57,MATCH(B63,$A$2:$A$57,0))-1)*100</f>
        <v>-0.775588418340278</v>
      </c>
    </row>
    <row r="64" customFormat="false" ht="15" hidden="false" customHeight="false" outlineLevel="0" collapsed="false">
      <c r="A64" s="12" t="s">
        <v>210</v>
      </c>
      <c r="B64" s="24" t="n">
        <v>2015</v>
      </c>
      <c r="C64" s="24" t="n">
        <v>2020</v>
      </c>
      <c r="D64" s="18" t="n">
        <f aca="false">((INDEX($B$2:$B$57,MATCH(C64,$A$2:$A$57,0))/INDEX($B$2:$B$57,MATCH(B64,$A$2:$A$57,0)))^(1/(C64-B64))-1)*100</f>
        <v>0.381489232525967</v>
      </c>
      <c r="E64" s="18" t="n">
        <f aca="false">((INDEX($F$2:$F$57,MATCH(C64,$A$2:$A$57,0))/INDEX($F$2:$F$57,MATCH(B64,$A$2:$A$57,0)))^(1/(C64-B64))-1)*100</f>
        <v>1.0582521387476</v>
      </c>
      <c r="F64" s="19" t="n">
        <f aca="false">INDEX($B$2:$B$57,MATCH(C64,$A$2:$A$57,0))-INDEX($B$2:$B$57,MATCH(B64,$A$2:$A$57,0))</f>
        <v>892328</v>
      </c>
      <c r="G64" s="19" t="n">
        <f aca="false">INDEX($F$2:$F$57,MATCH(C64,$A$2:$A$57,0))-INDEX($F$2:$F$57,MATCH(B64,$A$2:$A$57,0))</f>
        <v>344573</v>
      </c>
      <c r="H64" s="17" t="n">
        <f aca="false">(INDEX($B$2:$B$57,MATCH(C64,$A$2:$A$57,0))/INDEX($B$2:$B$57,MATCH(B64,$A$2:$A$57,0))-1)*100</f>
        <v>1.92205519173185</v>
      </c>
      <c r="I64" s="17" t="n">
        <f aca="false">(INDEX($F$2:$F$57,MATCH(C64,$A$2:$A$57,0))/INDEX($F$2:$F$57,MATCH(B64,$A$2:$A$57,0))-1)*100</f>
        <v>5.40444187079863</v>
      </c>
    </row>
    <row r="65" customFormat="false" ht="15" hidden="false" customHeight="false" outlineLevel="0" collapsed="false">
      <c r="A65" s="12" t="s">
        <v>211</v>
      </c>
      <c r="B65" s="24" t="n">
        <v>2020</v>
      </c>
      <c r="C65" s="24" t="n">
        <v>2026</v>
      </c>
      <c r="D65" s="18" t="n">
        <f aca="false">((INDEX($B$2:$B$57,MATCH(C65,$A$2:$A$57,0))/INDEX($B$2:$B$57,MATCH(B65,$A$2:$A$57,0)))^(1/(C65-B65))-1)*100</f>
        <v>0.786845100696487</v>
      </c>
      <c r="E65" s="18" t="n">
        <f aca="false">((INDEX($F$2:$F$57,MATCH(C65,$A$2:$A$57,0))/INDEX($F$2:$F$57,MATCH(B65,$A$2:$A$57,0)))^(1/(C65-B65))-1)*100</f>
        <v>1.08272943964798</v>
      </c>
      <c r="F65" s="19" t="n">
        <f aca="false">INDEX($B$2:$B$57,MATCH(C65,$A$2:$A$57,0))-INDEX($B$2:$B$57,MATCH(B65,$A$2:$A$57,0))</f>
        <v>2278326</v>
      </c>
      <c r="G65" s="19" t="n">
        <f aca="false">INDEX($F$2:$F$57,MATCH(C65,$A$2:$A$57,0))-INDEX($F$2:$F$57,MATCH(B65,$A$2:$A$57,0))</f>
        <v>448566</v>
      </c>
      <c r="H65" s="17" t="n">
        <f aca="false">(INDEX($B$2:$B$57,MATCH(C65,$A$2:$A$57,0))/INDEX($B$2:$B$57,MATCH(B65,$A$2:$A$57,0))-1)*100</f>
        <v>4.81491946519352</v>
      </c>
      <c r="I65" s="17" t="n">
        <f aca="false">(INDEX($F$2:$F$57,MATCH(C65,$A$2:$A$57,0))/INDEX($F$2:$F$57,MATCH(B65,$A$2:$A$57,0))-1)*100</f>
        <v>6.67478137169268</v>
      </c>
    </row>
    <row r="66" customFormat="false" ht="15" hidden="false" customHeight="false" outlineLevel="0" collapsed="false">
      <c r="A66" s="12" t="s">
        <v>212</v>
      </c>
      <c r="B66" s="24" t="n">
        <v>2016</v>
      </c>
      <c r="C66" s="24" t="n">
        <v>2026</v>
      </c>
      <c r="D66" s="18" t="n">
        <f aca="false">((INDEX($B$2:$B$57,MATCH(C66,$A$2:$A$57,0))/INDEX($B$2:$B$57,MATCH(B66,$A$2:$A$57,0)))^(1/(C66-B66))-1)*100</f>
        <v>0.664310894538311</v>
      </c>
      <c r="E66" s="18" t="n">
        <f aca="false">((INDEX($F$2:$F$57,MATCH(C66,$A$2:$A$57,0))/INDEX($F$2:$F$57,MATCH(B66,$A$2:$A$57,0)))^(1/(C66-B66))-1)*100</f>
        <v>1.12286663074634</v>
      </c>
      <c r="F66" s="19" t="n">
        <f aca="false">INDEX($B$2:$B$57,MATCH(C66,$A$2:$A$57,0))-INDEX($B$2:$B$57,MATCH(B66,$A$2:$A$57,0))</f>
        <v>3177492</v>
      </c>
      <c r="G66" s="19" t="n">
        <f aca="false">INDEX($F$2:$F$57,MATCH(C66,$A$2:$A$57,0))-INDEX($F$2:$F$57,MATCH(B66,$A$2:$A$57,0))</f>
        <v>757410</v>
      </c>
      <c r="H66" s="17" t="n">
        <f aca="false">(INDEX($B$2:$B$57,MATCH(C66,$A$2:$A$57,0))/INDEX($B$2:$B$57,MATCH(B66,$A$2:$A$57,0))-1)*100</f>
        <v>6.84525720178884</v>
      </c>
      <c r="I66" s="17" t="n">
        <f aca="false">(INDEX($F$2:$F$57,MATCH(C66,$A$2:$A$57,0))/INDEX($F$2:$F$57,MATCH(B66,$A$2:$A$57,0))-1)*100</f>
        <v>11.813366864926</v>
      </c>
    </row>
    <row r="67" customFormat="false" ht="15" hidden="false" customHeight="false" outlineLevel="0" collapsed="false">
      <c r="A67" s="12" t="s">
        <v>213</v>
      </c>
      <c r="B67" s="24" t="n">
        <v>2002</v>
      </c>
      <c r="C67" s="24" t="n">
        <v>2026</v>
      </c>
      <c r="D67" s="18" t="n">
        <f aca="false">((INDEX($B$2:$B$57,MATCH(C67,$A$2:$A$57,0))/INDEX($B$2:$B$57,MATCH(B67,$A$2:$A$57,0)))^(1/(C67-B67))-1)*100</f>
        <v>0.792649133149825</v>
      </c>
      <c r="E67" s="18" t="n">
        <f aca="false">((INDEX($F$2:$F$57,MATCH(C67,$A$2:$A$57,0))/INDEX($F$2:$F$57,MATCH(B67,$A$2:$A$57,0)))^(1/(C67-B67))-1)*100</f>
        <v>1.12686380339853</v>
      </c>
      <c r="F67" s="19" t="n">
        <f aca="false">INDEX($B$2:$B$57,MATCH(C67,$A$2:$A$57,0))-INDEX($B$2:$B$57,MATCH(B67,$A$2:$A$57,0))</f>
        <v>8561105</v>
      </c>
      <c r="G67" s="19" t="n">
        <f aca="false">INDEX($F$2:$F$57,MATCH(C67,$A$2:$A$57,0))-INDEX($F$2:$F$57,MATCH(B67,$A$2:$A$57,0))</f>
        <v>1690471</v>
      </c>
      <c r="H67" s="17" t="n">
        <f aca="false">(INDEX($B$2:$B$57,MATCH(C67,$A$2:$A$57,0))/INDEX($B$2:$B$57,MATCH(B67,$A$2:$A$57,0))-1)*100</f>
        <v>20.8627963002852</v>
      </c>
      <c r="I67" s="17" t="n">
        <f aca="false">(INDEX($F$2:$F$57,MATCH(C67,$A$2:$A$57,0))/INDEX($F$2:$F$57,MATCH(B67,$A$2:$A$57,0))-1)*100</f>
        <v>30.8569921354847</v>
      </c>
    </row>
    <row r="69" customFormat="false" ht="15" hidden="false" customHeight="false" outlineLevel="0" collapsed="false">
      <c r="A69" s="1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45.75" hidden="false" customHeight="true" outlineLevel="0" collapsed="false">
      <c r="A1" s="4" t="s">
        <v>215</v>
      </c>
      <c r="B1" s="4" t="s">
        <v>184</v>
      </c>
      <c r="C1" s="4" t="s">
        <v>185</v>
      </c>
      <c r="D1" s="4" t="s">
        <v>186</v>
      </c>
      <c r="E1" s="4" t="s">
        <v>216</v>
      </c>
      <c r="F1" s="4" t="s">
        <v>217</v>
      </c>
      <c r="G1" s="4" t="s">
        <v>188</v>
      </c>
      <c r="H1" s="4" t="s">
        <v>189</v>
      </c>
      <c r="I1" s="4" t="s">
        <v>190</v>
      </c>
      <c r="J1" s="4" t="s">
        <v>218</v>
      </c>
      <c r="K1" s="4" t="s">
        <v>219</v>
      </c>
      <c r="L1" s="4" t="s">
        <v>192</v>
      </c>
    </row>
    <row r="2" customFormat="false" ht="15" hidden="false" customHeight="false" outlineLevel="0" collapsed="false">
      <c r="A2" s="12" t="s">
        <v>220</v>
      </c>
      <c r="B2" s="23" t="n">
        <v>47400798</v>
      </c>
      <c r="C2" s="23" t="n">
        <v>23248611</v>
      </c>
      <c r="D2" s="19" t="n">
        <f aca="false">B2-C2</f>
        <v>24152187</v>
      </c>
      <c r="G2" s="23" t="n">
        <v>6726640</v>
      </c>
      <c r="H2" s="23" t="n">
        <v>3221401</v>
      </c>
      <c r="I2" s="19" t="n">
        <f aca="false">G2-H2</f>
        <v>3505239</v>
      </c>
      <c r="L2" s="18" t="n">
        <f aca="false">G2/B2*100</f>
        <v>14.1909847171771</v>
      </c>
    </row>
    <row r="3" customFormat="false" ht="15" hidden="false" customHeight="false" outlineLevel="0" collapsed="false">
      <c r="A3" s="12" t="s">
        <v>221</v>
      </c>
      <c r="B3" s="23" t="n">
        <v>47356065</v>
      </c>
      <c r="C3" s="23" t="n">
        <v>23226336</v>
      </c>
      <c r="D3" s="19" t="n">
        <f aca="false">B3-C3</f>
        <v>24129729</v>
      </c>
      <c r="E3" s="18" t="n">
        <f aca="false">(B3/B2-1)*100</f>
        <v>-0.0943718289299733</v>
      </c>
      <c r="G3" s="23" t="n">
        <v>6716310</v>
      </c>
      <c r="H3" s="23" t="n">
        <v>3216692</v>
      </c>
      <c r="I3" s="19" t="n">
        <f aca="false">G3-H3</f>
        <v>3499618</v>
      </c>
      <c r="J3" s="18" t="n">
        <f aca="false">(G3/G2-1)*100</f>
        <v>-0.153568497793843</v>
      </c>
      <c r="L3" s="18" t="n">
        <f aca="false">G3/B3*100</f>
        <v>14.1825761916663</v>
      </c>
    </row>
    <row r="4" customFormat="false" ht="15" hidden="false" customHeight="false" outlineLevel="0" collapsed="false">
      <c r="A4" s="12" t="s">
        <v>222</v>
      </c>
      <c r="B4" s="23" t="n">
        <v>47346836</v>
      </c>
      <c r="C4" s="23" t="n">
        <v>23223390</v>
      </c>
      <c r="D4" s="19" t="n">
        <f aca="false">B4-C4</f>
        <v>24123446</v>
      </c>
      <c r="E4" s="18" t="n">
        <f aca="false">(B4/B3-1)*100</f>
        <v>-0.0194885280269785</v>
      </c>
      <c r="G4" s="23" t="n">
        <v>6717668</v>
      </c>
      <c r="H4" s="23" t="n">
        <v>3217935</v>
      </c>
      <c r="I4" s="19" t="n">
        <f aca="false">G4-H4</f>
        <v>3499733</v>
      </c>
      <c r="J4" s="18" t="n">
        <f aca="false">(G4/G3-1)*100</f>
        <v>0.0202194359700592</v>
      </c>
      <c r="L4" s="18" t="n">
        <f aca="false">G4/B4*100</f>
        <v>14.1882089016466</v>
      </c>
    </row>
    <row r="5" customFormat="false" ht="15" hidden="false" customHeight="false" outlineLevel="0" collapsed="false">
      <c r="A5" s="12" t="s">
        <v>223</v>
      </c>
      <c r="B5" s="23" t="n">
        <v>47424595</v>
      </c>
      <c r="C5" s="23" t="n">
        <v>23263694</v>
      </c>
      <c r="D5" s="19" t="n">
        <f aca="false">B5-C5</f>
        <v>24160901</v>
      </c>
      <c r="E5" s="18" t="n">
        <f aca="false">(B5/B4-1)*100</f>
        <v>0.16423272718793</v>
      </c>
      <c r="G5" s="23" t="n">
        <v>6732454</v>
      </c>
      <c r="H5" s="23" t="n">
        <v>3225450</v>
      </c>
      <c r="I5" s="19" t="n">
        <f aca="false">G5-H5</f>
        <v>3507004</v>
      </c>
      <c r="J5" s="18" t="n">
        <f aca="false">(G5/G4-1)*100</f>
        <v>0.220106143977339</v>
      </c>
      <c r="L5" s="18" t="n">
        <f aca="false">G5/B5*100</f>
        <v>14.1961233406421</v>
      </c>
    </row>
    <row r="6" customFormat="false" ht="15" hidden="false" customHeight="false" outlineLevel="0" collapsed="false">
      <c r="A6" s="12" t="s">
        <v>224</v>
      </c>
      <c r="B6" s="23" t="n">
        <v>47486727</v>
      </c>
      <c r="C6" s="23" t="n">
        <v>23288747</v>
      </c>
      <c r="D6" s="19" t="n">
        <f aca="false">B6-C6</f>
        <v>24197980</v>
      </c>
      <c r="E6" s="18" t="n">
        <f aca="false">(B6/B5-1)*100</f>
        <v>0.131012188928548</v>
      </c>
      <c r="F6" s="18" t="n">
        <f aca="false">(B6/B2-1)*100</f>
        <v>0.181281758167873</v>
      </c>
      <c r="G6" s="23" t="n">
        <v>6743254</v>
      </c>
      <c r="H6" s="23" t="n">
        <v>3229127</v>
      </c>
      <c r="I6" s="19" t="n">
        <f aca="false">G6-H6</f>
        <v>3514127</v>
      </c>
      <c r="J6" s="18" t="n">
        <f aca="false">(G6/G5-1)*100</f>
        <v>0.160416989109757</v>
      </c>
      <c r="K6" s="18" t="n">
        <f aca="false">(G6/G2-1)*100</f>
        <v>0.246988095096512</v>
      </c>
      <c r="L6" s="18" t="n">
        <f aca="false">G6/B6*100</f>
        <v>14.200292220603</v>
      </c>
    </row>
    <row r="7" customFormat="false" ht="15" hidden="false" customHeight="false" outlineLevel="0" collapsed="false">
      <c r="A7" s="12" t="s">
        <v>225</v>
      </c>
      <c r="B7" s="23" t="n">
        <v>47609145</v>
      </c>
      <c r="C7" s="23" t="n">
        <v>23343774</v>
      </c>
      <c r="D7" s="19" t="n">
        <f aca="false">B7-C7</f>
        <v>24265371</v>
      </c>
      <c r="E7" s="18" t="n">
        <f aca="false">(B7/B6-1)*100</f>
        <v>0.257794141087042</v>
      </c>
      <c r="F7" s="18" t="n">
        <f aca="false">(B7/B3-1)*100</f>
        <v>0.534419403301345</v>
      </c>
      <c r="G7" s="23" t="n">
        <v>6784314</v>
      </c>
      <c r="H7" s="23" t="n">
        <v>3248196</v>
      </c>
      <c r="I7" s="19" t="n">
        <f aca="false">G7-H7</f>
        <v>3536118</v>
      </c>
      <c r="J7" s="18" t="n">
        <f aca="false">(G7/G6-1)*100</f>
        <v>0.608904840304092</v>
      </c>
      <c r="K7" s="18" t="n">
        <f aca="false">(G7/G3-1)*100</f>
        <v>1.01252026782563</v>
      </c>
      <c r="L7" s="18" t="n">
        <f aca="false">G7/B7*100</f>
        <v>14.2500227634838</v>
      </c>
    </row>
    <row r="8" customFormat="false" ht="15" hidden="false" customHeight="false" outlineLevel="0" collapsed="false">
      <c r="A8" s="12" t="s">
        <v>226</v>
      </c>
      <c r="B8" s="23" t="n">
        <v>47781354</v>
      </c>
      <c r="C8" s="23" t="n">
        <v>23421925</v>
      </c>
      <c r="D8" s="19" t="n">
        <f aca="false">B8-C8</f>
        <v>24359429</v>
      </c>
      <c r="E8" s="18" t="n">
        <f aca="false">(B8/B7-1)*100</f>
        <v>0.361714120259871</v>
      </c>
      <c r="F8" s="18" t="n">
        <f aca="false">(B8/B4-1)*100</f>
        <v>0.917733974874269</v>
      </c>
      <c r="G8" s="23" t="n">
        <v>6824710</v>
      </c>
      <c r="H8" s="23" t="n">
        <v>3267270</v>
      </c>
      <c r="I8" s="19" t="n">
        <f aca="false">G8-H8</f>
        <v>3557440</v>
      </c>
      <c r="J8" s="18" t="n">
        <f aca="false">(G8/G7-1)*100</f>
        <v>0.595432345849556</v>
      </c>
      <c r="K8" s="18" t="n">
        <f aca="false">(G8/G4-1)*100</f>
        <v>1.59343986633458</v>
      </c>
      <c r="L8" s="18" t="n">
        <f aca="false">G8/B8*100</f>
        <v>14.2832076294866</v>
      </c>
    </row>
    <row r="9" customFormat="false" ht="15" hidden="false" customHeight="false" outlineLevel="0" collapsed="false">
      <c r="A9" s="12" t="s">
        <v>227</v>
      </c>
      <c r="B9" s="23" t="n">
        <v>47940295</v>
      </c>
      <c r="C9" s="23" t="n">
        <v>23498435</v>
      </c>
      <c r="D9" s="19" t="n">
        <f aca="false">B9-C9</f>
        <v>24441860</v>
      </c>
      <c r="E9" s="18" t="n">
        <f aca="false">(B9/B8-1)*100</f>
        <v>0.332642310638587</v>
      </c>
      <c r="F9" s="18" t="n">
        <f aca="false">(B9/B5-1)*100</f>
        <v>1.08741044599328</v>
      </c>
      <c r="G9" s="23" t="n">
        <v>6851312</v>
      </c>
      <c r="H9" s="23" t="n">
        <v>3279712</v>
      </c>
      <c r="I9" s="19" t="n">
        <f aca="false">G9-H9</f>
        <v>3571600</v>
      </c>
      <c r="J9" s="18" t="n">
        <f aca="false">(G9/G8-1)*100</f>
        <v>0.389789456255274</v>
      </c>
      <c r="K9" s="18" t="n">
        <f aca="false">(G9/G5-1)*100</f>
        <v>1.76544837885264</v>
      </c>
      <c r="L9" s="18" t="n">
        <f aca="false">G9/B9*100</f>
        <v>14.2913430132209</v>
      </c>
    </row>
    <row r="10" customFormat="false" ht="15" hidden="false" customHeight="false" outlineLevel="0" collapsed="false">
      <c r="A10" s="12" t="s">
        <v>228</v>
      </c>
      <c r="B10" s="23" t="n">
        <v>48085361</v>
      </c>
      <c r="C10" s="23" t="n">
        <v>23565593</v>
      </c>
      <c r="D10" s="19" t="n">
        <f aca="false">B10-C10</f>
        <v>24519768</v>
      </c>
      <c r="E10" s="18" t="n">
        <f aca="false">(B10/B9-1)*100</f>
        <v>0.302597220146428</v>
      </c>
      <c r="F10" s="18" t="n">
        <f aca="false">(B10/B6-1)*100</f>
        <v>1.26063436631461</v>
      </c>
      <c r="G10" s="23" t="n">
        <v>6871903</v>
      </c>
      <c r="H10" s="23" t="n">
        <v>3288197</v>
      </c>
      <c r="I10" s="19" t="n">
        <f aca="false">G10-H10</f>
        <v>3583706</v>
      </c>
      <c r="J10" s="18" t="n">
        <f aca="false">(G10/G9-1)*100</f>
        <v>0.300540976677177</v>
      </c>
      <c r="K10" s="18" t="n">
        <f aca="false">(G10/G6-1)*100</f>
        <v>1.90781779835076</v>
      </c>
      <c r="L10" s="18" t="n">
        <f aca="false">G10/B10*100</f>
        <v>14.2910500349576</v>
      </c>
    </row>
    <row r="11" customFormat="false" ht="15" hidden="false" customHeight="false" outlineLevel="0" collapsed="false">
      <c r="A11" s="12" t="s">
        <v>229</v>
      </c>
      <c r="B11" s="23" t="n">
        <v>48205962</v>
      </c>
      <c r="C11" s="23" t="n">
        <v>23624765</v>
      </c>
      <c r="D11" s="19" t="n">
        <f aca="false">B11-C11</f>
        <v>24581197</v>
      </c>
      <c r="E11" s="18" t="n">
        <f aca="false">(B11/B10-1)*100</f>
        <v>0.250806061329145</v>
      </c>
      <c r="F11" s="18" t="n">
        <f aca="false">(B11/B7-1)*100</f>
        <v>1.25357638747765</v>
      </c>
      <c r="G11" s="23" t="n">
        <v>6911020</v>
      </c>
      <c r="H11" s="23" t="n">
        <v>3307629</v>
      </c>
      <c r="I11" s="19" t="n">
        <f aca="false">G11-H11</f>
        <v>3603391</v>
      </c>
      <c r="J11" s="18" t="n">
        <f aca="false">(G11/G10-1)*100</f>
        <v>0.56923096848136</v>
      </c>
      <c r="K11" s="18" t="n">
        <f aca="false">(G11/G7-1)*100</f>
        <v>1.86763171633859</v>
      </c>
      <c r="L11" s="18" t="n">
        <f aca="false">G11/B11*100</f>
        <v>14.3364424508321</v>
      </c>
    </row>
    <row r="12" customFormat="false" ht="15" hidden="false" customHeight="false" outlineLevel="0" collapsed="false">
      <c r="A12" s="12" t="s">
        <v>230</v>
      </c>
      <c r="B12" s="23" t="n">
        <v>48320520</v>
      </c>
      <c r="C12" s="23" t="n">
        <v>23681931</v>
      </c>
      <c r="D12" s="19" t="n">
        <f aca="false">B12-C12</f>
        <v>24638589</v>
      </c>
      <c r="E12" s="18" t="n">
        <f aca="false">(B12/B11-1)*100</f>
        <v>0.237642804431526</v>
      </c>
      <c r="F12" s="18" t="n">
        <f aca="false">(B12/B8-1)*100</f>
        <v>1.12840251450388</v>
      </c>
      <c r="G12" s="23" t="n">
        <v>6933145</v>
      </c>
      <c r="H12" s="23" t="n">
        <v>3319096</v>
      </c>
      <c r="I12" s="19" t="n">
        <f aca="false">G12-H12</f>
        <v>3614049</v>
      </c>
      <c r="J12" s="18" t="n">
        <f aca="false">(G12/G11-1)*100</f>
        <v>0.320140876455288</v>
      </c>
      <c r="K12" s="18" t="n">
        <f aca="false">(G12/G8-1)*100</f>
        <v>1.58885872073684</v>
      </c>
      <c r="L12" s="18" t="n">
        <f aca="false">G12/B12*100</f>
        <v>14.3482416993857</v>
      </c>
    </row>
    <row r="13" customFormat="false" ht="15" hidden="false" customHeight="false" outlineLevel="0" collapsed="false">
      <c r="A13" s="12" t="s">
        <v>231</v>
      </c>
      <c r="B13" s="23" t="n">
        <v>48486865</v>
      </c>
      <c r="C13" s="23" t="n">
        <v>23764562</v>
      </c>
      <c r="D13" s="19" t="n">
        <f aca="false">B13-C13</f>
        <v>24722303</v>
      </c>
      <c r="E13" s="18" t="n">
        <f aca="false">(B13/B12-1)*100</f>
        <v>0.344253331710842</v>
      </c>
      <c r="F13" s="18" t="n">
        <f aca="false">(B13/B9-1)*100</f>
        <v>1.14010562513227</v>
      </c>
      <c r="G13" s="23" t="n">
        <v>6965673</v>
      </c>
      <c r="H13" s="23" t="n">
        <v>3335335</v>
      </c>
      <c r="I13" s="19" t="n">
        <f aca="false">G13-H13</f>
        <v>3630338</v>
      </c>
      <c r="J13" s="18" t="n">
        <f aca="false">(G13/G12-1)*100</f>
        <v>0.469166590342485</v>
      </c>
      <c r="K13" s="18" t="n">
        <f aca="false">(G13/G9-1)*100</f>
        <v>1.66918394608215</v>
      </c>
      <c r="L13" s="18" t="n">
        <f aca="false">G13/B13*100</f>
        <v>14.3661030672946</v>
      </c>
    </row>
    <row r="14" customFormat="false" ht="15" hidden="false" customHeight="false" outlineLevel="0" collapsed="false">
      <c r="A14" s="12" t="s">
        <v>232</v>
      </c>
      <c r="B14" s="23" t="n">
        <v>48619695</v>
      </c>
      <c r="C14" s="23" t="n">
        <v>23826871</v>
      </c>
      <c r="D14" s="19" t="n">
        <f aca="false">B14-C14</f>
        <v>24792824</v>
      </c>
      <c r="E14" s="18" t="n">
        <f aca="false">(B14/B13-1)*100</f>
        <v>0.273950481228269</v>
      </c>
      <c r="F14" s="18" t="n">
        <f aca="false">(B14/B10-1)*100</f>
        <v>1.11121969116548</v>
      </c>
      <c r="G14" s="23" t="n">
        <v>7009268</v>
      </c>
      <c r="H14" s="23" t="n">
        <v>3356163</v>
      </c>
      <c r="I14" s="19" t="n">
        <f aca="false">G14-H14</f>
        <v>3653105</v>
      </c>
      <c r="J14" s="18" t="n">
        <f aca="false">(G14/G13-1)*100</f>
        <v>0.625854816899962</v>
      </c>
      <c r="K14" s="18" t="n">
        <f aca="false">(G14/G10-1)*100</f>
        <v>1.9989368301619</v>
      </c>
      <c r="L14" s="18" t="n">
        <f aca="false">G14/B14*100</f>
        <v>14.4165198897278</v>
      </c>
    </row>
    <row r="15" customFormat="false" ht="15" hidden="false" customHeight="false" outlineLevel="0" collapsed="false">
      <c r="A15" s="12" t="s">
        <v>233</v>
      </c>
      <c r="B15" s="23" t="n">
        <v>48701130</v>
      </c>
      <c r="C15" s="23" t="n">
        <v>23873843</v>
      </c>
      <c r="D15" s="19" t="n">
        <f aca="false">B15-C15</f>
        <v>24827287</v>
      </c>
      <c r="E15" s="18" t="n">
        <f aca="false">(B15/B14-1)*100</f>
        <v>0.167493852028477</v>
      </c>
      <c r="F15" s="18" t="n">
        <f aca="false">(B15/B11-1)*100</f>
        <v>1.02719244561493</v>
      </c>
      <c r="G15" s="23" t="n">
        <v>7026574</v>
      </c>
      <c r="H15" s="23" t="n">
        <v>3365545</v>
      </c>
      <c r="I15" s="19" t="n">
        <f aca="false">G15-H15</f>
        <v>3661029</v>
      </c>
      <c r="J15" s="18" t="n">
        <f aca="false">(G15/G14-1)*100</f>
        <v>0.246901673612698</v>
      </c>
      <c r="K15" s="18" t="n">
        <f aca="false">(G15/G11-1)*100</f>
        <v>1.6720252582108</v>
      </c>
      <c r="L15" s="18" t="n">
        <f aca="false">G15/B15*100</f>
        <v>14.4279485917473</v>
      </c>
    </row>
    <row r="16" customFormat="false" ht="15" hidden="false" customHeight="false" outlineLevel="0" collapsed="false">
      <c r="A16" s="12" t="s">
        <v>234</v>
      </c>
      <c r="B16" s="23" t="n">
        <v>48821936</v>
      </c>
      <c r="C16" s="23" t="n">
        <v>23940312</v>
      </c>
      <c r="D16" s="19" t="n">
        <f aca="false">B16-C16</f>
        <v>24881624</v>
      </c>
      <c r="E16" s="18" t="n">
        <f aca="false">(B16/B15-1)*100</f>
        <v>0.248055845932127</v>
      </c>
      <c r="F16" s="18" t="n">
        <f aca="false">(B16/B12-1)*100</f>
        <v>1.0376875083298</v>
      </c>
      <c r="G16" s="23" t="n">
        <v>7047812</v>
      </c>
      <c r="H16" s="23" t="n">
        <v>3376639</v>
      </c>
      <c r="I16" s="19" t="n">
        <f aca="false">G16-H16</f>
        <v>3671173</v>
      </c>
      <c r="J16" s="18" t="n">
        <f aca="false">(G16/G15-1)*100</f>
        <v>0.302252562913297</v>
      </c>
      <c r="K16" s="18" t="n">
        <f aca="false">(G16/G12-1)*100</f>
        <v>1.65389588707578</v>
      </c>
      <c r="L16" s="18" t="n">
        <f aca="false">G16/B16*100</f>
        <v>14.4357487175437</v>
      </c>
    </row>
    <row r="17" customFormat="false" ht="15" hidden="false" customHeight="false" outlineLevel="0" collapsed="false">
      <c r="A17" s="12" t="s">
        <v>235</v>
      </c>
      <c r="B17" s="23" t="n">
        <v>48999880</v>
      </c>
      <c r="C17" s="23" t="n">
        <v>24034961</v>
      </c>
      <c r="D17" s="19" t="n">
        <f aca="false">B17-C17</f>
        <v>24964919</v>
      </c>
      <c r="E17" s="18" t="n">
        <f aca="false">(B17/B16-1)*100</f>
        <v>0.364475509533246</v>
      </c>
      <c r="F17" s="18" t="n">
        <f aca="false">(B17/B13-1)*100</f>
        <v>1.05804943256282</v>
      </c>
      <c r="G17" s="23" t="n">
        <v>7085755</v>
      </c>
      <c r="H17" s="23" t="n">
        <v>3395678</v>
      </c>
      <c r="I17" s="19" t="n">
        <f aca="false">G17-H17</f>
        <v>3690077</v>
      </c>
      <c r="J17" s="18" t="n">
        <f aca="false">(G17/G16-1)*100</f>
        <v>0.538365665826501</v>
      </c>
      <c r="K17" s="18" t="n">
        <f aca="false">(G17/G13-1)*100</f>
        <v>1.72391095591193</v>
      </c>
      <c r="L17" s="18" t="n">
        <f aca="false">G17/B17*100</f>
        <v>14.4607599039018</v>
      </c>
    </row>
    <row r="18" customFormat="false" ht="15" hidden="false" customHeight="false" outlineLevel="0" collapsed="false">
      <c r="A18" s="12" t="s">
        <v>236</v>
      </c>
      <c r="B18" s="23" t="n">
        <v>49128297</v>
      </c>
      <c r="C18" s="23" t="n">
        <v>24090369</v>
      </c>
      <c r="D18" s="19" t="n">
        <f aca="false">B18-C18</f>
        <v>25037928</v>
      </c>
      <c r="E18" s="18" t="n">
        <f aca="false">(B18/B17-1)*100</f>
        <v>0.262076152023227</v>
      </c>
      <c r="F18" s="18" t="n">
        <f aca="false">(B18/B14-1)*100</f>
        <v>1.04608225123584</v>
      </c>
      <c r="G18" s="23" t="n">
        <v>7113886</v>
      </c>
      <c r="H18" s="23" t="n">
        <v>3407410</v>
      </c>
      <c r="I18" s="19" t="n">
        <f aca="false">G18-H18</f>
        <v>3706476</v>
      </c>
      <c r="J18" s="18" t="n">
        <f aca="false">(G18/G17-1)*100</f>
        <v>0.397007799451155</v>
      </c>
      <c r="K18" s="18" t="n">
        <f aca="false">(G18/G14-1)*100</f>
        <v>1.4925666988336</v>
      </c>
      <c r="L18" s="18" t="n">
        <f aca="false">G18/B18*100</f>
        <v>14.4802210424676</v>
      </c>
    </row>
    <row r="19" customFormat="false" ht="15" hidden="false" customHeight="false" outlineLevel="0" collapsed="false">
      <c r="A19" s="12" t="s">
        <v>237</v>
      </c>
      <c r="B19" s="23" t="n">
        <v>49228887</v>
      </c>
      <c r="C19" s="23" t="n">
        <v>24147005</v>
      </c>
      <c r="D19" s="19" t="n">
        <f aca="false">B19-C19</f>
        <v>25081882</v>
      </c>
      <c r="E19" s="18" t="n">
        <f aca="false">(B19/B18-1)*100</f>
        <v>0.204749617109656</v>
      </c>
      <c r="F19" s="18" t="n">
        <f aca="false">(B19/B15-1)*100</f>
        <v>1.08366479381485</v>
      </c>
      <c r="G19" s="23" t="n">
        <v>7134681</v>
      </c>
      <c r="H19" s="23" t="n">
        <v>3417445</v>
      </c>
      <c r="I19" s="19" t="n">
        <f aca="false">G19-H19</f>
        <v>3717236</v>
      </c>
      <c r="J19" s="18" t="n">
        <f aca="false">(G19/G18-1)*100</f>
        <v>0.292315620463968</v>
      </c>
      <c r="K19" s="18" t="n">
        <f aca="false">(G19/G15-1)*100</f>
        <v>1.53854495804071</v>
      </c>
      <c r="L19" s="18" t="n">
        <f aca="false">G19/B19*100</f>
        <v>14.492874884618</v>
      </c>
    </row>
    <row r="20" customFormat="false" ht="15" hidden="false" customHeight="false" outlineLevel="0" collapsed="false">
      <c r="A20" s="12" t="s">
        <v>238</v>
      </c>
      <c r="B20" s="23" t="n">
        <v>49357354</v>
      </c>
      <c r="C20" s="23" t="n">
        <v>24216773</v>
      </c>
      <c r="D20" s="19" t="n">
        <f aca="false">B20-C20</f>
        <v>25140581</v>
      </c>
      <c r="E20" s="18" t="n">
        <f aca="false">(B20/B19-1)*100</f>
        <v>0.260958570930114</v>
      </c>
      <c r="F20" s="18" t="n">
        <f aca="false">(B20/B16-1)*100</f>
        <v>1.09667506835451</v>
      </c>
      <c r="G20" s="23" t="n">
        <v>7147708</v>
      </c>
      <c r="H20" s="23" t="n">
        <v>3423939</v>
      </c>
      <c r="I20" s="19" t="n">
        <f aca="false">G20-H20</f>
        <v>3723769</v>
      </c>
      <c r="J20" s="18" t="n">
        <f aca="false">(G20/G19-1)*100</f>
        <v>0.182587000035461</v>
      </c>
      <c r="K20" s="18" t="n">
        <f aca="false">(G20/G16-1)*100</f>
        <v>1.41740443700824</v>
      </c>
      <c r="L20" s="18" t="n">
        <f aca="false">G20/B20*100</f>
        <v>14.4815461541962</v>
      </c>
    </row>
    <row r="21" customFormat="false" ht="15" hidden="false" customHeight="false" outlineLevel="0" collapsed="false">
      <c r="A21" s="12" t="s">
        <v>239</v>
      </c>
      <c r="B21" s="23" t="n">
        <v>49500617</v>
      </c>
      <c r="C21" s="23" t="n">
        <v>24295030</v>
      </c>
      <c r="D21" s="19" t="n">
        <f aca="false">B21-C21</f>
        <v>25205587</v>
      </c>
      <c r="E21" s="18" t="n">
        <f aca="false">(B21/B20-1)*100</f>
        <v>0.290256645443354</v>
      </c>
      <c r="F21" s="18" t="n">
        <f aca="false">(B21/B17-1)*100</f>
        <v>1.02191474754632</v>
      </c>
      <c r="G21" s="23" t="n">
        <v>7153501</v>
      </c>
      <c r="H21" s="23" t="n">
        <v>3427189</v>
      </c>
      <c r="I21" s="19" t="n">
        <f aca="false">G21-H21</f>
        <v>3726312</v>
      </c>
      <c r="J21" s="18" t="n">
        <f aca="false">(G21/G20-1)*100</f>
        <v>0.0810469593889307</v>
      </c>
      <c r="K21" s="18" t="n">
        <f aca="false">(G21/G17-1)*100</f>
        <v>0.956087248288995</v>
      </c>
      <c r="L21" s="18" t="n">
        <f aca="false">G21/B21*100</f>
        <v>14.45133704091</v>
      </c>
    </row>
    <row r="22" customFormat="false" ht="15" hidden="false" customHeight="false" outlineLevel="0" collapsed="false">
      <c r="A22" s="12" t="s">
        <v>240</v>
      </c>
      <c r="B22" s="23" t="n">
        <v>49596376</v>
      </c>
      <c r="C22" s="23" t="n">
        <v>24345990</v>
      </c>
      <c r="D22" s="19" t="n">
        <f aca="false">B22-C22</f>
        <v>25250386</v>
      </c>
      <c r="E22" s="18" t="n">
        <f aca="false">(B22/B21-1)*100</f>
        <v>0.193450113965254</v>
      </c>
      <c r="F22" s="18" t="n">
        <f aca="false">(B22/B18-1)*100</f>
        <v>0.952768625381006</v>
      </c>
      <c r="G22" s="23" t="n">
        <v>7168876</v>
      </c>
      <c r="H22" s="23" t="n">
        <v>3434233</v>
      </c>
      <c r="I22" s="19" t="n">
        <f aca="false">G22-H22</f>
        <v>3734643</v>
      </c>
      <c r="J22" s="18" t="n">
        <f aca="false">(G22/G21-1)*100</f>
        <v>0.214929724620161</v>
      </c>
      <c r="K22" s="18" t="n">
        <f aca="false">(G22/G18-1)*100</f>
        <v>0.772995237764573</v>
      </c>
      <c r="L22" s="18" t="n">
        <f aca="false">G22/B22*100</f>
        <v>14.4544351385674</v>
      </c>
    </row>
    <row r="23" customFormat="false" ht="15" hidden="false" customHeight="false" outlineLevel="0" collapsed="false">
      <c r="A23" s="12" t="s">
        <v>241</v>
      </c>
      <c r="B23" s="23" t="n">
        <v>49697381</v>
      </c>
      <c r="C23" s="23" t="n">
        <v>24405792</v>
      </c>
      <c r="D23" s="19" t="n">
        <f aca="false">B23-C23</f>
        <v>25291589</v>
      </c>
      <c r="E23" s="18" t="n">
        <f aca="false">(B23/B22-1)*100</f>
        <v>0.203653992783659</v>
      </c>
      <c r="F23" s="18" t="n">
        <f aca="false">(B23/B19-1)*100</f>
        <v>0.951664822322718</v>
      </c>
      <c r="G23" s="23" t="n">
        <v>7188907</v>
      </c>
      <c r="H23" s="23" t="n">
        <v>3444703</v>
      </c>
      <c r="I23" s="19" t="n">
        <f aca="false">G23-H23</f>
        <v>3744204</v>
      </c>
      <c r="J23" s="18" t="n">
        <f aca="false">(G23/G22-1)*100</f>
        <v>0.279416187419068</v>
      </c>
      <c r="K23" s="18" t="n">
        <f aca="false">(G23/G19-1)*100</f>
        <v>0.760033980496111</v>
      </c>
      <c r="L23" s="18" t="n">
        <f aca="false">G23/B23*100</f>
        <v>14.4653638790342</v>
      </c>
    </row>
    <row r="24" customFormat="false" ht="15" hidden="false" customHeight="false" outlineLevel="0" collapsed="false">
      <c r="A24" s="12" t="s">
        <v>242</v>
      </c>
      <c r="B24" s="23" t="n">
        <v>49801559</v>
      </c>
      <c r="C24" s="23" t="n">
        <v>24462607</v>
      </c>
      <c r="D24" s="19" t="n">
        <f aca="false">B24-C24</f>
        <v>25338952</v>
      </c>
      <c r="E24" s="18" t="n">
        <f aca="false">(B24/B23-1)*100</f>
        <v>0.209624728514357</v>
      </c>
      <c r="F24" s="18" t="n">
        <f aca="false">(B24/B20-1)*100</f>
        <v>0.899977336710545</v>
      </c>
      <c r="G24" s="23" t="n">
        <v>7201554</v>
      </c>
      <c r="H24" s="23" t="n">
        <v>3450616</v>
      </c>
      <c r="I24" s="19" t="n">
        <f aca="false">G24-H24</f>
        <v>3750938</v>
      </c>
      <c r="J24" s="18" t="n">
        <f aca="false">(G24/G23-1)*100</f>
        <v>0.175923822633961</v>
      </c>
      <c r="K24" s="18" t="n">
        <f aca="false">(G24/G20-1)*100</f>
        <v>0.753332396902606</v>
      </c>
      <c r="L24" s="18" t="n">
        <f aca="false">G24/B24*100</f>
        <v>14.4604991181099</v>
      </c>
    </row>
    <row r="26" customFormat="false" ht="15" hidden="false" customHeight="false" outlineLevel="0" collapsed="false">
      <c r="A26" s="11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0" min="2" style="0" width="14"/>
  </cols>
  <sheetData>
    <row r="1" customFormat="false" ht="73.5" hidden="false" customHeight="true" outlineLevel="0" collapsed="false">
      <c r="A1" s="4" t="s">
        <v>97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83</v>
      </c>
      <c r="N1" s="4" t="s">
        <v>81</v>
      </c>
      <c r="O1" s="4" t="s">
        <v>82</v>
      </c>
      <c r="P1" s="4" t="s">
        <v>255</v>
      </c>
      <c r="Q1" s="4" t="s">
        <v>85</v>
      </c>
      <c r="R1" s="4" t="s">
        <v>256</v>
      </c>
      <c r="S1" s="4" t="s">
        <v>257</v>
      </c>
      <c r="T1" s="4" t="s">
        <v>258</v>
      </c>
    </row>
    <row r="2" customFormat="false" ht="15" hidden="false" customHeight="false" outlineLevel="0" collapsed="false">
      <c r="A2" s="2" t="s">
        <v>54</v>
      </c>
      <c r="B2" s="20" t="n">
        <v>84.01</v>
      </c>
      <c r="C2" s="20" t="n">
        <v>81.38</v>
      </c>
      <c r="D2" s="20" t="n">
        <v>86.53</v>
      </c>
      <c r="E2" s="18" t="n">
        <f aca="false">D2-C2</f>
        <v>5.15000000000001</v>
      </c>
      <c r="F2" s="20" t="n">
        <v>45.83</v>
      </c>
      <c r="G2" s="20" t="n">
        <v>44.61</v>
      </c>
      <c r="H2" s="20" t="n">
        <v>47</v>
      </c>
      <c r="I2" s="20" t="n">
        <v>44.55</v>
      </c>
      <c r="J2" s="20" t="n">
        <v>43.23</v>
      </c>
      <c r="K2" s="20" t="n">
        <v>45.82</v>
      </c>
      <c r="L2" s="25" t="n">
        <v>148.05</v>
      </c>
      <c r="M2" s="20" t="n">
        <v>-2.37</v>
      </c>
      <c r="N2" s="20" t="n">
        <v>6.49</v>
      </c>
      <c r="O2" s="20" t="n">
        <v>8.87</v>
      </c>
      <c r="P2" s="20" t="n">
        <v>1.1</v>
      </c>
      <c r="Q2" s="15" t="n">
        <f aca="false">INDEX(Pob_CCAA_1jul2026!$K$2:$K$21,MATCH(A2,Pob_CCAA_1jul2026!$A$2:$A$21,0))</f>
        <v>2.49</v>
      </c>
    </row>
    <row r="3" customFormat="false" ht="15" hidden="false" customHeight="false" outlineLevel="0" collapsed="false">
      <c r="A3" s="12" t="s">
        <v>106</v>
      </c>
      <c r="B3" s="20" t="n">
        <v>82.82</v>
      </c>
      <c r="C3" s="20" t="n">
        <v>80.18</v>
      </c>
      <c r="D3" s="20" t="n">
        <v>85.42</v>
      </c>
      <c r="E3" s="18" t="n">
        <f aca="false">D3-C3</f>
        <v>5.24</v>
      </c>
      <c r="F3" s="20" t="n">
        <v>44.88</v>
      </c>
      <c r="G3" s="20" t="n">
        <v>43.73</v>
      </c>
      <c r="H3" s="20" t="n">
        <v>46</v>
      </c>
      <c r="I3" s="20" t="n">
        <v>43.53</v>
      </c>
      <c r="J3" s="20" t="n">
        <v>42.33</v>
      </c>
      <c r="K3" s="20" t="n">
        <v>44.68</v>
      </c>
      <c r="L3" s="25" t="n">
        <v>128.62</v>
      </c>
      <c r="M3" s="20" t="n">
        <v>-1.53</v>
      </c>
      <c r="N3" s="20" t="n">
        <v>6.95</v>
      </c>
      <c r="O3" s="20" t="n">
        <v>8.48</v>
      </c>
      <c r="P3" s="20" t="n">
        <v>1.18</v>
      </c>
      <c r="Q3" s="15" t="n">
        <f aca="false">INDEX(Pob_CCAA_1jul2026!$K$2:$K$21,MATCH(A3,Pob_CCAA_1jul2026!$A$2:$A$21,0))</f>
        <v>2.52</v>
      </c>
      <c r="R3" s="22" t="n">
        <f aca="false">RANK(B3,B$3:B$21,0)</f>
        <v>16</v>
      </c>
      <c r="S3" s="22" t="n">
        <f aca="false">RANK(F3,F$3:F$21,0)</f>
        <v>13</v>
      </c>
      <c r="T3" s="22" t="n">
        <f aca="false">RANK(P3,P$3:P$21,0)</f>
        <v>6</v>
      </c>
    </row>
    <row r="4" customFormat="false" ht="15" hidden="false" customHeight="false" outlineLevel="0" collapsed="false">
      <c r="A4" s="12" t="s">
        <v>107</v>
      </c>
      <c r="B4" s="20" t="n">
        <v>84.24</v>
      </c>
      <c r="C4" s="20" t="n">
        <v>81.71</v>
      </c>
      <c r="D4" s="20" t="n">
        <v>86.72</v>
      </c>
      <c r="E4" s="18" t="n">
        <f aca="false">D4-C4</f>
        <v>5.01000000000001</v>
      </c>
      <c r="F4" s="20" t="n">
        <v>46.99</v>
      </c>
      <c r="G4" s="20" t="n">
        <v>45.76</v>
      </c>
      <c r="H4" s="20" t="n">
        <v>48.21</v>
      </c>
      <c r="I4" s="20" t="n">
        <v>45.54</v>
      </c>
      <c r="J4" s="20" t="n">
        <v>44.17</v>
      </c>
      <c r="K4" s="20" t="n">
        <v>46.89</v>
      </c>
      <c r="L4" s="25" t="n">
        <v>163.47</v>
      </c>
      <c r="M4" s="20" t="n">
        <v>-3.93</v>
      </c>
      <c r="N4" s="20" t="n">
        <v>6.33</v>
      </c>
      <c r="O4" s="20" t="n">
        <v>10.26</v>
      </c>
      <c r="P4" s="20" t="n">
        <v>1.15</v>
      </c>
      <c r="Q4" s="15" t="n">
        <f aca="false">INDEX(Pob_CCAA_1jul2026!$K$2:$K$21,MATCH(A4,Pob_CCAA_1jul2026!$A$2:$A$21,0))</f>
        <v>2.37</v>
      </c>
      <c r="R4" s="22" t="n">
        <f aca="false">RANK(B4,B$3:B$21,0)</f>
        <v>5</v>
      </c>
      <c r="S4" s="22" t="n">
        <f aca="false">RANK(F4,F$3:F$21,0)</f>
        <v>8</v>
      </c>
      <c r="T4" s="22" t="n">
        <f aca="false">RANK(P4,P$3:P$21,0)</f>
        <v>8</v>
      </c>
    </row>
    <row r="5" customFormat="false" ht="15" hidden="false" customHeight="false" outlineLevel="0" collapsed="false">
      <c r="A5" s="12" t="s">
        <v>108</v>
      </c>
      <c r="B5" s="20" t="n">
        <v>83.32</v>
      </c>
      <c r="C5" s="20" t="n">
        <v>80.35</v>
      </c>
      <c r="D5" s="20" t="n">
        <v>86.14</v>
      </c>
      <c r="E5" s="18" t="n">
        <f aca="false">D5-C5</f>
        <v>5.79000000000001</v>
      </c>
      <c r="F5" s="20" t="n">
        <v>51.57</v>
      </c>
      <c r="G5" s="20" t="n">
        <v>49.99</v>
      </c>
      <c r="H5" s="20" t="n">
        <v>53.13</v>
      </c>
      <c r="I5" s="20" t="n">
        <v>49.59</v>
      </c>
      <c r="J5" s="20" t="n">
        <v>47.85</v>
      </c>
      <c r="K5" s="20" t="n">
        <v>51.18</v>
      </c>
      <c r="L5" s="25" t="n">
        <v>265.29</v>
      </c>
      <c r="M5" s="20" t="n">
        <v>-8.47</v>
      </c>
      <c r="N5" s="20" t="n">
        <v>4.48</v>
      </c>
      <c r="O5" s="20" t="n">
        <v>12.95</v>
      </c>
      <c r="P5" s="20" t="n">
        <v>0.95</v>
      </c>
      <c r="Q5" s="15" t="n">
        <f aca="false">INDEX(Pob_CCAA_1jul2026!$K$2:$K$21,MATCH(A5,Pob_CCAA_1jul2026!$A$2:$A$21,0))</f>
        <v>2.2</v>
      </c>
      <c r="R5" s="22" t="n">
        <f aca="false">RANK(B5,B$3:B$21,0)</f>
        <v>14</v>
      </c>
      <c r="S5" s="22" t="n">
        <f aca="false">RANK(F5,F$3:F$21,0)</f>
        <v>1</v>
      </c>
      <c r="T5" s="22" t="n">
        <f aca="false">RANK(P5,P$3:P$21,0)</f>
        <v>18</v>
      </c>
    </row>
    <row r="6" customFormat="false" ht="15" hidden="false" customHeight="false" outlineLevel="0" collapsed="false">
      <c r="A6" s="12" t="s">
        <v>109</v>
      </c>
      <c r="B6" s="20" t="n">
        <v>83.46</v>
      </c>
      <c r="C6" s="20" t="n">
        <v>81.06</v>
      </c>
      <c r="D6" s="20" t="n">
        <v>85.81</v>
      </c>
      <c r="E6" s="18" t="n">
        <f aca="false">D6-C6</f>
        <v>4.75</v>
      </c>
      <c r="F6" s="20" t="n">
        <v>43.16</v>
      </c>
      <c r="G6" s="20" t="n">
        <v>42.41</v>
      </c>
      <c r="H6" s="20" t="n">
        <v>43.92</v>
      </c>
      <c r="I6" s="20" t="n">
        <v>42.53</v>
      </c>
      <c r="J6" s="20" t="n">
        <v>41.59</v>
      </c>
      <c r="K6" s="20" t="n">
        <v>43.46</v>
      </c>
      <c r="L6" s="25" t="n">
        <v>117.37</v>
      </c>
      <c r="M6" s="20" t="n">
        <v>0.05</v>
      </c>
      <c r="N6" s="20" t="n">
        <v>7.31</v>
      </c>
      <c r="O6" s="20" t="n">
        <v>7.25</v>
      </c>
      <c r="P6" s="20" t="n">
        <v>1.08</v>
      </c>
      <c r="Q6" s="15" t="n">
        <f aca="false">INDEX(Pob_CCAA_1jul2026!$K$2:$K$21,MATCH(A6,Pob_CCAA_1jul2026!$A$2:$A$21,0))</f>
        <v>2.65</v>
      </c>
      <c r="R6" s="22" t="n">
        <f aca="false">RANK(B6,B$3:B$21,0)</f>
        <v>11</v>
      </c>
      <c r="S6" s="22" t="n">
        <f aca="false">RANK(F6,F$3:F$21,0)</f>
        <v>16</v>
      </c>
      <c r="T6" s="22" t="n">
        <f aca="false">RANK(P6,P$3:P$21,0)</f>
        <v>13</v>
      </c>
    </row>
    <row r="7" customFormat="false" ht="15" hidden="false" customHeight="false" outlineLevel="0" collapsed="false">
      <c r="A7" s="12" t="s">
        <v>110</v>
      </c>
      <c r="B7" s="20" t="n">
        <v>82.79</v>
      </c>
      <c r="C7" s="20" t="n">
        <v>80.54</v>
      </c>
      <c r="D7" s="20" t="n">
        <v>84.99</v>
      </c>
      <c r="E7" s="18" t="n">
        <f aca="false">D7-C7</f>
        <v>4.44999999999999</v>
      </c>
      <c r="F7" s="20" t="n">
        <v>45.73</v>
      </c>
      <c r="G7" s="20" t="n">
        <v>44.99</v>
      </c>
      <c r="H7" s="20" t="n">
        <v>46.47</v>
      </c>
      <c r="I7" s="20" t="n">
        <v>44.34</v>
      </c>
      <c r="J7" s="20" t="n">
        <v>43.42</v>
      </c>
      <c r="K7" s="20" t="n">
        <v>45.23</v>
      </c>
      <c r="L7" s="25" t="n">
        <v>149.47</v>
      </c>
      <c r="M7" s="20" t="n">
        <v>-2.6</v>
      </c>
      <c r="N7" s="20" t="n">
        <v>5.2</v>
      </c>
      <c r="O7" s="20" t="n">
        <v>7.8</v>
      </c>
      <c r="P7" s="20" t="n">
        <v>0.82</v>
      </c>
      <c r="Q7" s="15" t="n">
        <f aca="false">INDEX(Pob_CCAA_1jul2026!$K$2:$K$21,MATCH(A7,Pob_CCAA_1jul2026!$A$2:$A$21,0))</f>
        <v>2.6</v>
      </c>
      <c r="R7" s="22" t="n">
        <f aca="false">RANK(B7,B$3:B$21,0)</f>
        <v>17</v>
      </c>
      <c r="S7" s="22" t="n">
        <f aca="false">RANK(F7,F$3:F$21,0)</f>
        <v>9</v>
      </c>
      <c r="T7" s="22" t="n">
        <f aca="false">RANK(P7,P$3:P$21,0)</f>
        <v>19</v>
      </c>
    </row>
    <row r="8" customFormat="false" ht="15" hidden="false" customHeight="false" outlineLevel="0" collapsed="false">
      <c r="A8" s="12" t="s">
        <v>111</v>
      </c>
      <c r="B8" s="20" t="n">
        <v>83.89</v>
      </c>
      <c r="C8" s="20" t="n">
        <v>81.01</v>
      </c>
      <c r="D8" s="20" t="n">
        <v>86.62</v>
      </c>
      <c r="E8" s="18" t="n">
        <f aca="false">D8-C8</f>
        <v>5.61</v>
      </c>
      <c r="F8" s="20" t="n">
        <v>48.87</v>
      </c>
      <c r="G8" s="20" t="n">
        <v>47.69</v>
      </c>
      <c r="H8" s="20" t="n">
        <v>50.06</v>
      </c>
      <c r="I8" s="20" t="n">
        <v>47.1</v>
      </c>
      <c r="J8" s="20" t="n">
        <v>45.64</v>
      </c>
      <c r="K8" s="20" t="n">
        <v>48.46</v>
      </c>
      <c r="L8" s="25" t="n">
        <v>197.58</v>
      </c>
      <c r="M8" s="20" t="n">
        <v>-5.22</v>
      </c>
      <c r="N8" s="20" t="n">
        <v>5.09</v>
      </c>
      <c r="O8" s="20" t="n">
        <v>10.31</v>
      </c>
      <c r="P8" s="20" t="n">
        <v>0.99</v>
      </c>
      <c r="Q8" s="15" t="n">
        <f aca="false">INDEX(Pob_CCAA_1jul2026!$K$2:$K$21,MATCH(A8,Pob_CCAA_1jul2026!$A$2:$A$21,0))</f>
        <v>2.36</v>
      </c>
      <c r="R8" s="22" t="n">
        <f aca="false">RANK(B8,B$3:B$21,0)</f>
        <v>9</v>
      </c>
      <c r="S8" s="22" t="n">
        <f aca="false">RANK(F8,F$3:F$21,0)</f>
        <v>4</v>
      </c>
      <c r="T8" s="22" t="n">
        <f aca="false">RANK(P8,P$3:P$21,0)</f>
        <v>16</v>
      </c>
    </row>
    <row r="9" customFormat="false" ht="15" hidden="false" customHeight="false" outlineLevel="0" collapsed="false">
      <c r="A9" s="12" t="s">
        <v>112</v>
      </c>
      <c r="B9" s="20" t="n">
        <v>84.67</v>
      </c>
      <c r="C9" s="20" t="n">
        <v>82.08</v>
      </c>
      <c r="D9" s="20" t="n">
        <v>87.28</v>
      </c>
      <c r="E9" s="18" t="n">
        <f aca="false">D9-C9</f>
        <v>5.2</v>
      </c>
      <c r="F9" s="20" t="n">
        <v>50.61</v>
      </c>
      <c r="G9" s="20" t="n">
        <v>49.35</v>
      </c>
      <c r="H9" s="20" t="n">
        <v>51.89</v>
      </c>
      <c r="I9" s="20" t="n">
        <v>48.6</v>
      </c>
      <c r="J9" s="20" t="n">
        <v>47.23</v>
      </c>
      <c r="K9" s="20" t="n">
        <v>49.94</v>
      </c>
      <c r="L9" s="25" t="n">
        <v>230.7</v>
      </c>
      <c r="M9" s="20" t="n">
        <v>-6.69</v>
      </c>
      <c r="N9" s="20" t="n">
        <v>5.23</v>
      </c>
      <c r="O9" s="20" t="n">
        <v>11.92</v>
      </c>
      <c r="P9" s="20" t="n">
        <v>1.07</v>
      </c>
      <c r="Q9" s="15" t="n">
        <f aca="false">INDEX(Pob_CCAA_1jul2026!$K$2:$K$21,MATCH(A9,Pob_CCAA_1jul2026!$A$2:$A$21,0))</f>
        <v>2.23</v>
      </c>
      <c r="R9" s="22" t="n">
        <f aca="false">RANK(B9,B$3:B$21,0)</f>
        <v>2</v>
      </c>
      <c r="S9" s="22" t="n">
        <f aca="false">RANK(F9,F$3:F$21,0)</f>
        <v>2</v>
      </c>
      <c r="T9" s="22" t="n">
        <f aca="false">RANK(P9,P$3:P$21,0)</f>
        <v>15</v>
      </c>
    </row>
    <row r="10" customFormat="false" ht="15" hidden="false" customHeight="false" outlineLevel="0" collapsed="false">
      <c r="A10" s="12" t="s">
        <v>113</v>
      </c>
      <c r="B10" s="20" t="n">
        <v>83.85</v>
      </c>
      <c r="C10" s="20" t="n">
        <v>81.43</v>
      </c>
      <c r="D10" s="20" t="n">
        <v>86.33</v>
      </c>
      <c r="E10" s="18" t="n">
        <f aca="false">D10-C10</f>
        <v>4.89999999999999</v>
      </c>
      <c r="F10" s="20" t="n">
        <v>45.44</v>
      </c>
      <c r="G10" s="20" t="n">
        <v>44.46</v>
      </c>
      <c r="H10" s="20" t="n">
        <v>46.45</v>
      </c>
      <c r="I10" s="20" t="n">
        <v>44.17</v>
      </c>
      <c r="J10" s="20" t="n">
        <v>43.09</v>
      </c>
      <c r="K10" s="20" t="n">
        <v>45.26</v>
      </c>
      <c r="L10" s="25" t="n">
        <v>136.02</v>
      </c>
      <c r="M10" s="20" t="n">
        <v>-2.63</v>
      </c>
      <c r="N10" s="20" t="n">
        <v>6.71</v>
      </c>
      <c r="O10" s="20" t="n">
        <v>9.34</v>
      </c>
      <c r="P10" s="20" t="n">
        <v>1.19</v>
      </c>
      <c r="Q10" s="15" t="n">
        <f aca="false">INDEX(Pob_CCAA_1jul2026!$K$2:$K$21,MATCH(A10,Pob_CCAA_1jul2026!$A$2:$A$21,0))</f>
        <v>2.5</v>
      </c>
      <c r="R10" s="22" t="n">
        <f aca="false">RANK(B10,B$3:B$21,0)</f>
        <v>10</v>
      </c>
      <c r="S10" s="22" t="n">
        <f aca="false">RANK(F10,F$3:F$21,0)</f>
        <v>12</v>
      </c>
      <c r="T10" s="22" t="n">
        <f aca="false">RANK(P10,P$3:P$21,0)</f>
        <v>5</v>
      </c>
    </row>
    <row r="11" customFormat="false" ht="15" hidden="false" customHeight="false" outlineLevel="0" collapsed="false">
      <c r="A11" s="12" t="s">
        <v>114</v>
      </c>
      <c r="B11" s="20" t="n">
        <v>84.24</v>
      </c>
      <c r="C11" s="20" t="n">
        <v>81.64</v>
      </c>
      <c r="D11" s="20" t="n">
        <v>86.69</v>
      </c>
      <c r="E11" s="18" t="n">
        <f aca="false">D11-C11</f>
        <v>5.05</v>
      </c>
      <c r="F11" s="20" t="n">
        <v>44.58</v>
      </c>
      <c r="G11" s="20" t="n">
        <v>43.26</v>
      </c>
      <c r="H11" s="20" t="n">
        <v>45.86</v>
      </c>
      <c r="I11" s="20" t="n">
        <v>43.69</v>
      </c>
      <c r="J11" s="20" t="n">
        <v>42.31</v>
      </c>
      <c r="K11" s="20" t="n">
        <v>45.03</v>
      </c>
      <c r="L11" s="25" t="n">
        <v>136.89</v>
      </c>
      <c r="M11" s="20" t="n">
        <v>-1.71</v>
      </c>
      <c r="N11" s="20" t="n">
        <v>6.66</v>
      </c>
      <c r="O11" s="20" t="n">
        <v>8.37</v>
      </c>
      <c r="P11" s="20" t="n">
        <v>1.08</v>
      </c>
      <c r="Q11" s="15" t="n">
        <f aca="false">INDEX(Pob_CCAA_1jul2026!$K$2:$K$21,MATCH(A11,Pob_CCAA_1jul2026!$A$2:$A$21,0))</f>
        <v>2.54</v>
      </c>
      <c r="R11" s="22" t="n">
        <f aca="false">RANK(B11,B$3:B$21,0)</f>
        <v>5</v>
      </c>
      <c r="S11" s="22" t="n">
        <f aca="false">RANK(F11,F$3:F$21,0)</f>
        <v>14</v>
      </c>
      <c r="T11" s="22" t="n">
        <f aca="false">RANK(P11,P$3:P$21,0)</f>
        <v>13</v>
      </c>
    </row>
    <row r="12" customFormat="false" ht="15" hidden="false" customHeight="false" outlineLevel="0" collapsed="false">
      <c r="A12" s="12" t="s">
        <v>115</v>
      </c>
      <c r="B12" s="20" t="n">
        <v>83.4</v>
      </c>
      <c r="C12" s="20" t="n">
        <v>80.89</v>
      </c>
      <c r="D12" s="20" t="n">
        <v>85.84</v>
      </c>
      <c r="E12" s="18" t="n">
        <f aca="false">D12-C12</f>
        <v>4.95</v>
      </c>
      <c r="F12" s="20" t="n">
        <v>45.62</v>
      </c>
      <c r="G12" s="20" t="n">
        <v>44.52</v>
      </c>
      <c r="H12" s="20" t="n">
        <v>46.7</v>
      </c>
      <c r="I12" s="20" t="n">
        <v>44.25</v>
      </c>
      <c r="J12" s="20" t="n">
        <v>43.02</v>
      </c>
      <c r="K12" s="20" t="n">
        <v>45.44</v>
      </c>
      <c r="L12" s="25" t="n">
        <v>142.92</v>
      </c>
      <c r="M12" s="20" t="n">
        <v>-2.01</v>
      </c>
      <c r="N12" s="20" t="n">
        <v>6.61</v>
      </c>
      <c r="O12" s="20" t="n">
        <v>8.62</v>
      </c>
      <c r="P12" s="20" t="n">
        <v>1.14</v>
      </c>
      <c r="Q12" s="15" t="n">
        <f aca="false">INDEX(Pob_CCAA_1jul2026!$K$2:$K$21,MATCH(A12,Pob_CCAA_1jul2026!$A$2:$A$21,0))</f>
        <v>2.48</v>
      </c>
      <c r="R12" s="22" t="n">
        <f aca="false">RANK(B12,B$3:B$21,0)</f>
        <v>12</v>
      </c>
      <c r="S12" s="22" t="n">
        <f aca="false">RANK(F12,F$3:F$21,0)</f>
        <v>11</v>
      </c>
      <c r="T12" s="22" t="n">
        <f aca="false">RANK(P12,P$3:P$21,0)</f>
        <v>9</v>
      </c>
    </row>
    <row r="13" customFormat="false" ht="15" hidden="false" customHeight="false" outlineLevel="0" collapsed="false">
      <c r="A13" s="12" t="s">
        <v>116</v>
      </c>
      <c r="B13" s="20" t="n">
        <v>83.13</v>
      </c>
      <c r="C13" s="20" t="n">
        <v>80.36</v>
      </c>
      <c r="D13" s="20" t="n">
        <v>85.99</v>
      </c>
      <c r="E13" s="18" t="n">
        <f aca="false">D13-C13</f>
        <v>5.63</v>
      </c>
      <c r="F13" s="20" t="n">
        <v>47.76</v>
      </c>
      <c r="G13" s="20" t="n">
        <v>46.65</v>
      </c>
      <c r="H13" s="20" t="n">
        <v>48.86</v>
      </c>
      <c r="I13" s="20" t="n">
        <v>46.06</v>
      </c>
      <c r="J13" s="20" t="n">
        <v>44.87</v>
      </c>
      <c r="K13" s="20" t="n">
        <v>47.22</v>
      </c>
      <c r="L13" s="25" t="n">
        <v>172.64</v>
      </c>
      <c r="M13" s="20" t="n">
        <v>-4.68</v>
      </c>
      <c r="N13" s="20" t="n">
        <v>6.2</v>
      </c>
      <c r="O13" s="20" t="n">
        <v>10.89</v>
      </c>
      <c r="P13" s="20" t="n">
        <v>1.13</v>
      </c>
      <c r="Q13" s="15" t="n">
        <f aca="false">INDEX(Pob_CCAA_1jul2026!$K$2:$K$21,MATCH(A13,Pob_CCAA_1jul2026!$A$2:$A$21,0))</f>
        <v>2.33</v>
      </c>
      <c r="R13" s="22" t="n">
        <f aca="false">RANK(B13,B$3:B$21,0)</f>
        <v>15</v>
      </c>
      <c r="S13" s="22" t="n">
        <f aca="false">RANK(F13,F$3:F$21,0)</f>
        <v>6</v>
      </c>
      <c r="T13" s="22" t="n">
        <f aca="false">RANK(P13,P$3:P$21,0)</f>
        <v>10</v>
      </c>
    </row>
    <row r="14" customFormat="false" ht="15" hidden="false" customHeight="false" outlineLevel="0" collapsed="false">
      <c r="A14" s="12" t="s">
        <v>117</v>
      </c>
      <c r="B14" s="20" t="n">
        <v>84.09</v>
      </c>
      <c r="C14" s="20" t="n">
        <v>81.23</v>
      </c>
      <c r="D14" s="20" t="n">
        <v>86.86</v>
      </c>
      <c r="E14" s="18" t="n">
        <f aca="false">D14-C14</f>
        <v>5.63</v>
      </c>
      <c r="F14" s="20" t="n">
        <v>50.02</v>
      </c>
      <c r="G14" s="20" t="n">
        <v>48.57</v>
      </c>
      <c r="H14" s="20" t="n">
        <v>51.49</v>
      </c>
      <c r="I14" s="20" t="n">
        <v>48.52</v>
      </c>
      <c r="J14" s="20" t="n">
        <v>46.9</v>
      </c>
      <c r="K14" s="20" t="n">
        <v>50.03</v>
      </c>
      <c r="L14" s="25" t="n">
        <v>231.61</v>
      </c>
      <c r="M14" s="20" t="n">
        <v>-7.16</v>
      </c>
      <c r="N14" s="20" t="n">
        <v>4.93</v>
      </c>
      <c r="O14" s="20" t="n">
        <v>12.08</v>
      </c>
      <c r="P14" s="20" t="n">
        <v>0.96</v>
      </c>
      <c r="Q14" s="15" t="n">
        <f aca="false">INDEX(Pob_CCAA_1jul2026!$K$2:$K$21,MATCH(A14,Pob_CCAA_1jul2026!$A$2:$A$21,0))</f>
        <v>2.38</v>
      </c>
      <c r="R14" s="22" t="n">
        <f aca="false">RANK(B14,B$3:B$21,0)</f>
        <v>7</v>
      </c>
      <c r="S14" s="22" t="n">
        <f aca="false">RANK(F14,F$3:F$21,0)</f>
        <v>3</v>
      </c>
      <c r="T14" s="22" t="n">
        <f aca="false">RANK(P14,P$3:P$21,0)</f>
        <v>17</v>
      </c>
    </row>
    <row r="15" customFormat="false" ht="15" hidden="false" customHeight="false" outlineLevel="0" collapsed="false">
      <c r="A15" s="12" t="s">
        <v>55</v>
      </c>
      <c r="B15" s="20" t="n">
        <v>85.58</v>
      </c>
      <c r="C15" s="20" t="n">
        <v>83.07</v>
      </c>
      <c r="D15" s="20" t="n">
        <v>87.74</v>
      </c>
      <c r="E15" s="18" t="n">
        <f aca="false">D15-C15</f>
        <v>4.67</v>
      </c>
      <c r="F15" s="20" t="n">
        <v>44.22</v>
      </c>
      <c r="G15" s="20" t="n">
        <v>42.72</v>
      </c>
      <c r="H15" s="20" t="n">
        <v>45.59</v>
      </c>
      <c r="I15" s="20" t="n">
        <v>43.42</v>
      </c>
      <c r="J15" s="20" t="n">
        <v>41.91</v>
      </c>
      <c r="K15" s="20" t="n">
        <v>44.82</v>
      </c>
      <c r="L15" s="25" t="n">
        <v>131.42</v>
      </c>
      <c r="M15" s="20" t="n">
        <v>0.19</v>
      </c>
      <c r="N15" s="20" t="n">
        <v>7.19</v>
      </c>
      <c r="O15" s="20" t="n">
        <v>7</v>
      </c>
      <c r="P15" s="20" t="n">
        <v>1.09</v>
      </c>
      <c r="Q15" s="15" t="n">
        <f aca="false">INDEX(Pob_CCAA_1jul2026!$K$2:$K$21,MATCH(A15,Pob_CCAA_1jul2026!$A$2:$A$21,0))</f>
        <v>2.58</v>
      </c>
      <c r="R15" s="22" t="n">
        <f aca="false">RANK(B15,B$3:B$21,0)</f>
        <v>1</v>
      </c>
      <c r="S15" s="22" t="n">
        <f aca="false">RANK(F15,F$3:F$21,0)</f>
        <v>15</v>
      </c>
      <c r="T15" s="22" t="n">
        <f aca="false">RANK(P15,P$3:P$21,0)</f>
        <v>12</v>
      </c>
    </row>
    <row r="16" customFormat="false" ht="15" hidden="false" customHeight="false" outlineLevel="0" collapsed="false">
      <c r="A16" s="12" t="s">
        <v>118</v>
      </c>
      <c r="B16" s="20" t="n">
        <v>83.39</v>
      </c>
      <c r="C16" s="20" t="n">
        <v>80.88</v>
      </c>
      <c r="D16" s="20" t="n">
        <v>85.87</v>
      </c>
      <c r="E16" s="18" t="n">
        <f aca="false">D16-C16</f>
        <v>4.99000000000001</v>
      </c>
      <c r="F16" s="20" t="n">
        <v>42.92</v>
      </c>
      <c r="G16" s="20" t="n">
        <v>41.91</v>
      </c>
      <c r="H16" s="20" t="n">
        <v>43.91</v>
      </c>
      <c r="I16" s="20" t="n">
        <v>41.82</v>
      </c>
      <c r="J16" s="20" t="n">
        <v>40.74</v>
      </c>
      <c r="K16" s="20" t="n">
        <v>42.91</v>
      </c>
      <c r="L16" s="25" t="n">
        <v>102.73</v>
      </c>
      <c r="M16" s="20" t="n">
        <v>0.5</v>
      </c>
      <c r="N16" s="20" t="n">
        <v>7.93</v>
      </c>
      <c r="O16" s="20" t="n">
        <v>7.42</v>
      </c>
      <c r="P16" s="20" t="n">
        <v>1.32</v>
      </c>
      <c r="Q16" s="15" t="n">
        <f aca="false">INDEX(Pob_CCAA_1jul2026!$K$2:$K$21,MATCH(A16,Pob_CCAA_1jul2026!$A$2:$A$21,0))</f>
        <v>2.7</v>
      </c>
      <c r="R16" s="22" t="n">
        <f aca="false">RANK(B16,B$3:B$21,0)</f>
        <v>13</v>
      </c>
      <c r="S16" s="22" t="n">
        <f aca="false">RANK(F16,F$3:F$21,0)</f>
        <v>17</v>
      </c>
      <c r="T16" s="22" t="n">
        <f aca="false">RANK(P16,P$3:P$21,0)</f>
        <v>2</v>
      </c>
    </row>
    <row r="17" customFormat="false" ht="15" hidden="false" customHeight="false" outlineLevel="0" collapsed="false">
      <c r="A17" s="12" t="s">
        <v>119</v>
      </c>
      <c r="B17" s="20" t="n">
        <v>84.66</v>
      </c>
      <c r="C17" s="20" t="n">
        <v>81.96</v>
      </c>
      <c r="D17" s="20" t="n">
        <v>87.33</v>
      </c>
      <c r="E17" s="18" t="n">
        <f aca="false">D17-C17</f>
        <v>5.37</v>
      </c>
      <c r="F17" s="20" t="n">
        <v>45.67</v>
      </c>
      <c r="G17" s="20" t="n">
        <v>44.68</v>
      </c>
      <c r="H17" s="20" t="n">
        <v>46.64</v>
      </c>
      <c r="I17" s="20" t="n">
        <v>44.22</v>
      </c>
      <c r="J17" s="20" t="n">
        <v>43.06</v>
      </c>
      <c r="K17" s="20" t="n">
        <v>45.35</v>
      </c>
      <c r="L17" s="25" t="n">
        <v>139.26</v>
      </c>
      <c r="M17" s="20" t="n">
        <v>-2.16</v>
      </c>
      <c r="N17" s="20" t="n">
        <v>6.71</v>
      </c>
      <c r="O17" s="20" t="n">
        <v>8.87</v>
      </c>
      <c r="P17" s="20" t="n">
        <v>1.2</v>
      </c>
      <c r="Q17" s="15" t="n">
        <f aca="false">INDEX(Pob_CCAA_1jul2026!$K$2:$K$21,MATCH(A17,Pob_CCAA_1jul2026!$A$2:$A$21,0))</f>
        <v>2.5</v>
      </c>
      <c r="R17" s="22" t="n">
        <f aca="false">RANK(B17,B$3:B$21,0)</f>
        <v>3</v>
      </c>
      <c r="S17" s="22" t="n">
        <f aca="false">RANK(F17,F$3:F$21,0)</f>
        <v>10</v>
      </c>
      <c r="T17" s="22" t="n">
        <f aca="false">RANK(P17,P$3:P$21,0)</f>
        <v>4</v>
      </c>
    </row>
    <row r="18" customFormat="false" ht="15" hidden="false" customHeight="false" outlineLevel="0" collapsed="false">
      <c r="A18" s="12" t="s">
        <v>120</v>
      </c>
      <c r="B18" s="20" t="n">
        <v>84.64</v>
      </c>
      <c r="C18" s="20" t="n">
        <v>81.91</v>
      </c>
      <c r="D18" s="20" t="n">
        <v>87.2</v>
      </c>
      <c r="E18" s="18" t="n">
        <f aca="false">D18-C18</f>
        <v>5.29000000000001</v>
      </c>
      <c r="F18" s="20" t="n">
        <v>48.32</v>
      </c>
      <c r="G18" s="20" t="n">
        <v>46.92</v>
      </c>
      <c r="H18" s="20" t="n">
        <v>49.71</v>
      </c>
      <c r="I18" s="20" t="n">
        <v>46.5</v>
      </c>
      <c r="J18" s="20" t="n">
        <v>44.93</v>
      </c>
      <c r="K18" s="20" t="n">
        <v>48</v>
      </c>
      <c r="L18" s="25" t="n">
        <v>183.84</v>
      </c>
      <c r="M18" s="20" t="n">
        <v>-4.23</v>
      </c>
      <c r="N18" s="20" t="n">
        <v>5.79</v>
      </c>
      <c r="O18" s="20" t="n">
        <v>10.02</v>
      </c>
      <c r="P18" s="20" t="n">
        <v>1.1</v>
      </c>
      <c r="Q18" s="15" t="n">
        <f aca="false">INDEX(Pob_CCAA_1jul2026!$K$2:$K$21,MATCH(A18,Pob_CCAA_1jul2026!$A$2:$A$21,0))</f>
        <v>2.32</v>
      </c>
      <c r="R18" s="22" t="n">
        <f aca="false">RANK(B18,B$3:B$21,0)</f>
        <v>4</v>
      </c>
      <c r="S18" s="22" t="n">
        <f aca="false">RANK(F18,F$3:F$21,0)</f>
        <v>5</v>
      </c>
      <c r="T18" s="22" t="n">
        <f aca="false">RANK(P18,P$3:P$21,0)</f>
        <v>11</v>
      </c>
    </row>
    <row r="19" customFormat="false" ht="15" hidden="false" customHeight="false" outlineLevel="0" collapsed="false">
      <c r="A19" s="12" t="s">
        <v>121</v>
      </c>
      <c r="B19" s="20" t="n">
        <v>83.9</v>
      </c>
      <c r="C19" s="20" t="n">
        <v>81.3</v>
      </c>
      <c r="D19" s="20" t="n">
        <v>86.51</v>
      </c>
      <c r="E19" s="18" t="n">
        <f aca="false">D19-C19</f>
        <v>5.21000000000001</v>
      </c>
      <c r="F19" s="20" t="n">
        <v>47.02</v>
      </c>
      <c r="G19" s="20" t="n">
        <v>46.14</v>
      </c>
      <c r="H19" s="20" t="n">
        <v>47.92</v>
      </c>
      <c r="I19" s="20" t="n">
        <v>45.45</v>
      </c>
      <c r="J19" s="20" t="n">
        <v>44.3</v>
      </c>
      <c r="K19" s="20" t="n">
        <v>46.57</v>
      </c>
      <c r="L19" s="25" t="n">
        <v>159.25</v>
      </c>
      <c r="M19" s="20" t="n">
        <v>-3.86</v>
      </c>
      <c r="N19" s="20" t="n">
        <v>6.3</v>
      </c>
      <c r="O19" s="20" t="n">
        <v>10.16</v>
      </c>
      <c r="P19" s="20" t="n">
        <v>1.16</v>
      </c>
      <c r="Q19" s="15" t="n">
        <f aca="false">INDEX(Pob_CCAA_1jul2026!$K$2:$K$21,MATCH(A19,Pob_CCAA_1jul2026!$A$2:$A$21,0))</f>
        <v>2.33</v>
      </c>
      <c r="R19" s="22" t="n">
        <f aca="false">RANK(B19,B$3:B$21,0)</f>
        <v>8</v>
      </c>
      <c r="S19" s="22" t="n">
        <f aca="false">RANK(F19,F$3:F$21,0)</f>
        <v>7</v>
      </c>
      <c r="T19" s="22" t="n">
        <f aca="false">RANK(P19,P$3:P$21,0)</f>
        <v>7</v>
      </c>
    </row>
    <row r="20" customFormat="false" ht="15" hidden="false" customHeight="false" outlineLevel="0" collapsed="false">
      <c r="A20" s="12" t="s">
        <v>122</v>
      </c>
      <c r="B20" s="20" t="n">
        <v>81.6</v>
      </c>
      <c r="C20" s="20" t="n">
        <v>79.63</v>
      </c>
      <c r="D20" s="20" t="n">
        <v>83.51</v>
      </c>
      <c r="E20" s="18" t="n">
        <f aca="false">D20-C20</f>
        <v>3.88000000000001</v>
      </c>
      <c r="F20" s="20" t="n">
        <v>39.21</v>
      </c>
      <c r="G20" s="20" t="n">
        <v>38.95</v>
      </c>
      <c r="H20" s="20" t="n">
        <v>39.48</v>
      </c>
      <c r="I20" s="20" t="n">
        <v>39.25</v>
      </c>
      <c r="J20" s="20" t="n">
        <v>38.7</v>
      </c>
      <c r="K20" s="20" t="n">
        <v>39.81</v>
      </c>
      <c r="L20" s="25" t="n">
        <v>74.48</v>
      </c>
      <c r="M20" s="20" t="n">
        <v>1.96</v>
      </c>
      <c r="N20" s="20" t="n">
        <v>8.22</v>
      </c>
      <c r="O20" s="20" t="n">
        <v>6.26</v>
      </c>
      <c r="P20" s="20" t="n">
        <v>1.26</v>
      </c>
      <c r="Q20" s="15" t="n">
        <f aca="false">INDEX(Pob_CCAA_1jul2026!$K$2:$K$21,MATCH(A20,Pob_CCAA_1jul2026!$A$2:$A$21,0))</f>
        <v>3.07</v>
      </c>
      <c r="R20" s="22" t="n">
        <f aca="false">RANK(B20,B$3:B$21,0)</f>
        <v>19</v>
      </c>
      <c r="S20" s="22" t="n">
        <f aca="false">RANK(F20,F$3:F$21,0)</f>
        <v>18</v>
      </c>
      <c r="T20" s="22" t="n">
        <f aca="false">RANK(P20,P$3:P$21,0)</f>
        <v>3</v>
      </c>
    </row>
    <row r="21" customFormat="false" ht="15" hidden="false" customHeight="false" outlineLevel="0" collapsed="false">
      <c r="A21" s="12" t="s">
        <v>123</v>
      </c>
      <c r="B21" s="20" t="n">
        <v>82.66</v>
      </c>
      <c r="C21" s="20" t="n">
        <v>80.07</v>
      </c>
      <c r="D21" s="20" t="n">
        <v>85.2</v>
      </c>
      <c r="E21" s="18" t="n">
        <f aca="false">D21-C21</f>
        <v>5.13000000000001</v>
      </c>
      <c r="F21" s="20" t="n">
        <v>36.74</v>
      </c>
      <c r="G21" s="20" t="n">
        <v>35.98</v>
      </c>
      <c r="H21" s="20" t="n">
        <v>37.48</v>
      </c>
      <c r="I21" s="20" t="n">
        <v>37.66</v>
      </c>
      <c r="J21" s="20" t="n">
        <v>37.02</v>
      </c>
      <c r="K21" s="20" t="n">
        <v>38.3</v>
      </c>
      <c r="L21" s="25" t="n">
        <v>60.4</v>
      </c>
      <c r="M21" s="20" t="n">
        <v>4.17</v>
      </c>
      <c r="N21" s="20" t="n">
        <v>9.19</v>
      </c>
      <c r="O21" s="20" t="n">
        <v>5.02</v>
      </c>
      <c r="P21" s="20" t="n">
        <v>1.36</v>
      </c>
      <c r="Q21" s="15" t="n">
        <f aca="false">INDEX(Pob_CCAA_1jul2026!$K$2:$K$21,MATCH(A21,Pob_CCAA_1jul2026!$A$2:$A$21,0))</f>
        <v>3.13</v>
      </c>
      <c r="R21" s="22" t="n">
        <f aca="false">RANK(B21,B$3:B$21,0)</f>
        <v>18</v>
      </c>
      <c r="S21" s="22" t="n">
        <f aca="false">RANK(F21,F$3:F$21,0)</f>
        <v>19</v>
      </c>
      <c r="T21" s="22" t="n">
        <f aca="false">RANK(P21,P$3:P$21,0)</f>
        <v>1</v>
      </c>
    </row>
    <row r="23" customFormat="false" ht="15" hidden="false" customHeight="false" outlineLevel="0" collapsed="false">
      <c r="A23" s="11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11" t="s">
        <v>261</v>
      </c>
    </row>
    <row r="4" customFormat="false" ht="15" hidden="false" customHeight="false" outlineLevel="0" collapsed="false">
      <c r="A4" s="4" t="s">
        <v>262</v>
      </c>
      <c r="B4" s="4" t="s">
        <v>263</v>
      </c>
      <c r="C4" s="4" t="s">
        <v>264</v>
      </c>
      <c r="D4" s="4" t="s">
        <v>265</v>
      </c>
    </row>
    <row r="5" customFormat="false" ht="15" hidden="false" customHeight="false" outlineLevel="0" collapsed="false">
      <c r="A5" s="12" t="s">
        <v>266</v>
      </c>
      <c r="B5" s="13" t="n">
        <f aca="false">Historico_1971_2026!B57</f>
        <v>49596376</v>
      </c>
      <c r="C5" s="12" t="s">
        <v>267</v>
      </c>
      <c r="D5" s="11" t="s">
        <v>268</v>
      </c>
    </row>
    <row r="6" customFormat="false" ht="15" hidden="false" customHeight="false" outlineLevel="0" collapsed="false">
      <c r="A6" s="12" t="s">
        <v>269</v>
      </c>
      <c r="B6" s="23" t="n">
        <v>4251150</v>
      </c>
      <c r="C6" s="12" t="s">
        <v>267</v>
      </c>
      <c r="D6" s="11" t="s">
        <v>270</v>
      </c>
    </row>
    <row r="7" customFormat="false" ht="15" hidden="false" customHeight="false" outlineLevel="0" collapsed="false">
      <c r="A7" s="12" t="s">
        <v>271</v>
      </c>
      <c r="B7" s="25" t="n">
        <v>8.6</v>
      </c>
      <c r="C7" s="12" t="s">
        <v>272</v>
      </c>
      <c r="D7" s="11" t="s">
        <v>273</v>
      </c>
    </row>
    <row r="8" customFormat="false" ht="15" hidden="false" customHeight="false" outlineLevel="0" collapsed="false">
      <c r="A8" s="12" t="s">
        <v>274</v>
      </c>
      <c r="B8" s="21" t="n">
        <f aca="false">B5+B6</f>
        <v>53847526</v>
      </c>
      <c r="C8" s="12" t="s">
        <v>267</v>
      </c>
      <c r="D8" s="11" t="s">
        <v>275</v>
      </c>
    </row>
    <row r="9" customFormat="false" ht="15" hidden="false" customHeight="false" outlineLevel="0" collapsed="false">
      <c r="A9" s="12" t="s">
        <v>276</v>
      </c>
      <c r="B9" s="25" t="n">
        <v>53</v>
      </c>
      <c r="C9" s="12" t="s">
        <v>277</v>
      </c>
      <c r="D9" s="11" t="s">
        <v>278</v>
      </c>
    </row>
    <row r="10" customFormat="false" ht="15" hidden="false" customHeight="false" outlineLevel="0" collapsed="false">
      <c r="A10" s="12" t="s">
        <v>279</v>
      </c>
      <c r="B10" s="23" t="n">
        <v>42730217</v>
      </c>
      <c r="C10" s="12" t="s">
        <v>267</v>
      </c>
      <c r="D10" s="11" t="s">
        <v>280</v>
      </c>
    </row>
    <row r="11" customFormat="false" ht="15" hidden="false" customHeight="false" outlineLevel="0" collapsed="false">
      <c r="A11" s="12" t="s">
        <v>281</v>
      </c>
      <c r="B11" s="23" t="n">
        <v>64011425</v>
      </c>
      <c r="C11" s="12" t="s">
        <v>267</v>
      </c>
      <c r="D11" s="11" t="s">
        <v>280</v>
      </c>
    </row>
    <row r="12" customFormat="false" ht="15" hidden="false" customHeight="false" outlineLevel="0" collapsed="false">
      <c r="A12" s="12" t="s">
        <v>282</v>
      </c>
      <c r="B12" s="25" t="n">
        <v>31.7</v>
      </c>
      <c r="C12" s="12" t="s">
        <v>277</v>
      </c>
      <c r="D12" s="11" t="s">
        <v>283</v>
      </c>
    </row>
    <row r="13" customFormat="false" ht="15" hidden="false" customHeight="false" outlineLevel="0" collapsed="false">
      <c r="A13" s="12" t="s">
        <v>284</v>
      </c>
      <c r="B13" s="25" t="n">
        <v>14.4</v>
      </c>
      <c r="C13" s="12" t="s">
        <v>272</v>
      </c>
      <c r="D13" s="11" t="s">
        <v>285</v>
      </c>
    </row>
    <row r="14" customFormat="false" ht="15" hidden="false" customHeight="false" outlineLevel="0" collapsed="false">
      <c r="A14" s="12" t="s">
        <v>286</v>
      </c>
      <c r="B14" s="23" t="n">
        <v>1035571</v>
      </c>
      <c r="C14" s="12" t="s">
        <v>267</v>
      </c>
      <c r="D14" s="11" t="s">
        <v>287</v>
      </c>
    </row>
    <row r="15" customFormat="false" ht="15" hidden="false" customHeight="false" outlineLevel="0" collapsed="false">
      <c r="A15" s="12" t="s">
        <v>288</v>
      </c>
      <c r="B15" s="23" t="n">
        <v>8204833</v>
      </c>
      <c r="C15" s="12" t="s">
        <v>267</v>
      </c>
      <c r="D15" s="11" t="s">
        <v>289</v>
      </c>
    </row>
    <row r="16" customFormat="false" ht="15" hidden="false" customHeight="false" outlineLevel="0" collapsed="false">
      <c r="A16" s="12" t="s">
        <v>290</v>
      </c>
      <c r="B16" s="26" t="n">
        <f aca="false">Historico_1971_2026!F57*(1+B13/100)</f>
        <v>8201194.144</v>
      </c>
      <c r="C16" s="12" t="s">
        <v>267</v>
      </c>
      <c r="D16" s="11" t="s">
        <v>291</v>
      </c>
    </row>
    <row r="17" customFormat="false" ht="15" hidden="false" customHeight="false" outlineLevel="0" collapsed="false">
      <c r="A17" s="12" t="s">
        <v>292</v>
      </c>
      <c r="B17" s="25" t="n">
        <v>16.4</v>
      </c>
      <c r="C17" s="12" t="s">
        <v>272</v>
      </c>
      <c r="D17" s="11" t="s">
        <v>293</v>
      </c>
    </row>
    <row r="18" customFormat="false" ht="15" hidden="false" customHeight="false" outlineLevel="0" collapsed="false">
      <c r="A18" s="12" t="s">
        <v>294</v>
      </c>
      <c r="B18" s="25" t="n">
        <v>16.2</v>
      </c>
      <c r="C18" s="12" t="s">
        <v>272</v>
      </c>
      <c r="D18" s="11"/>
    </row>
    <row r="19" customFormat="false" ht="15" hidden="false" customHeight="false" outlineLevel="0" collapsed="false">
      <c r="A19" s="12" t="s">
        <v>295</v>
      </c>
      <c r="B19" s="25" t="n">
        <v>-4.5</v>
      </c>
      <c r="C19" s="12" t="s">
        <v>272</v>
      </c>
      <c r="D19" s="11" t="s">
        <v>296</v>
      </c>
    </row>
    <row r="20" customFormat="false" ht="15" hidden="false" customHeight="false" outlineLevel="0" collapsed="false">
      <c r="A20" s="12" t="s">
        <v>297</v>
      </c>
      <c r="B20" s="25" t="n">
        <v>-1.6</v>
      </c>
      <c r="C20" s="12" t="s">
        <v>272</v>
      </c>
      <c r="D20" s="11"/>
    </row>
    <row r="21" customFormat="false" ht="15" hidden="false" customHeight="false" outlineLevel="0" collapsed="false">
      <c r="A21" s="12" t="s">
        <v>298</v>
      </c>
      <c r="B21" s="25" t="n">
        <v>-1</v>
      </c>
      <c r="C21" s="12" t="s">
        <v>272</v>
      </c>
      <c r="D21" s="11"/>
    </row>
    <row r="22" customFormat="false" ht="15" hidden="false" customHeight="false" outlineLevel="0" collapsed="false">
      <c r="A22" s="12" t="s">
        <v>299</v>
      </c>
      <c r="B22" s="12" t="s">
        <v>300</v>
      </c>
      <c r="C22" s="12"/>
      <c r="D22" s="11" t="s">
        <v>301</v>
      </c>
    </row>
    <row r="23" customFormat="false" ht="15" hidden="false" customHeight="false" outlineLevel="0" collapsed="false">
      <c r="A23" s="12" t="s">
        <v>302</v>
      </c>
      <c r="B23" s="25" t="n">
        <v>21.1</v>
      </c>
      <c r="C23" s="12" t="s">
        <v>272</v>
      </c>
      <c r="D23" s="11"/>
    </row>
    <row r="24" customFormat="false" ht="15" hidden="false" customHeight="false" outlineLevel="0" collapsed="false">
      <c r="A24" s="12" t="s">
        <v>303</v>
      </c>
      <c r="B24" s="25" t="n">
        <v>30.9</v>
      </c>
      <c r="C24" s="12" t="s">
        <v>272</v>
      </c>
      <c r="D24" s="11"/>
    </row>
    <row r="25" customFormat="false" ht="15" hidden="false" customHeight="false" outlineLevel="0" collapsed="false">
      <c r="A25" s="12" t="s">
        <v>304</v>
      </c>
      <c r="B25" s="25" t="n">
        <v>73.2</v>
      </c>
      <c r="C25" s="12" t="s">
        <v>272</v>
      </c>
      <c r="D25" s="11"/>
    </row>
    <row r="26" customFormat="false" ht="15" hidden="false" customHeight="false" outlineLevel="0" collapsed="false">
      <c r="A26" s="12" t="s">
        <v>305</v>
      </c>
      <c r="B26" s="25" t="n">
        <v>79.8</v>
      </c>
      <c r="C26" s="12" t="s">
        <v>272</v>
      </c>
      <c r="D26" s="11"/>
    </row>
    <row r="27" customFormat="false" ht="15" hidden="false" customHeight="false" outlineLevel="0" collapsed="false">
      <c r="A27" s="12" t="s">
        <v>306</v>
      </c>
      <c r="B27" s="25" t="n">
        <v>59.6</v>
      </c>
      <c r="C27" s="12" t="s">
        <v>272</v>
      </c>
      <c r="D27" s="11"/>
    </row>
    <row r="28" customFormat="false" ht="15" hidden="false" customHeight="false" outlineLevel="0" collapsed="false">
      <c r="A28" s="12" t="s">
        <v>307</v>
      </c>
      <c r="B28" s="20" t="n">
        <v>1.1</v>
      </c>
      <c r="C28" s="12" t="s">
        <v>308</v>
      </c>
      <c r="D28" s="11" t="s">
        <v>309</v>
      </c>
    </row>
    <row r="29" customFormat="false" ht="15" hidden="false" customHeight="false" outlineLevel="0" collapsed="false">
      <c r="A29" s="12" t="s">
        <v>310</v>
      </c>
      <c r="B29" s="20" t="n">
        <v>1.16</v>
      </c>
      <c r="C29" s="12" t="s">
        <v>308</v>
      </c>
      <c r="D29" s="11" t="s">
        <v>311</v>
      </c>
    </row>
    <row r="30" customFormat="false" ht="15" hidden="false" customHeight="false" outlineLevel="0" collapsed="false">
      <c r="A30" s="12" t="s">
        <v>312</v>
      </c>
      <c r="B30" s="25" t="n">
        <v>5.3</v>
      </c>
      <c r="C30" s="12" t="s">
        <v>277</v>
      </c>
      <c r="D30" s="11" t="s">
        <v>313</v>
      </c>
    </row>
    <row r="31" customFormat="false" ht="15" hidden="false" customHeight="false" outlineLevel="0" collapsed="false">
      <c r="A31" s="12" t="s">
        <v>314</v>
      </c>
      <c r="B31" s="24" t="n">
        <v>2064</v>
      </c>
      <c r="C31" s="12" t="s">
        <v>315</v>
      </c>
      <c r="D31" s="11" t="s">
        <v>316</v>
      </c>
    </row>
    <row r="32" customFormat="false" ht="15" hidden="false" customHeight="false" outlineLevel="0" collapsed="false">
      <c r="A32" s="12" t="s">
        <v>317</v>
      </c>
      <c r="B32" s="25" t="n">
        <v>87</v>
      </c>
      <c r="C32" s="12" t="s">
        <v>318</v>
      </c>
      <c r="D32" s="11" t="s">
        <v>319</v>
      </c>
    </row>
    <row r="33" customFormat="false" ht="15" hidden="false" customHeight="false" outlineLevel="0" collapsed="false">
      <c r="A33" s="12" t="s">
        <v>320</v>
      </c>
      <c r="B33" s="25" t="n">
        <v>90</v>
      </c>
      <c r="C33" s="12" t="s">
        <v>318</v>
      </c>
      <c r="D33" s="11" t="s">
        <v>321</v>
      </c>
    </row>
    <row r="34" customFormat="false" ht="15" hidden="false" customHeight="false" outlineLevel="0" collapsed="false">
      <c r="A34" s="12" t="s">
        <v>322</v>
      </c>
      <c r="B34" s="25" t="n">
        <v>23.5</v>
      </c>
      <c r="C34" s="12" t="s">
        <v>318</v>
      </c>
      <c r="D34" s="11" t="s">
        <v>323</v>
      </c>
    </row>
    <row r="35" customFormat="false" ht="15" hidden="false" customHeight="false" outlineLevel="0" collapsed="false">
      <c r="A35" s="12" t="s">
        <v>324</v>
      </c>
      <c r="B35" s="25" t="n">
        <v>26.3</v>
      </c>
      <c r="C35" s="12" t="s">
        <v>318</v>
      </c>
      <c r="D35" s="11" t="s">
        <v>325</v>
      </c>
    </row>
    <row r="36" customFormat="false" ht="15" hidden="false" customHeight="false" outlineLevel="0" collapsed="false">
      <c r="A36" s="12" t="s">
        <v>326</v>
      </c>
      <c r="B36" s="23" t="n">
        <v>1288562</v>
      </c>
      <c r="C36" s="12" t="s">
        <v>267</v>
      </c>
      <c r="D36" s="11" t="s">
        <v>309</v>
      </c>
    </row>
    <row r="37" customFormat="false" ht="15" hidden="false" customHeight="false" outlineLevel="0" collapsed="false">
      <c r="A37" s="12" t="s">
        <v>327</v>
      </c>
      <c r="B37" s="23" t="n">
        <v>662294</v>
      </c>
      <c r="C37" s="12" t="s">
        <v>267</v>
      </c>
      <c r="D37" s="11" t="s">
        <v>309</v>
      </c>
    </row>
    <row r="38" customFormat="false" ht="15" hidden="false" customHeight="false" outlineLevel="0" collapsed="false">
      <c r="A38" s="12" t="s">
        <v>328</v>
      </c>
      <c r="B38" s="21" t="n">
        <f aca="false">B36-B37</f>
        <v>626268</v>
      </c>
      <c r="C38" s="12" t="s">
        <v>267</v>
      </c>
      <c r="D38" s="11" t="s">
        <v>329</v>
      </c>
    </row>
    <row r="39" customFormat="false" ht="15" hidden="false" customHeight="false" outlineLevel="0" collapsed="false">
      <c r="A39" s="12" t="s">
        <v>330</v>
      </c>
      <c r="B39" s="25" t="n">
        <v>2.7</v>
      </c>
      <c r="C39" s="12" t="s">
        <v>277</v>
      </c>
      <c r="D39" s="11"/>
    </row>
    <row r="40" customFormat="false" ht="15" hidden="false" customHeight="false" outlineLevel="0" collapsed="false">
      <c r="A40" s="12" t="s">
        <v>331</v>
      </c>
      <c r="B40" s="25" t="n">
        <v>6.3</v>
      </c>
      <c r="C40" s="12" t="s">
        <v>277</v>
      </c>
      <c r="D40" s="11"/>
    </row>
    <row r="41" customFormat="false" ht="15" hidden="false" customHeight="false" outlineLevel="0" collapsed="false">
      <c r="A41" s="12" t="s">
        <v>332</v>
      </c>
      <c r="B41" s="25" t="n">
        <v>15.5</v>
      </c>
      <c r="C41" s="12" t="s">
        <v>277</v>
      </c>
      <c r="D41" s="11"/>
    </row>
    <row r="43" customFormat="false" ht="15" hidden="false" customHeight="false" outlineLevel="0" collapsed="false">
      <c r="A43" s="2" t="s">
        <v>333</v>
      </c>
    </row>
    <row r="44" customFormat="false" ht="15" hidden="false" customHeight="false" outlineLevel="0" collapsed="false">
      <c r="A44" s="12" t="s">
        <v>334</v>
      </c>
      <c r="B44" s="12" t="s">
        <v>335</v>
      </c>
    </row>
    <row r="45" customFormat="false" ht="15" hidden="false" customHeight="false" outlineLevel="0" collapsed="false">
      <c r="A45" s="12" t="s">
        <v>336</v>
      </c>
      <c r="B45" s="12" t="s">
        <v>337</v>
      </c>
    </row>
    <row r="46" customFormat="false" ht="15" hidden="false" customHeight="false" outlineLevel="0" collapsed="false">
      <c r="A46" s="12" t="s">
        <v>338</v>
      </c>
      <c r="B46" s="12" t="s">
        <v>339</v>
      </c>
    </row>
    <row r="47" customFormat="false" ht="15" hidden="false" customHeight="false" outlineLevel="0" collapsed="false">
      <c r="A47" s="12" t="s">
        <v>340</v>
      </c>
      <c r="B47" s="12" t="s">
        <v>341</v>
      </c>
    </row>
    <row r="48" customFormat="false" ht="15" hidden="false" customHeight="false" outlineLevel="0" collapsed="false">
      <c r="A48" s="12" t="s">
        <v>342</v>
      </c>
      <c r="B48" s="12" t="s">
        <v>343</v>
      </c>
    </row>
    <row r="50" customFormat="false" ht="15" hidden="false" customHeight="false" outlineLevel="0" collapsed="false">
      <c r="A50" s="11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345</v>
      </c>
    </row>
    <row r="2" customFormat="false" ht="15" hidden="false" customHeight="false" outlineLevel="0" collapsed="false">
      <c r="A2" s="11" t="s">
        <v>346</v>
      </c>
    </row>
    <row r="4" customFormat="false" ht="15" hidden="false" customHeight="false" outlineLevel="0" collapsed="false">
      <c r="A4" s="4" t="s">
        <v>262</v>
      </c>
      <c r="B4" s="4" t="s">
        <v>263</v>
      </c>
      <c r="C4" s="4" t="s">
        <v>347</v>
      </c>
    </row>
    <row r="5" customFormat="false" ht="15" hidden="false" customHeight="false" outlineLevel="0" collapsed="false">
      <c r="A5" s="12" t="s">
        <v>348</v>
      </c>
      <c r="B5" s="23" t="n">
        <v>3527924</v>
      </c>
      <c r="C5" s="11"/>
    </row>
    <row r="6" customFormat="false" ht="15" hidden="false" customHeight="false" outlineLevel="0" collapsed="false">
      <c r="A6" s="12" t="s">
        <v>349</v>
      </c>
      <c r="B6" s="23" t="n">
        <v>3497277</v>
      </c>
      <c r="C6" s="11"/>
    </row>
    <row r="7" customFormat="false" ht="15" hidden="false" customHeight="false" outlineLevel="0" collapsed="false">
      <c r="A7" s="12" t="s">
        <v>350</v>
      </c>
      <c r="B7" s="19" t="n">
        <f aca="false">B6-B5</f>
        <v>-30647</v>
      </c>
      <c r="C7" s="11" t="s">
        <v>351</v>
      </c>
    </row>
    <row r="8" customFormat="false" ht="15" hidden="false" customHeight="false" outlineLevel="0" collapsed="false">
      <c r="A8" s="12" t="s">
        <v>352</v>
      </c>
      <c r="B8" s="18" t="n">
        <f aca="false">B7/B5*100</f>
        <v>-0.868697851767782</v>
      </c>
      <c r="C8" s="11"/>
    </row>
    <row r="9" customFormat="false" ht="15" hidden="false" customHeight="false" outlineLevel="0" collapsed="false">
      <c r="A9" s="12" t="s">
        <v>62</v>
      </c>
      <c r="B9" s="23" t="n">
        <v>1642228</v>
      </c>
      <c r="C9" s="11"/>
    </row>
    <row r="10" customFormat="false" ht="15" hidden="false" customHeight="false" outlineLevel="0" collapsed="false">
      <c r="A10" s="12" t="s">
        <v>63</v>
      </c>
      <c r="B10" s="23" t="n">
        <v>1855049</v>
      </c>
      <c r="C10" s="11"/>
    </row>
    <row r="11" customFormat="false" ht="15" hidden="false" customHeight="false" outlineLevel="0" collapsed="false">
      <c r="A11" s="12" t="s">
        <v>353</v>
      </c>
      <c r="B11" s="19" t="n">
        <f aca="false">B9+B10-B6</f>
        <v>0</v>
      </c>
      <c r="C11" s="11" t="s">
        <v>354</v>
      </c>
    </row>
    <row r="12" customFormat="false" ht="15" hidden="false" customHeight="false" outlineLevel="0" collapsed="false">
      <c r="A12" s="12" t="s">
        <v>101</v>
      </c>
      <c r="B12" s="17" t="n">
        <f aca="false">B10/B6*100</f>
        <v>53.0426671950778</v>
      </c>
      <c r="C12" s="11"/>
    </row>
    <row r="13" customFormat="false" ht="15" hidden="false" customHeight="false" outlineLevel="0" collapsed="false">
      <c r="A13" s="12" t="s">
        <v>355</v>
      </c>
      <c r="B13" s="23" t="n">
        <v>2432079</v>
      </c>
      <c r="C13" s="11" t="s">
        <v>356</v>
      </c>
    </row>
    <row r="14" customFormat="false" ht="15" hidden="false" customHeight="false" outlineLevel="0" collapsed="false">
      <c r="A14" s="12" t="s">
        <v>357</v>
      </c>
      <c r="B14" s="23" t="n">
        <v>1065198</v>
      </c>
      <c r="C14" s="11" t="s">
        <v>358</v>
      </c>
    </row>
    <row r="15" customFormat="false" ht="15" hidden="false" customHeight="false" outlineLevel="0" collapsed="false">
      <c r="A15" s="12" t="s">
        <v>359</v>
      </c>
      <c r="B15" s="17" t="n">
        <f aca="false">B14/B6*100</f>
        <v>30.4579248369517</v>
      </c>
      <c r="C15" s="11"/>
    </row>
    <row r="16" customFormat="false" ht="15" hidden="false" customHeight="false" outlineLevel="0" collapsed="false">
      <c r="A16" s="12" t="s">
        <v>360</v>
      </c>
      <c r="B16" s="19" t="n">
        <f aca="false">B13+B14-B6</f>
        <v>0</v>
      </c>
      <c r="C16" s="11" t="s">
        <v>354</v>
      </c>
    </row>
    <row r="17" customFormat="false" ht="15" hidden="false" customHeight="false" outlineLevel="0" collapsed="false">
      <c r="A17" s="12" t="s">
        <v>361</v>
      </c>
      <c r="B17" s="25" t="n">
        <v>19.4</v>
      </c>
      <c r="C17" s="11" t="s">
        <v>362</v>
      </c>
    </row>
    <row r="18" customFormat="false" ht="15" hidden="false" customHeight="false" outlineLevel="0" collapsed="false">
      <c r="A18" s="12" t="s">
        <v>363</v>
      </c>
      <c r="B18" s="23" t="n">
        <v>27097</v>
      </c>
      <c r="C18" s="11" t="s">
        <v>364</v>
      </c>
    </row>
    <row r="19" customFormat="false" ht="15" hidden="false" customHeight="false" outlineLevel="0" collapsed="false">
      <c r="A19" s="12" t="s">
        <v>365</v>
      </c>
      <c r="B19" s="23" t="n">
        <v>26533</v>
      </c>
      <c r="C19" s="11"/>
    </row>
    <row r="20" customFormat="false" ht="15" hidden="false" customHeight="false" outlineLevel="0" collapsed="false">
      <c r="A20" s="12" t="s">
        <v>366</v>
      </c>
      <c r="B20" s="19" t="n">
        <f aca="false">B18-B19</f>
        <v>564</v>
      </c>
      <c r="C20" s="11" t="s">
        <v>367</v>
      </c>
    </row>
    <row r="21" customFormat="false" ht="15" hidden="false" customHeight="false" outlineLevel="0" collapsed="false">
      <c r="A21" s="12" t="s">
        <v>368</v>
      </c>
      <c r="B21" s="23" t="n">
        <v>-37953</v>
      </c>
      <c r="C21" s="11" t="s">
        <v>369</v>
      </c>
    </row>
    <row r="22" customFormat="false" ht="15" hidden="false" customHeight="false" outlineLevel="0" collapsed="false">
      <c r="A22" s="12" t="s">
        <v>370</v>
      </c>
      <c r="B22" s="23" t="n">
        <v>106117</v>
      </c>
      <c r="C22" s="11" t="s">
        <v>371</v>
      </c>
    </row>
    <row r="23" customFormat="false" ht="15" hidden="false" customHeight="false" outlineLevel="0" collapsed="false">
      <c r="A23" s="12" t="s">
        <v>372</v>
      </c>
      <c r="B23" s="23" t="n">
        <v>-99375</v>
      </c>
      <c r="C23" s="11" t="s">
        <v>373</v>
      </c>
    </row>
    <row r="24" customFormat="false" ht="15" hidden="false" customHeight="false" outlineLevel="0" collapsed="false">
      <c r="A24" s="12" t="s">
        <v>374</v>
      </c>
      <c r="B24" s="19" t="n">
        <f aca="false">B20+B21+B22+B23</f>
        <v>-30647</v>
      </c>
      <c r="C24" s="11" t="s">
        <v>375</v>
      </c>
    </row>
    <row r="25" customFormat="false" ht="15" hidden="false" customHeight="false" outlineLevel="0" collapsed="false">
      <c r="A25" s="12" t="s">
        <v>376</v>
      </c>
      <c r="B25" s="19" t="n">
        <f aca="false">B24-B7</f>
        <v>0</v>
      </c>
      <c r="C25" s="11" t="s">
        <v>354</v>
      </c>
    </row>
    <row r="27" customFormat="false" ht="75" hidden="false" customHeight="true" outlineLevel="0" collapsed="false">
      <c r="A27" s="27" t="s">
        <v>377</v>
      </c>
      <c r="B27" s="27"/>
      <c r="C27" s="27"/>
    </row>
  </sheetData>
  <mergeCells count="1"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23.85" hidden="false" customHeight="false" outlineLevel="0" collapsed="false">
      <c r="A1" s="4" t="s">
        <v>378</v>
      </c>
      <c r="B1" s="4" t="s">
        <v>379</v>
      </c>
      <c r="C1" s="4" t="s">
        <v>380</v>
      </c>
      <c r="D1" s="4" t="s">
        <v>381</v>
      </c>
      <c r="E1" s="4" t="s">
        <v>7</v>
      </c>
      <c r="F1" s="4" t="s">
        <v>382</v>
      </c>
      <c r="G1" s="4" t="s">
        <v>383</v>
      </c>
    </row>
    <row r="2" customFormat="false" ht="23.85" hidden="false" customHeight="false" outlineLevel="0" collapsed="false">
      <c r="A2" s="5" t="s">
        <v>384</v>
      </c>
      <c r="B2" s="5" t="s">
        <v>385</v>
      </c>
      <c r="C2" s="5" t="s">
        <v>386</v>
      </c>
      <c r="D2" s="5" t="s">
        <v>387</v>
      </c>
      <c r="E2" s="5" t="s">
        <v>388</v>
      </c>
      <c r="F2" s="5" t="s">
        <v>389</v>
      </c>
      <c r="G2" s="5" t="s">
        <v>390</v>
      </c>
    </row>
    <row r="3" customFormat="false" ht="35.05" hidden="false" customHeight="false" outlineLevel="0" collapsed="false">
      <c r="A3" s="5" t="s">
        <v>391</v>
      </c>
      <c r="B3" s="5" t="s">
        <v>392</v>
      </c>
      <c r="C3" s="5" t="s">
        <v>393</v>
      </c>
      <c r="D3" s="5" t="s">
        <v>394</v>
      </c>
      <c r="E3" s="5" t="s">
        <v>22</v>
      </c>
      <c r="F3" s="5" t="s">
        <v>389</v>
      </c>
      <c r="G3" s="5" t="s">
        <v>395</v>
      </c>
    </row>
    <row r="4" customFormat="false" ht="15" hidden="false" customHeight="false" outlineLevel="0" collapsed="false">
      <c r="A4" s="5" t="s">
        <v>396</v>
      </c>
      <c r="B4" s="5" t="s">
        <v>392</v>
      </c>
      <c r="C4" s="5" t="s">
        <v>397</v>
      </c>
      <c r="D4" s="5" t="s">
        <v>398</v>
      </c>
      <c r="E4" s="5" t="s">
        <v>399</v>
      </c>
      <c r="F4" s="5" t="s">
        <v>389</v>
      </c>
      <c r="G4" s="5" t="s">
        <v>400</v>
      </c>
    </row>
    <row r="5" customFormat="false" ht="35.05" hidden="false" customHeight="false" outlineLevel="0" collapsed="false">
      <c r="A5" s="5" t="s">
        <v>401</v>
      </c>
      <c r="B5" s="5" t="s">
        <v>402</v>
      </c>
      <c r="C5" s="5" t="s">
        <v>403</v>
      </c>
      <c r="D5" s="5" t="s">
        <v>404</v>
      </c>
      <c r="E5" s="5" t="s">
        <v>405</v>
      </c>
      <c r="F5" s="5" t="s">
        <v>389</v>
      </c>
      <c r="G5" s="5" t="s">
        <v>406</v>
      </c>
    </row>
    <row r="6" customFormat="false" ht="46.25" hidden="false" customHeight="false" outlineLevel="0" collapsed="false">
      <c r="A6" s="5" t="s">
        <v>407</v>
      </c>
      <c r="B6" s="5" t="s">
        <v>402</v>
      </c>
      <c r="C6" s="5" t="s">
        <v>408</v>
      </c>
      <c r="D6" s="5" t="s">
        <v>409</v>
      </c>
      <c r="E6" s="5" t="s">
        <v>410</v>
      </c>
      <c r="F6" s="5" t="s">
        <v>389</v>
      </c>
      <c r="G6" s="5" t="s">
        <v>411</v>
      </c>
    </row>
    <row r="7" customFormat="false" ht="23.85" hidden="false" customHeight="false" outlineLevel="0" collapsed="false">
      <c r="A7" s="5" t="s">
        <v>412</v>
      </c>
      <c r="B7" s="5" t="s">
        <v>402</v>
      </c>
      <c r="C7" s="5" t="s">
        <v>413</v>
      </c>
      <c r="D7" s="5" t="s">
        <v>414</v>
      </c>
      <c r="E7" s="5" t="s">
        <v>54</v>
      </c>
      <c r="F7" s="5" t="s">
        <v>389</v>
      </c>
      <c r="G7" s="5" t="s">
        <v>415</v>
      </c>
    </row>
    <row r="8" customFormat="false" ht="35.05" hidden="false" customHeight="false" outlineLevel="0" collapsed="false">
      <c r="A8" s="5" t="s">
        <v>416</v>
      </c>
      <c r="B8" s="5" t="s">
        <v>417</v>
      </c>
      <c r="C8" s="5" t="s">
        <v>418</v>
      </c>
      <c r="D8" s="5" t="s">
        <v>419</v>
      </c>
      <c r="E8" s="5" t="s">
        <v>420</v>
      </c>
      <c r="F8" s="5" t="s">
        <v>389</v>
      </c>
      <c r="G8" s="5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2026-10-21T11:32:17Z</dcterms:created>
  <dc:creator>openpyxl</dc:creator>
  <dc:description/>
  <dc:language>en-US</dc:language>
  <cp:lastModifiedBy/>
  <dcterms:modified xsi:type="dcterms:W3CDTF">2026-10-21T11:32:17Z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