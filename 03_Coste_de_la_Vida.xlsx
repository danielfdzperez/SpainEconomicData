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Resumen_Coste_Vida" sheetId="2" state="visible" r:id="rId4"/>
    <sheet name="IPC_General_Anual" sheetId="3" state="visible" r:id="rId5"/>
    <sheet name="IPC_2026_Mensual" sheetId="4" state="visible" r:id="rId6"/>
    <sheet name="IPC_Madrid_Grupos" sheetId="5" state="visible" r:id="rId7"/>
    <sheet name="HICP_Espana_Grupos" sheetId="6" state="visible" r:id="rId8"/>
    <sheet name="EPF_Madrid_2018_2023" sheetId="7" state="visible" r:id="rId9"/>
    <sheet name="EPF_Nacional_2018_2023" sheetId="8" state="visible" r:id="rId10"/>
    <sheet name="EPF_Comparativa_2023" sheetId="9" state="visible" r:id="rId11"/>
    <sheet name="Cesta_Necesidades_Aprox" sheetId="10" state="visible" r:id="rId12"/>
    <sheet name="Salario_vs_IPC" sheetId="11" state="visible" r:id="rId13"/>
    <sheet name="ECV_Renta_Pobreza" sheetId="12" state="visible" r:id="rId14"/>
    <sheet name="FUENT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<sst xmlns="http://schemas.openxmlformats.org/spreadsheetml/2006/main" count="493" uniqueCount="320">
  <si>
    <t xml:space="preserve">Base de conocimiento — Coste de la vida (España y Comunidad de Madrid)</t>
  </si>
  <si>
    <t xml:space="preserve">Descripción</t>
  </si>
  <si>
    <t xml:space="preserve">Precios y gasto: inflación (IPC del INE, IPC armonizado de Eurostat), gasto de los hogares por grupos (EPF), un indicador aproximado de coste de las necesidades básicas, renta y riesgo de pobreza (ECV) y la comparación de salarios con precios (poder adquisitivo).</t>
  </si>
  <si>
    <t xml:space="preserve">Fecha de consulta: 2026-10-21. Los cálculos propios están en fórmulas visibles; los marcados en amarillo son aproximaciones no oficiales.</t>
  </si>
  <si>
    <t xml:space="preserve">Índice de hojas</t>
  </si>
  <si>
    <t xml:space="preserve">Hoja</t>
  </si>
  <si>
    <t xml:space="preserve">Contenido</t>
  </si>
  <si>
    <t xml:space="preserve">Cobertura</t>
  </si>
  <si>
    <t xml:space="preserve">Resumen_Coste_Vida</t>
  </si>
  <si>
    <t xml:space="preserve">Indicadores clave de precios, gasto, renta y poder adquisitivo.</t>
  </si>
  <si>
    <t xml:space="preserve">Último dato</t>
  </si>
  <si>
    <t xml:space="preserve">IPC_General_Anual</t>
  </si>
  <si>
    <t xml:space="preserve">Inflación dic/dic de España y Madrid, índice acumulado y media geométrica.</t>
  </si>
  <si>
    <t xml:space="preserve">2002–2025</t>
  </si>
  <si>
    <t xml:space="preserve">IPC_2026_Mensual</t>
  </si>
  <si>
    <t xml:space="preserve">IPC general, variación anual mensual, España y Madrid.</t>
  </si>
  <si>
    <t xml:space="preserve">ene–sep 2026</t>
  </si>
  <si>
    <t xml:space="preserve">IPC_Madrid_Grupos</t>
  </si>
  <si>
    <t xml:space="preserve">IPC de Madrid por 14 grupos (ECOICOP v2), tasa anual mensual.</t>
  </si>
  <si>
    <t xml:space="preserve">ago-2025 a sep-2026</t>
  </si>
  <si>
    <t xml:space="preserve">HICP_Espana_Grupos</t>
  </si>
  <si>
    <t xml:space="preserve">IPC armonizado de España por grupos, media anual, con acumulado y volatilidad.</t>
  </si>
  <si>
    <t xml:space="preserve">2005–2025</t>
  </si>
  <si>
    <t xml:space="preserve">EPF_Madrid_2018_2023 / EPF_Nacional_2018_2023</t>
  </si>
  <si>
    <t xml:space="preserve">Gasto medio por hogar y persona y distribución por grupo.</t>
  </si>
  <si>
    <t xml:space="preserve">2018–2023</t>
  </si>
  <si>
    <t xml:space="preserve">EPF_Comparativa_2023</t>
  </si>
  <si>
    <t xml:space="preserve">Madrid frente a España por grupo de gasto, pesos y variación 2018–2023.</t>
  </si>
  <si>
    <t xml:space="preserve">2023</t>
  </si>
  <si>
    <t xml:space="preserve">Cesta_Necesidades_Aprox</t>
  </si>
  <si>
    <t xml:space="preserve">Indicador aproximado de inflación de las necesidades básicas en Madrid (5 grupos ponderados).</t>
  </si>
  <si>
    <t xml:space="preserve">sep-2025 y sep-2026</t>
  </si>
  <si>
    <t xml:space="preserve">Salario_vs_IPC</t>
  </si>
  <si>
    <t xml:space="preserve">Salario medio/mediano nominal y real frente al IPC acumulado.</t>
  </si>
  <si>
    <t xml:space="preserve">2008–2024</t>
  </si>
  <si>
    <t xml:space="preserve">ECV_Renta_Pobreza</t>
  </si>
  <si>
    <t xml:space="preserve">Renta neta media y AROPE, Madrid y España.</t>
  </si>
  <si>
    <t xml:space="preserve">2020–2025</t>
  </si>
  <si>
    <t xml:space="preserve">FUENTES</t>
  </si>
  <si>
    <t xml:space="preserve">Origen de cada bloque.</t>
  </si>
  <si>
    <t xml:space="preserve">Notas, límites y huecos conocidos</t>
  </si>
  <si>
    <t xml:space="preserve">• No existe una "cesta de la compra básica" oficial única en España. La hoja Cesta_Necesidades_Aprox es un proxy propio con cinco grupos esenciales (alimentos, vivienda y suministros, sanidad, transporte, enseñanza) ponderados con el gasto de los hogares de Madrid; no sustituye a una cesta oficial.</t>
  </si>
  <si>
    <t xml:space="preserve">• El IPC del INE cambió a base 2025 y ECOICOP v2 en 2026 (14 grupos). Los grupos de la EPF (12, ECOICOP v1) y del HICP de Eurostat (nomenclatura anterior) no coinciden exactamente con los de 2026.</t>
  </si>
  <si>
    <t xml:space="preserve">• IPC de Madrid por grupo: solo 14 meses (ago-2025 a sep-2026). No se descargó el histórico por grupo ni por subclase de Madrid, ni los precios medios de productos concretos (pan, leche, huevos, etc.).</t>
  </si>
  <si>
    <t xml:space="preserve">• HICP: falta el grupo CP08 (Comunicaciones) por límite de peticiones de Eurostat; las cifras son del IPC armonizado, que no coincide con el IPC nacional.</t>
  </si>
  <si>
    <t xml:space="preserve">• EPF: último año publicado 2023 (el INE publica con retraso). Los importes son nominales. La EPF por CCAA completa (todas las comunidades) y por quintiles de renta no se descargó.</t>
  </si>
  <si>
    <t xml:space="preserve">• ECV: los años son los de la encuesta; la renta se refiere al año anterior. Falta carencia material por CCAA, tenencia de vivienda y sobrecarga de coste de vivienda.</t>
  </si>
  <si>
    <t xml:space="preserve">• Pendiente: IPC por provincia y por subclases, precios de energía (electricidad, gas, carburantes) y niveles de precios comparados de Eurostat.</t>
  </si>
  <si>
    <t xml:space="preserve">Convención de colores</t>
  </si>
  <si>
    <t xml:space="preserve">Azul: dato copiado de la fuente (valor fijo)</t>
  </si>
  <si>
    <t xml:space="preserve">Negro: fórmula de esta hoja</t>
  </si>
  <si>
    <t xml:space="preserve">Verde: fórmula que enlaza con otra hoja</t>
  </si>
  <si>
    <t xml:space="preserve">Fondo naranja claro: dato con muestra pequeña / poco fiable según la fuente</t>
  </si>
  <si>
    <t xml:space="preserve">Fondo amarillo claro: estimación no oficial (elaboración propia)</t>
  </si>
  <si>
    <t xml:space="preserve">Resumen del coste de la vida — España y Comunidad de Madrid</t>
  </si>
  <si>
    <t xml:space="preserve">Los valores enlazan con las hojas de detalle (verde). IPC base 2025 del INE hasta septiembre de 2026; EPF y ECV en su último año publicado.</t>
  </si>
  <si>
    <t xml:space="preserve">Indicador</t>
  </si>
  <si>
    <t xml:space="preserve">Periodo</t>
  </si>
  <si>
    <t xml:space="preserve">España</t>
  </si>
  <si>
    <t xml:space="preserve">Madrid</t>
  </si>
  <si>
    <t xml:space="preserve">Madrid − España</t>
  </si>
  <si>
    <t xml:space="preserve">Nota</t>
  </si>
  <si>
    <t xml:space="preserve">IPC general, variación anual (%)</t>
  </si>
  <si>
    <t xml:space="preserve">sep-2026</t>
  </si>
  <si>
    <t xml:space="preserve">IPC general, dic/dic (%)</t>
  </si>
  <si>
    <t xml:space="preserve">2025</t>
  </si>
  <si>
    <t xml:space="preserve">Inflación acumulada 2002–2025 (%)</t>
  </si>
  <si>
    <t xml:space="preserve">Encadenado dic/dic (cálculo propio)</t>
  </si>
  <si>
    <t xml:space="preserve">Grupo con mayor inflación en Madrid</t>
  </si>
  <si>
    <t xml:space="preserve">Col. España = nombre del grupo; col. Madrid = tasa anual (%)</t>
  </si>
  <si>
    <t xml:space="preserve">Necesidades básicas (aprox., ponderado EPF), variación anual (%)</t>
  </si>
  <si>
    <t xml:space="preserve">Cálculo propio, solo Madrid</t>
  </si>
  <si>
    <t xml:space="preserve">IPC armonizado España, media anual (%)</t>
  </si>
  <si>
    <t xml:space="preserve">Eurostat, solo España</t>
  </si>
  <si>
    <t xml:space="preserve">Gasto medio por hogar (€)</t>
  </si>
  <si>
    <t xml:space="preserve">Gasto medio por persona (€)</t>
  </si>
  <si>
    <t xml:space="preserve">% del gasto en vivienda y suministros</t>
  </si>
  <si>
    <t xml:space="preserve">% del gasto en alimentos y bebidas no alcohólicas</t>
  </si>
  <si>
    <t xml:space="preserve">Renta neta media por persona (€)</t>
  </si>
  <si>
    <t xml:space="preserve">ECV (renta del año anterior a la encuesta)</t>
  </si>
  <si>
    <t xml:space="preserve">AROPE (riesgo de pobreza o exclusión, %)</t>
  </si>
  <si>
    <t xml:space="preserve">Salario medio real 2024 (2008=100)</t>
  </si>
  <si>
    <t xml:space="preserve">2024</t>
  </si>
  <si>
    <t xml:space="preserve">Salario_vs_IPC (deflactado con IPC dic/dic)</t>
  </si>
  <si>
    <t xml:space="preserve">Salario mediano real 2024 (2008=100)</t>
  </si>
  <si>
    <t xml:space="preserve">anio</t>
  </si>
  <si>
    <t xml:space="preserve">España_dic/dic_%</t>
  </si>
  <si>
    <t xml:space="preserve">Madrid_dic/dic_%</t>
  </si>
  <si>
    <t xml:space="preserve">Madrid − España (pp)</t>
  </si>
  <si>
    <t xml:space="preserve">Índice acumulado España (dic 2001=100)</t>
  </si>
  <si>
    <t xml:space="preserve">Índice acumulado Madrid (dic 2001=100)</t>
  </si>
  <si>
    <t xml:space="preserve">Media anual geométrica (%)</t>
  </si>
  <si>
    <t xml:space="preserve">IPC base 2025 (ECOICOP v2) del INE, tasa de variación anual de diciembre sobre diciembre del índice general (series IPC290750 España e IPC294331 Madrid). El índice acumulado es cálculo propio encadenando las tasas.</t>
  </si>
  <si>
    <t xml:space="preserve">mes</t>
  </si>
  <si>
    <t xml:space="preserve">España_tasa_anual_%</t>
  </si>
  <si>
    <t xml:space="preserve">Madrid_tasa_anual_%</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</si>
  <si>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</si>
  <si>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</si>
  <si>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</si>
  <si>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</si>
  <si>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</si>
  <si>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</si>
  <si>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</si>
  <si>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</si>
  <si>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</si>
  <si>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Tasa de variación anual del IPC general (INE, series IPC290750 y IPC294331).</t>
  </si>
  <si>
    <t xml:space="preserve">grupo ECOICOP v2</t>
  </si>
  <si>
    <t xml:space="preserve">2025-08</t>
  </si>
  <si>
    <t xml:space="preserve">2025-09</t>
  </si>
  <si>
    <t xml:space="preserve">2025-10</t>
  </si>
  <si>
    <t xml:space="preserve">2025-11</t>
  </si>
  <si>
    <t xml:space="preserve">2025-12</t>
  </si>
  <si>
    <t xml:space="preserve">media_14_meses</t>
  </si>
  <si>
    <t xml:space="preserve">último_mes − general (pp)</t>
  </si>
  <si>
    <t xml:space="preserve">Índice general</t>
  </si>
  <si>
    <t xml:space="preserve">Alimentos y bebidas no alcohólicas</t>
  </si>
  <si>
    <t xml:space="preserve">Bebidas alcohólicas y tabaco</t>
  </si>
  <si>
    <t xml:space="preserve">Vestido y calzado</t>
  </si>
  <si>
    <t xml:space="preserve">Vivienda, agua, electricidad, gas y otros combustibles</t>
  </si>
  <si>
    <t xml:space="preserve">Muebles y artículos del hogar</t>
  </si>
  <si>
    <t xml:space="preserve">Sanidad</t>
  </si>
  <si>
    <t xml:space="preserve">Transporte</t>
  </si>
  <si>
    <t xml:space="preserve">Información y comunicaciones</t>
  </si>
  <si>
    <t xml:space="preserve">Actividades recreativas deporte y cultura</t>
  </si>
  <si>
    <t xml:space="preserve">Enseñanza</t>
  </si>
  <si>
    <t xml:space="preserve">Restaurantes y servicios de alojamiento</t>
  </si>
  <si>
    <t xml:space="preserve">Seguros y servicios financieros</t>
  </si>
  <si>
    <t xml:space="preserve">Cuidado personal protección social y servicios diversos</t>
  </si>
  <si>
    <t xml:space="preserve">Comunidad de Madrid, tasa de variación anual (%) por grupo (INE, IPC base 2025, tabla 76136). Agosto 2025 – septiembre 2026.</t>
  </si>
  <si>
    <t xml:space="preserve">coicop</t>
  </si>
  <si>
    <t xml:space="preserve">grupo</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</si>
  <si>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</si>
  <si>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</si>
  <si>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</si>
  <si>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</si>
  <si>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</si>
  <si>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</si>
  <si>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</si>
  <si>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</si>
  <si>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</si>
  <si>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</si>
  <si>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</si>
  <si>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</si>
  <si>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</si>
  <si>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</si>
  <si>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</si>
  <si>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</si>
  <si>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</si>
  <si>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</si>
  <si>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media_aritmética_%</t>
  </si>
  <si>
    <t xml:space="preserve">acumulado_2005-2025_%</t>
  </si>
  <si>
    <t xml:space="preserve">volatilidad (DT)</t>
  </si>
  <si>
    <t xml:space="preserve">CP00</t>
  </si>
  <si>
    <t xml:space="preserve">CP01</t>
  </si>
  <si>
    <t xml:space="preserve">CP04</t>
  </si>
  <si>
    <t xml:space="preserve">Vivienda agua electricidad gas y otros combustibles</t>
  </si>
  <si>
    <t xml:space="preserve">CP07</t>
  </si>
  <si>
    <t xml:space="preserve">CP11</t>
  </si>
  <si>
    <t xml:space="preserve">Restaurantes y hoteles</t>
  </si>
  <si>
    <t xml:space="preserve">CP02</t>
  </si>
  <si>
    <t xml:space="preserve">CP03</t>
  </si>
  <si>
    <t xml:space="preserve">CP05</t>
  </si>
  <si>
    <t xml:space="preserve">Mobiliario y equipamiento del hogar</t>
  </si>
  <si>
    <t xml:space="preserve">CP06</t>
  </si>
  <si>
    <t xml:space="preserve">CP09</t>
  </si>
  <si>
    <t xml:space="preserve">Ocio y cultura</t>
  </si>
  <si>
    <t xml:space="preserve">CP10</t>
  </si>
  <si>
    <t xml:space="preserve">Educación</t>
  </si>
  <si>
    <t xml:space="preserve">CP12</t>
  </si>
  <si>
    <t xml:space="preserve">Bienes y servicios diversos</t>
  </si>
  <si>
    <t xml:space="preserve">IPC armonizado (HICP) de España, tasa de variación media anual (%), Eurostat prc_hicp_aind. No incluye el grupo CP08 (Comunicaciones): Eurostat limitó las peticiones (HTTP 429) al consultarlo y no se reintentó. Eurostat marca este dataset como discontinuado y sustituido por prc_hicp_ainr (nomenclatura ECOICOP v2).</t>
  </si>
  <si>
    <t xml:space="preserve">serie</t>
  </si>
  <si>
    <t xml:space="preserve">Índice general - Gasto medio por hogar</t>
  </si>
  <si>
    <t xml:space="preserve">Índice general - Gasto medio por persona</t>
  </si>
  <si>
    <t xml:space="preserve">Alimentos y bebidas no alcohólicas - Gasto medio por hogar</t>
  </si>
  <si>
    <t xml:space="preserve">Alimentos y bebidas no alcohólicas - Gasto medio por persona</t>
  </si>
  <si>
    <t xml:space="preserve">Alimentos y bebidas no alcohólicas - Distribución %</t>
  </si>
  <si>
    <t xml:space="preserve">Bebidas alcohólicas y tabaco - Gasto medio por hogar</t>
  </si>
  <si>
    <t xml:space="preserve">Bebidas alcohólicas y tabaco - Gasto medio por persona</t>
  </si>
  <si>
    <t xml:space="preserve">Bebidas alcohólicas y tabaco - Distribución %</t>
  </si>
  <si>
    <t xml:space="preserve">Vestido y calzado - Gasto medio por hogar</t>
  </si>
  <si>
    <t xml:space="preserve">Vestido y calzado - Gasto medio por persona</t>
  </si>
  <si>
    <t xml:space="preserve">Vestido y calzado - Distribución %</t>
  </si>
  <si>
    <t xml:space="preserve">Vivienda agua electricidad gas y otros combustibles - Gasto medio por hogar</t>
  </si>
  <si>
    <t xml:space="preserve">Vivienda agua electricidad gas y otros combustibles - Gasto medio por persona</t>
  </si>
  <si>
    <t xml:space="preserve">Vivienda agua electricidad gas y otros combustibles - Distribución %</t>
  </si>
  <si>
    <t xml:space="preserve">Muebles y artículos del hogar - Gasto medio por hogar</t>
  </si>
  <si>
    <t xml:space="preserve">Muebles y artículos del hogar - Gasto medio por persona</t>
  </si>
  <si>
    <t xml:space="preserve">Muebles y artículos del hogar - Distribución %</t>
  </si>
  <si>
    <t xml:space="preserve">Sanidad - Gasto medio por hogar</t>
  </si>
  <si>
    <t xml:space="preserve">Sanidad - Gasto medio por persona</t>
  </si>
  <si>
    <t xml:space="preserve">Sanidad - Distribución %</t>
  </si>
  <si>
    <t xml:space="preserve">Transporte - Gasto medio por hogar</t>
  </si>
  <si>
    <t xml:space="preserve">Transporte - Gasto medio por persona</t>
  </si>
  <si>
    <t xml:space="preserve">Transporte - Distribución %</t>
  </si>
  <si>
    <t xml:space="preserve">Comunicaciones - Gasto medio por hogar</t>
  </si>
  <si>
    <t xml:space="preserve">Comunicaciones - Gasto medio por persona</t>
  </si>
  <si>
    <t xml:space="preserve">Comunicaciones - Distribución %</t>
  </si>
  <si>
    <t xml:space="preserve">Ocio y cultura - Gasto medio por hogar</t>
  </si>
  <si>
    <t xml:space="preserve">Ocio y cultura - Gasto medio por persona</t>
  </si>
  <si>
    <t xml:space="preserve">Ocio y cultura - Distribución %</t>
  </si>
  <si>
    <t xml:space="preserve">Enseñanza - Gasto medio por hogar</t>
  </si>
  <si>
    <t xml:space="preserve">Enseñanza - Gasto medio por persona</t>
  </si>
  <si>
    <t xml:space="preserve">Enseñanza - Distribución %</t>
  </si>
  <si>
    <t xml:space="preserve">Restaurantes y hoteles - Gasto medio por hogar</t>
  </si>
  <si>
    <t xml:space="preserve">Restaurantes y hoteles - Gasto medio por persona</t>
  </si>
  <si>
    <t xml:space="preserve">Restaurantes y hoteles - Distribución %</t>
  </si>
  <si>
    <t xml:space="preserve">Otros bienes y servicios - Gasto medio por hogar</t>
  </si>
  <si>
    <t xml:space="preserve">Otros bienes y servicios - Gasto medio por persona</t>
  </si>
  <si>
    <t xml:space="preserve">Otros bienes y servicios - Distribución %</t>
  </si>
  <si>
    <t xml:space="preserve">Encuesta de Presupuestos Familiares (INE, base 2006, tabla 14505). Euros por hogar / por persona y distribución porcentual del gasto por grupo ECOICOP (v1, 12 grupos).</t>
  </si>
  <si>
    <t xml:space="preserve">General - Gasto medio por hogar</t>
  </si>
  <si>
    <t xml:space="preserve">General - Gasto medio por persona</t>
  </si>
  <si>
    <t xml:space="preserve">grupo de gasto</t>
  </si>
  <si>
    <t xml:space="preserve">gasto_hogar_Madrid_€</t>
  </si>
  <si>
    <t xml:space="preserve">gasto_hogar_España_€</t>
  </si>
  <si>
    <t xml:space="preserve">ratio Madrid/España</t>
  </si>
  <si>
    <t xml:space="preserve">gasto_persona_Madrid_€</t>
  </si>
  <si>
    <t xml:space="preserve">gasto_persona_España_€</t>
  </si>
  <si>
    <t xml:space="preserve">peso_Madrid_%</t>
  </si>
  <si>
    <t xml:space="preserve">peso_España_%</t>
  </si>
  <si>
    <t xml:space="preserve">dif_peso_pp</t>
  </si>
  <si>
    <t xml:space="preserve">var_2018-2023_Madrid_%</t>
  </si>
  <si>
    <t xml:space="preserve">var_2018-2023_España_%</t>
  </si>
  <si>
    <t xml:space="preserve">TOTAL</t>
  </si>
  <si>
    <t xml:space="preserve">Comunicaciones</t>
  </si>
  <si>
    <t xml:space="preserve">Otros bienes y servicios</t>
  </si>
  <si>
    <t xml:space="preserve">Gasto medio anual por hogar y por persona, 2023 (EPF). Pesos: distribución porcentual del gasto total; la fila TOTAL suma los pesos de control (≈100). La variación 2018–2023 es nominal (sin descontar inflación).</t>
  </si>
  <si>
    <t xml:space="preserve">Indicador APROXIMADO de coste de las necesidades básicas — Comunidad de Madrid</t>
  </si>
  <si>
    <t xml:space="preserve">No existe una "cesta básica" oficial única en España. Se toma como proxy cinco grupos de gasto esenciales, ponderados con el peso del gasto de los hogares de Madrid en 2023 (EPF). Elaboración propia, no dato oficial.</t>
  </si>
  <si>
    <t xml:space="preserve">grupo esencial</t>
  </si>
  <si>
    <t xml:space="preserve">peso EPF Madrid 2023 (%)</t>
  </si>
  <si>
    <t xml:space="preserve">IPC Madrid sep-2025 (% anual)</t>
  </si>
  <si>
    <t xml:space="preserve">IPC Madrid sep-2026 (% anual)</t>
  </si>
  <si>
    <t xml:space="preserve">gasto hogar Madrid 2023 (€)</t>
  </si>
  <si>
    <t xml:space="preserve">gasto hogar España 2023 (€)</t>
  </si>
  <si>
    <t xml:space="preserve">peso EPF España 2023 (%)</t>
  </si>
  <si>
    <t xml:space="preserve">IPC Madrid sep-2026 − general (pp)</t>
  </si>
  <si>
    <t xml:space="preserve">Suma / media ponderada</t>
  </si>
  <si>
    <t xml:space="preserve">IPC general Madrid (referencia)</t>
  </si>
  <si>
    <t xml:space="preserve">Diferencia necesidades básicas − general (pp)</t>
  </si>
  <si>
    <t xml:space="preserve">Peso de las 5 necesidades en el gasto total del hogar (Madrid, %)</t>
  </si>
  <si>
    <t xml:space="preserve">Peso de las 5 necesidades en el gasto total del hogar (España, %)</t>
  </si>
  <si>
    <t xml:space="preserve">Método: media de las tasas de variación anual del IPC de Madrid de los cinco grupos, ponderada por el peso de cada grupo en el gasto medio de los hogares de Madrid (EPF 2023). Es una aproximación: usa tasas anuales en vez de índices encadenados y los pesos del IPC oficial son distintos de los de la EPF. El grupo de vivienda de la EPF incluye también otros gastos de suministros; conviene verificar en la metodología del INE si incluye el alquiler imputado.</t>
  </si>
  <si>
    <t xml:space="preserve">salario medio España €</t>
  </si>
  <si>
    <t xml:space="preserve">salario mediano España €</t>
  </si>
  <si>
    <t xml:space="preserve">salario medio Madrid €</t>
  </si>
  <si>
    <t xml:space="preserve">salario mediano Madrid €</t>
  </si>
  <si>
    <t xml:space="preserve">IPC España dic/dic %</t>
  </si>
  <si>
    <t xml:space="preserve">IPC Madrid dic/dic %</t>
  </si>
  <si>
    <t xml:space="preserve">IPC España acumulado (2008=100)</t>
  </si>
  <si>
    <t xml:space="preserve">IPC Madrid acumulado (2008=100)</t>
  </si>
  <si>
    <t xml:space="preserve">media España nominal (2008=100)</t>
  </si>
  <si>
    <t xml:space="preserve">mediana España nominal (2008=100)</t>
  </si>
  <si>
    <t xml:space="preserve">media Madrid nominal (2008=100)</t>
  </si>
  <si>
    <t xml:space="preserve">mediana Madrid nominal (2008=100)</t>
  </si>
  <si>
    <t xml:space="preserve">media España REAL (2008=100)</t>
  </si>
  <si>
    <t xml:space="preserve">mediana España REAL (2008=100)</t>
  </si>
  <si>
    <t xml:space="preserve">media Madrid REAL (2008=100)</t>
  </si>
  <si>
    <t xml:space="preserve">mediana Madrid REAL (2008=100)</t>
  </si>
  <si>
    <t xml:space="preserve">Los salarios (azul) proceden de la EES (INE, tabla 28191). El IPC es dic/dic mientras que el salario es anual (media del año), por lo que el cálculo es una aproximación del poder adquisitivo; la columna REAL divide el índice nominal entre el índice de precios acumulado (2008=100).</t>
  </si>
  <si>
    <t xml:space="preserve">territorio</t>
  </si>
  <si>
    <t xml:space="preserve">serie (renta neta media, €)</t>
  </si>
  <si>
    <t xml:space="preserve">Total Nacional</t>
  </si>
  <si>
    <t xml:space="preserve">Renta neta media por persona</t>
  </si>
  <si>
    <t xml:space="preserve">Renta neta media por unidad de consumo</t>
  </si>
  <si>
    <t xml:space="preserve">Renta neta media por persona (con alquiler imputado)</t>
  </si>
  <si>
    <t xml:space="preserve">Renta neta media por unidad de consumo (con alquiler imputado)</t>
  </si>
  <si>
    <t xml:space="preserve">Madrid / España</t>
  </si>
  <si>
    <t xml:space="preserve">indicador</t>
  </si>
  <si>
    <t xml:space="preserve">unidad</t>
  </si>
  <si>
    <t xml:space="preserve">AROPE (riesgo de pobreza o exclusión social)</t>
  </si>
  <si>
    <t xml:space="preserve">%</t>
  </si>
  <si>
    <t xml:space="preserve">En riesgo de pobreza (renta año anterior a la entrevista)</t>
  </si>
  <si>
    <t xml:space="preserve">Carencia material y social severa</t>
  </si>
  <si>
    <t xml:space="preserve">Baja intensidad en el trabajo (0-64 años)</t>
  </si>
  <si>
    <t xml:space="preserve">Diferencia Madrid − España (pp)</t>
  </si>
  <si>
    <t xml:space="preserve">Encuesta de Condiciones de Vida (INE). Renta neta media (tabla 49145; base 2013) y AROPE (tabla 76847, objetivo Europa 2030). Los años son los de la encuesta; las rentas se refieren al año anterior. Fila "con alquiler imputado" incluye el valor del alquiler de la vivienda en propiedad.</t>
  </si>
  <si>
    <t xml:space="preserve">Tema</t>
  </si>
  <si>
    <t xml:space="preserve">Organismo</t>
  </si>
  <si>
    <t xml:space="preserve">Tabla / identificador</t>
  </si>
  <si>
    <t xml:space="preserve">URL (API o página)</t>
  </si>
  <si>
    <t xml:space="preserve">Fecha de consulta</t>
  </si>
  <si>
    <t xml:space="preserve">Observaciones</t>
  </si>
  <si>
    <t xml:space="preserve">IPC general España</t>
  </si>
  <si>
    <t xml:space="preserve">INE</t>
  </si>
  <si>
    <t xml:space="preserve">Serie IPC290750 (tabla 76134)</t>
  </si>
  <si>
    <t xml:space="preserve">https://servicios.ine.es/wstempus/js/ES/DATOS_SERIE/IPC290750?date=20020101:20261001</t>
  </si>
  <si>
    <t xml:space="preserve">2002–2026-09</t>
  </si>
  <si>
    <t xml:space="preserve">2026-10-21</t>
  </si>
  <si>
    <t xml:space="preserve">Variación anual.</t>
  </si>
  <si>
    <t xml:space="preserve">IPC general Madrid</t>
  </si>
  <si>
    <t xml:space="preserve">Serie IPC294331 (tabla 76140)</t>
  </si>
  <si>
    <t xml:space="preserve">https://servicios.ine.es/wstempus/js/ES/DATOS_SERIE/IPC294331?date=20020101:20261001</t>
  </si>
  <si>
    <t xml:space="preserve">IPC Madrid por grupos</t>
  </si>
  <si>
    <t xml:space="preserve">Tabla 76136; series IPC294335…IPC294383</t>
  </si>
  <si>
    <t xml:space="preserve">https://servicios.ine.es/wstempus/js/ES/DATOS_TABLA/76136?nult=14&amp;tv=70:9009&amp;tv=3:74&amp;tip=A</t>
  </si>
  <si>
    <t xml:space="preserve">Seis grupos se descargaron serie a serie porque el servicio truncaba la tabla (IPC294363, 367, 371, 375, 379, 383).</t>
  </si>
  <si>
    <t xml:space="preserve">IPC armonizado</t>
  </si>
  <si>
    <t xml:space="preserve">Eurostat</t>
  </si>
  <si>
    <t xml:space="preserve">prc_hicp_aind</t>
  </si>
  <si>
    <t xml:space="preserve">https://ec.europa.eu/eurostat/api/dissemination/statistics/1.0/data/prc_hicp_aind?geo=ES&amp;unit=RCH_A_AVG&amp;sinceTimePeriod=2005&amp;coicop=CP00&amp;format=JSON</t>
  </si>
  <si>
    <t xml:space="preserve">España; 2005–2025</t>
  </si>
  <si>
    <t xml:space="preserve">Una petición por grupo. Dataset discontinuado (ver prc_hicp_ainr).</t>
  </si>
  <si>
    <t xml:space="preserve">Gasto de los hogares</t>
  </si>
  <si>
    <t xml:space="preserve">EPF tabla 14505</t>
  </si>
  <si>
    <t xml:space="preserve">https://servicios.ine.es/wstempus/js/ES/DATOS_TABLA/14505?nult=6&amp;tv=70:9009&amp;tip=A</t>
  </si>
  <si>
    <t xml:space="preserve">Madrid y Total Nacional; 2018–2023</t>
  </si>
  <si>
    <t xml:space="preserve">Variante nacional con tv=349:16473.</t>
  </si>
  <si>
    <t xml:space="preserve">Renta media</t>
  </si>
  <si>
    <t xml:space="preserve">ECV tabla 49145</t>
  </si>
  <si>
    <t xml:space="preserve">https://servicios.ine.es/wstempus/js/ES/DATOS_TABLA/49145?nult=3&amp;tip=A</t>
  </si>
  <si>
    <t xml:space="preserve">2023–2025</t>
  </si>
  <si>
    <t xml:space="preserve">AROPE</t>
  </si>
  <si>
    <t xml:space="preserve">ECV tabla 76847</t>
  </si>
  <si>
    <t xml:space="preserve">https://servicios.ine.es/wstempus/js/ES/DATOS_TABLA/76847?nult=6&amp;tv=70:9009&amp;tip=A</t>
  </si>
  <si>
    <t xml:space="preserve">Salarios (para Salario_vs_IPC)</t>
  </si>
  <si>
    <t xml:space="preserve">EES tabla 28191</t>
  </si>
  <si>
    <t xml:space="preserve">https://servicios.ine.es/wstempus/js/ES/DATOS_TABLA/28191?nult=17&amp;tip=A</t>
  </si>
  <si>
    <t xml:space="preserve">Copiado a la hoja como dato fijo; ver 02_Salarios.xlsx.</t>
  </si>
</sst>
</file>

<file path=xl/styles.xml><?xml version="1.0" encoding="utf-8"?>
<styleSheet xmlns="http://schemas.openxmlformats.org/spreadsheetml/2006/main">
  <numFmts count="7">
    <numFmt numFmtId="164" formatCode="General"/>
    <numFmt numFmtId="165" formatCode="0.0"/>
    <numFmt numFmtId="166" formatCode="0.00"/>
    <numFmt numFmtId="167" formatCode="#,##0"/>
    <numFmt numFmtId="168" formatCode="0"/>
    <numFmt numFmtId="169" formatCode="#,##0.0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008000"/>
      <name val="Arial"/>
      <family val="0"/>
      <charset val="1"/>
    </font>
    <font>
      <i val="true"/>
      <sz val="10"/>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 collapsed="false" customWidth="true" hidden="false" outlineLevel="0" max="3" min="3" style="0" width="40"/>
  </cols>
  <sheetData>
    <row r="1" customFormat="false" ht="17.35" hidden="false" customHeight="false" outlineLevel="0" collapsed="false">
      <c r="A1" s="1" t="s">
        <v>0</v>
      </c>
    </row>
    <row r="3" customFormat="false" ht="15" hidden="false" customHeight="false" outlineLevel="0" collapsed="false">
      <c r="A3" s="2" t="s">
        <v>1</v>
      </c>
    </row>
    <row r="4" customFormat="false" ht="45" hidden="false" customHeight="true" outlineLevel="0" collapsed="false">
      <c r="A4" s="3" t="s">
        <v>2</v>
      </c>
      <c r="B4" s="3"/>
      <c r="C4" s="3"/>
    </row>
    <row r="5" customFormat="false" ht="30" hidden="false" customHeight="true" outlineLevel="0" collapsed="false">
      <c r="A5" s="3" t="s">
        <v>3</v>
      </c>
      <c r="B5" s="3"/>
      <c r="C5" s="3"/>
    </row>
    <row r="7" customFormat="false" ht="15" hidden="false" customHeight="false" outlineLevel="0" collapsed="false">
      <c r="A7" s="2" t="s">
        <v>4</v>
      </c>
    </row>
    <row r="8" customFormat="false" ht="15" hidden="false" customHeight="false" outlineLevel="0" collapsed="false">
      <c r="A8" s="4" t="s">
        <v>5</v>
      </c>
      <c r="B8" s="4" t="s">
        <v>6</v>
      </c>
      <c r="C8" s="4" t="s">
        <v>7</v>
      </c>
    </row>
    <row r="9" customFormat="false" ht="15" hidden="false" customHeight="true" outlineLevel="0" collapsed="false">
      <c r="A9" s="2" t="s">
        <v>8</v>
      </c>
      <c r="B9" s="5" t="s">
        <v>9</v>
      </c>
      <c r="C9" s="5" t="s">
        <v>10</v>
      </c>
    </row>
    <row r="10" customFormat="false" ht="15" hidden="false" customHeight="true" outlineLevel="0" collapsed="false">
      <c r="A10" s="2" t="s">
        <v>11</v>
      </c>
      <c r="B10" s="5" t="s">
        <v>12</v>
      </c>
      <c r="C10" s="5" t="s">
        <v>13</v>
      </c>
    </row>
    <row r="11" customFormat="false" ht="15" hidden="false" customHeight="true" outlineLevel="0" collapsed="false">
      <c r="A11" s="2" t="s">
        <v>14</v>
      </c>
      <c r="B11" s="5" t="s">
        <v>15</v>
      </c>
      <c r="C11" s="5" t="s">
        <v>16</v>
      </c>
    </row>
    <row r="12" customFormat="false" ht="15" hidden="false" customHeight="true" outlineLevel="0" collapsed="false">
      <c r="A12" s="2" t="s">
        <v>17</v>
      </c>
      <c r="B12" s="5" t="s">
        <v>18</v>
      </c>
      <c r="C12" s="5" t="s">
        <v>19</v>
      </c>
    </row>
    <row r="13" customFormat="false" ht="15" hidden="false" customHeight="true" outlineLevel="0" collapsed="false">
      <c r="A13" s="2" t="s">
        <v>20</v>
      </c>
      <c r="B13" s="5" t="s">
        <v>21</v>
      </c>
      <c r="C13" s="5" t="s">
        <v>22</v>
      </c>
    </row>
    <row r="14" customFormat="false" ht="15" hidden="false" customHeight="true" outlineLevel="0" collapsed="false">
      <c r="A14" s="2" t="s">
        <v>23</v>
      </c>
      <c r="B14" s="5" t="s">
        <v>24</v>
      </c>
      <c r="C14" s="5" t="s">
        <v>25</v>
      </c>
    </row>
    <row r="15" customFormat="false" ht="15" hidden="false" customHeight="true" outlineLevel="0" collapsed="false">
      <c r="A15" s="2" t="s">
        <v>26</v>
      </c>
      <c r="B15" s="5" t="s">
        <v>27</v>
      </c>
      <c r="C15" s="5" t="s">
        <v>28</v>
      </c>
    </row>
    <row r="16" customFormat="false" ht="30" hidden="false" customHeight="true" outlineLevel="0" collapsed="false">
      <c r="A16" s="2" t="s">
        <v>29</v>
      </c>
      <c r="B16" s="5" t="s">
        <v>30</v>
      </c>
      <c r="C16" s="5" t="s">
        <v>31</v>
      </c>
    </row>
    <row r="17" customFormat="false" ht="15" hidden="false" customHeight="true" outlineLevel="0" collapsed="false">
      <c r="A17" s="2" t="s">
        <v>32</v>
      </c>
      <c r="B17" s="5" t="s">
        <v>33</v>
      </c>
      <c r="C17" s="5" t="s">
        <v>34</v>
      </c>
    </row>
    <row r="18" customFormat="false" ht="15" hidden="false" customHeight="true" outlineLevel="0" collapsed="false">
      <c r="A18" s="2" t="s">
        <v>35</v>
      </c>
      <c r="B18" s="5" t="s">
        <v>36</v>
      </c>
      <c r="C18" s="5" t="s">
        <v>37</v>
      </c>
    </row>
    <row r="19" customFormat="false" ht="15" hidden="false" customHeight="true" outlineLevel="0" collapsed="false">
      <c r="A19" s="2" t="s">
        <v>38</v>
      </c>
      <c r="B19" s="5" t="s">
        <v>39</v>
      </c>
      <c r="C19" s="5"/>
    </row>
    <row r="21" customFormat="false" ht="15" hidden="false" customHeight="false" outlineLevel="0" collapsed="false">
      <c r="A21" s="2" t="s">
        <v>40</v>
      </c>
    </row>
    <row r="22" customFormat="false" ht="45" hidden="false" customHeight="true" outlineLevel="0" collapsed="false">
      <c r="A22" s="3" t="s">
        <v>41</v>
      </c>
      <c r="B22" s="3"/>
      <c r="C22" s="3"/>
    </row>
    <row r="23" customFormat="false" ht="30" hidden="false" customHeight="true" outlineLevel="0" collapsed="false">
      <c r="A23" s="3" t="s">
        <v>42</v>
      </c>
      <c r="B23" s="3"/>
      <c r="C23" s="3"/>
    </row>
    <row r="24" customFormat="false" ht="30" hidden="false" customHeight="true" outlineLevel="0" collapsed="false">
      <c r="A24" s="3" t="s">
        <v>43</v>
      </c>
      <c r="B24" s="3"/>
      <c r="C24" s="3"/>
    </row>
    <row r="25" customFormat="false" ht="30" hidden="false" customHeight="true" outlineLevel="0" collapsed="false">
      <c r="A25" s="3" t="s">
        <v>44</v>
      </c>
      <c r="B25" s="3"/>
      <c r="C25" s="3"/>
    </row>
    <row r="26" customFormat="false" ht="30" hidden="false" customHeight="true" outlineLevel="0" collapsed="false">
      <c r="A26" s="3" t="s">
        <v>45</v>
      </c>
      <c r="B26" s="3"/>
      <c r="C26" s="3"/>
    </row>
    <row r="27" customFormat="false" ht="30" hidden="false" customHeight="true" outlineLevel="0" collapsed="false">
      <c r="A27" s="3" t="s">
        <v>46</v>
      </c>
      <c r="B27" s="3"/>
      <c r="C27" s="3"/>
    </row>
    <row r="28" customFormat="false" ht="30" hidden="false" customHeight="true" outlineLevel="0" collapsed="false">
      <c r="A28" s="3" t="s">
        <v>47</v>
      </c>
      <c r="B28" s="3"/>
      <c r="C28" s="3"/>
    </row>
    <row r="30" customFormat="false" ht="15" hidden="false" customHeight="false" outlineLevel="0" collapsed="false">
      <c r="A30" s="2" t="s">
        <v>48</v>
      </c>
    </row>
    <row r="31" customFormat="false" ht="15" hidden="false" customHeight="false" outlineLevel="0" collapsed="false">
      <c r="A31" s="6" t="s">
        <v>49</v>
      </c>
    </row>
    <row r="32" customFormat="false" ht="15" hidden="false" customHeight="false" outlineLevel="0" collapsed="false">
      <c r="A32" s="7" t="s">
        <v>50</v>
      </c>
    </row>
    <row r="33" customFormat="false" ht="15" hidden="false" customHeight="false" outlineLevel="0" collapsed="false">
      <c r="A33" s="8" t="s">
        <v>51</v>
      </c>
    </row>
    <row r="34" customFormat="false" ht="15" hidden="false" customHeight="false" outlineLevel="0" collapsed="false">
      <c r="A34" s="9" t="s">
        <v>52</v>
      </c>
    </row>
    <row r="35" customFormat="false" ht="15" hidden="false" customHeight="false" outlineLevel="0" collapsed="false">
      <c r="A35" s="10" t="s">
        <v>53</v>
      </c>
    </row>
  </sheetData>
  <mergeCells count="9">
    <mergeCell ref="A4:C4"/>
    <mergeCell ref="A5:C5"/>
    <mergeCell ref="A22:C22"/>
    <mergeCell ref="A23:C23"/>
    <mergeCell ref="A24:C24"/>
    <mergeCell ref="A25:C25"/>
    <mergeCell ref="A26:C26"/>
    <mergeCell ref="A27:C27"/>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4"/>
    <col collapsed="false" customWidth="true" hidden="false" outlineLevel="0" max="5" min="3" style="0" width="16"/>
    <col collapsed="false" customWidth="true" hidden="false" outlineLevel="0" max="6" min="6" style="0" width="58"/>
  </cols>
  <sheetData>
    <row r="1" customFormat="false" ht="17.35" hidden="false" customHeight="false" outlineLevel="0" collapsed="false">
      <c r="A1" s="1" t="s">
        <v>54</v>
      </c>
    </row>
    <row r="2" customFormat="false" ht="15" hidden="false" customHeight="false" outlineLevel="0" collapsed="false">
      <c r="A2" s="11" t="s">
        <v>55</v>
      </c>
    </row>
    <row r="4" customFormat="false" ht="15" hidden="false" customHeight="false" outlineLevel="0" collapsed="false">
      <c r="A4" s="4" t="s">
        <v>56</v>
      </c>
      <c r="B4" s="4" t="s">
        <v>57</v>
      </c>
      <c r="C4" s="4" t="s">
        <v>58</v>
      </c>
      <c r="D4" s="4" t="s">
        <v>59</v>
      </c>
      <c r="E4" s="4" t="s">
        <v>60</v>
      </c>
      <c r="F4" s="4" t="s">
        <v>61</v>
      </c>
    </row>
    <row r="5" customFormat="false" ht="15" hidden="false" customHeight="false" outlineLevel="0" collapsed="false">
      <c r="A5" s="12" t="s">
        <v>62</v>
      </c>
      <c r="B5" s="12" t="s">
        <v>63</v>
      </c>
      <c r="C5" s="13" t="n">
        <f aca="false">IPC_2026_Mensual!B10</f>
        <v>4.9</v>
      </c>
      <c r="D5" s="13" t="n">
        <f aca="false">IPC_2026_Mensual!C10</f>
        <v>5.3</v>
      </c>
      <c r="E5" s="14" t="n">
        <f aca="false">D5-C5</f>
        <v>0.399999999999999</v>
      </c>
      <c r="F5" s="11" t="s">
        <v>14</v>
      </c>
    </row>
    <row r="6" customFormat="false" ht="15" hidden="false" customHeight="false" outlineLevel="0" collapsed="false">
      <c r="A6" s="12" t="s">
        <v>64</v>
      </c>
      <c r="B6" s="12" t="s">
        <v>65</v>
      </c>
      <c r="C6" s="13" t="n">
        <f aca="false">IPC_General_Anual!B25</f>
        <v>2.9</v>
      </c>
      <c r="D6" s="13" t="n">
        <f aca="false">IPC_General_Anual!C25</f>
        <v>3.7</v>
      </c>
      <c r="E6" s="14" t="n">
        <f aca="false">D6-C6</f>
        <v>0.8</v>
      </c>
      <c r="F6" s="11" t="s">
        <v>11</v>
      </c>
    </row>
    <row r="7" customFormat="false" ht="15" hidden="false" customHeight="false" outlineLevel="0" collapsed="false">
      <c r="A7" s="12" t="s">
        <v>66</v>
      </c>
      <c r="B7" s="12" t="s">
        <v>13</v>
      </c>
      <c r="C7" s="13" t="n">
        <f aca="false">IPC_General_Anual!E27</f>
        <v>72.2920449979471</v>
      </c>
      <c r="D7" s="13" t="n">
        <f aca="false">IPC_General_Anual!F27</f>
        <v>70.1616923779313</v>
      </c>
      <c r="E7" s="14" t="n">
        <f aca="false">D7-C7</f>
        <v>-2.13035262001588</v>
      </c>
      <c r="F7" s="11" t="s">
        <v>67</v>
      </c>
    </row>
    <row r="8" customFormat="false" ht="15" hidden="false" customHeight="false" outlineLevel="0" collapsed="false">
      <c r="A8" s="12" t="s">
        <v>68</v>
      </c>
      <c r="B8" s="12" t="s">
        <v>63</v>
      </c>
      <c r="C8" s="8" t="str">
        <f aca="false">INDEX(IPC_Madrid_Grupos!A3:A15,MATCH(MAX(IPC_Madrid_Grupos!O3:O15),IPC_Madrid_Grupos!O3:O15,0))</f>
        <v>Transporte</v>
      </c>
      <c r="D8" s="8" t="n">
        <f aca="false">MAX(IPC_Madrid_Grupos!O3:O15)</f>
        <v>11.5</v>
      </c>
      <c r="F8" s="11" t="s">
        <v>69</v>
      </c>
    </row>
    <row r="9" customFormat="false" ht="15" hidden="false" customHeight="false" outlineLevel="0" collapsed="false">
      <c r="A9" s="12" t="s">
        <v>70</v>
      </c>
      <c r="B9" s="12" t="s">
        <v>63</v>
      </c>
      <c r="D9" s="15" t="n">
        <f aca="false">Cesta_Necesidades_Aprox!D10</f>
        <v>5.95767773230256</v>
      </c>
      <c r="F9" s="11" t="s">
        <v>71</v>
      </c>
    </row>
    <row r="10" customFormat="false" ht="15" hidden="false" customHeight="false" outlineLevel="0" collapsed="false">
      <c r="A10" s="12" t="s">
        <v>72</v>
      </c>
      <c r="B10" s="12" t="s">
        <v>65</v>
      </c>
      <c r="C10" s="13" t="n">
        <f aca="false">HICP_Espana_Grupos!W2</f>
        <v>2.7</v>
      </c>
      <c r="F10" s="11" t="s">
        <v>73</v>
      </c>
    </row>
    <row r="11" customFormat="false" ht="15" hidden="false" customHeight="false" outlineLevel="0" collapsed="false">
      <c r="A11" s="12" t="s">
        <v>74</v>
      </c>
      <c r="B11" s="12" t="s">
        <v>28</v>
      </c>
      <c r="C11" s="16" t="n">
        <f aca="false">EPF_Comparativa_2023!C2</f>
        <v>32616.66</v>
      </c>
      <c r="D11" s="16" t="n">
        <f aca="false">EPF_Comparativa_2023!B2</f>
        <v>37360.47</v>
      </c>
      <c r="E11" s="17" t="n">
        <f aca="false">D11-C11</f>
        <v>4743.81</v>
      </c>
      <c r="F11" s="11" t="s">
        <v>26</v>
      </c>
    </row>
    <row r="12" customFormat="false" ht="15" hidden="false" customHeight="false" outlineLevel="0" collapsed="false">
      <c r="A12" s="12" t="s">
        <v>75</v>
      </c>
      <c r="B12" s="12" t="s">
        <v>28</v>
      </c>
      <c r="C12" s="16" t="n">
        <f aca="false">EPF_Comparativa_2023!F2</f>
        <v>13120.1</v>
      </c>
      <c r="D12" s="16" t="n">
        <f aca="false">EPF_Comparativa_2023!E2</f>
        <v>14650.11</v>
      </c>
      <c r="E12" s="17" t="n">
        <f aca="false">D12-C12</f>
        <v>1530.01</v>
      </c>
      <c r="F12" s="11" t="s">
        <v>26</v>
      </c>
    </row>
    <row r="13" customFormat="false" ht="15" hidden="false" customHeight="false" outlineLevel="0" collapsed="false">
      <c r="A13" s="12" t="s">
        <v>76</v>
      </c>
      <c r="B13" s="12" t="s">
        <v>28</v>
      </c>
      <c r="C13" s="13" t="n">
        <f aca="false">EPF_Comparativa_2023!H6</f>
        <v>31.79</v>
      </c>
      <c r="D13" s="13" t="n">
        <f aca="false">EPF_Comparativa_2023!G6</f>
        <v>35</v>
      </c>
      <c r="E13" s="14" t="n">
        <f aca="false">D13-C13</f>
        <v>3.21</v>
      </c>
      <c r="F13" s="11" t="s">
        <v>26</v>
      </c>
    </row>
    <row r="14" customFormat="false" ht="15" hidden="false" customHeight="false" outlineLevel="0" collapsed="false">
      <c r="A14" s="12" t="s">
        <v>77</v>
      </c>
      <c r="B14" s="12" t="s">
        <v>28</v>
      </c>
      <c r="C14" s="13" t="n">
        <f aca="false">EPF_Comparativa_2023!H3</f>
        <v>16.35</v>
      </c>
      <c r="D14" s="13" t="n">
        <f aca="false">EPF_Comparativa_2023!G3</f>
        <v>14.01</v>
      </c>
      <c r="E14" s="14" t="n">
        <f aca="false">D14-C14</f>
        <v>-2.34</v>
      </c>
      <c r="F14" s="11" t="s">
        <v>26</v>
      </c>
    </row>
    <row r="15" customFormat="false" ht="15" hidden="false" customHeight="false" outlineLevel="0" collapsed="false">
      <c r="A15" s="12" t="s">
        <v>78</v>
      </c>
      <c r="B15" s="12" t="s">
        <v>65</v>
      </c>
      <c r="C15" s="16" t="n">
        <f aca="false">ECV_Renta_Pobreza!E2</f>
        <v>15620</v>
      </c>
      <c r="D15" s="16" t="n">
        <f aca="false">ECV_Renta_Pobreza!E6</f>
        <v>18169</v>
      </c>
      <c r="E15" s="17" t="n">
        <f aca="false">D15-C15</f>
        <v>2549</v>
      </c>
      <c r="F15" s="11" t="s">
        <v>79</v>
      </c>
    </row>
    <row r="16" customFormat="false" ht="15" hidden="false" customHeight="false" outlineLevel="0" collapsed="false">
      <c r="A16" s="12" t="s">
        <v>80</v>
      </c>
      <c r="B16" s="12" t="s">
        <v>65</v>
      </c>
      <c r="C16" s="13" t="n">
        <f aca="false">ECV_Renta_Pobreza!I23</f>
        <v>25.7</v>
      </c>
      <c r="D16" s="13" t="n">
        <f aca="false">ECV_Renta_Pobreza!I19</f>
        <v>19.4</v>
      </c>
      <c r="E16" s="14" t="n">
        <f aca="false">D16-C16</f>
        <v>-6.3</v>
      </c>
      <c r="F16" s="11" t="s">
        <v>35</v>
      </c>
    </row>
    <row r="17" customFormat="false" ht="15" hidden="false" customHeight="false" outlineLevel="0" collapsed="false">
      <c r="A17" s="12" t="s">
        <v>81</v>
      </c>
      <c r="B17" s="12" t="s">
        <v>82</v>
      </c>
      <c r="C17" s="13" t="n">
        <f aca="false">Salario_vs_IPC!N18</f>
        <v>99.8997814255369</v>
      </c>
      <c r="D17" s="13" t="n">
        <f aca="false">Salario_vs_IPC!P18</f>
        <v>102.636312532885</v>
      </c>
      <c r="E17" s="14" t="n">
        <f aca="false">D17-C17</f>
        <v>2.73653110734855</v>
      </c>
      <c r="F17" s="11" t="s">
        <v>83</v>
      </c>
    </row>
    <row r="18" customFormat="false" ht="15" hidden="false" customHeight="false" outlineLevel="0" collapsed="false">
      <c r="A18" s="12" t="s">
        <v>84</v>
      </c>
      <c r="B18" s="12" t="s">
        <v>82</v>
      </c>
      <c r="C18" s="13" t="n">
        <f aca="false">Salario_vs_IPC!O18</f>
        <v>99.3691902674761</v>
      </c>
      <c r="D18" s="13" t="n">
        <f aca="false">Salario_vs_IPC!Q18</f>
        <v>104.258860940129</v>
      </c>
      <c r="E18" s="14" t="n">
        <f aca="false">D18-C18</f>
        <v>4.88967067265295</v>
      </c>
      <c r="F18" s="11"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18"/>
    <col collapsed="false" customWidth="true" hidden="false" outlineLevel="0" max="6" min="5" style="0" width="22"/>
  </cols>
  <sheetData>
    <row r="1" customFormat="false" ht="43.5" hidden="false" customHeight="true" outlineLevel="0" collapsed="false">
      <c r="A1" s="4" t="s">
        <v>85</v>
      </c>
      <c r="B1" s="4" t="s">
        <v>86</v>
      </c>
      <c r="C1" s="4" t="s">
        <v>87</v>
      </c>
      <c r="D1" s="4" t="s">
        <v>88</v>
      </c>
      <c r="E1" s="4" t="s">
        <v>89</v>
      </c>
      <c r="F1" s="4" t="s">
        <v>90</v>
      </c>
    </row>
    <row r="2" customFormat="false" ht="15" hidden="false" customHeight="false" outlineLevel="0" collapsed="false">
      <c r="A2" s="18" t="n">
        <v>2002</v>
      </c>
      <c r="B2" s="19" t="n">
        <v>4</v>
      </c>
      <c r="C2" s="19" t="n">
        <v>3.9</v>
      </c>
      <c r="D2" s="14" t="n">
        <f aca="false">C2-B2</f>
        <v>-0.1</v>
      </c>
      <c r="E2" s="14" t="n">
        <f aca="false">100*(1+B2/100)</f>
        <v>104</v>
      </c>
      <c r="F2" s="14" t="n">
        <f aca="false">100*(1+C2/100)</f>
        <v>103.9</v>
      </c>
    </row>
    <row r="3" customFormat="false" ht="15" hidden="false" customHeight="false" outlineLevel="0" collapsed="false">
      <c r="A3" s="18" t="n">
        <v>2003</v>
      </c>
      <c r="B3" s="19" t="n">
        <v>2.6</v>
      </c>
      <c r="C3" s="19" t="n">
        <v>2.6</v>
      </c>
      <c r="D3" s="14" t="n">
        <f aca="false">C3-B3</f>
        <v>0</v>
      </c>
      <c r="E3" s="14" t="n">
        <f aca="false">E2*(1+B3/100)</f>
        <v>106.704</v>
      </c>
      <c r="F3" s="14" t="n">
        <f aca="false">F2*(1+C3/100)</f>
        <v>106.6014</v>
      </c>
    </row>
    <row r="4" customFormat="false" ht="15" hidden="false" customHeight="false" outlineLevel="0" collapsed="false">
      <c r="A4" s="18" t="n">
        <v>2004</v>
      </c>
      <c r="B4" s="19" t="n">
        <v>3.2</v>
      </c>
      <c r="C4" s="19" t="n">
        <v>3.1</v>
      </c>
      <c r="D4" s="14" t="n">
        <f aca="false">C4-B4</f>
        <v>-0.1</v>
      </c>
      <c r="E4" s="14" t="n">
        <f aca="false">E3*(1+B4/100)</f>
        <v>110.118528</v>
      </c>
      <c r="F4" s="14" t="n">
        <f aca="false">F3*(1+C4/100)</f>
        <v>109.9060434</v>
      </c>
    </row>
    <row r="5" customFormat="false" ht="15" hidden="false" customHeight="false" outlineLevel="0" collapsed="false">
      <c r="A5" s="18" t="n">
        <v>2005</v>
      </c>
      <c r="B5" s="19" t="n">
        <v>3.7</v>
      </c>
      <c r="C5" s="19" t="n">
        <v>3.7</v>
      </c>
      <c r="D5" s="14" t="n">
        <f aca="false">C5-B5</f>
        <v>0</v>
      </c>
      <c r="E5" s="14" t="n">
        <f aca="false">E4*(1+B5/100)</f>
        <v>114.192913536</v>
      </c>
      <c r="F5" s="14" t="n">
        <f aca="false">F4*(1+C5/100)</f>
        <v>113.9725670058</v>
      </c>
    </row>
    <row r="6" customFormat="false" ht="15" hidden="false" customHeight="false" outlineLevel="0" collapsed="false">
      <c r="A6" s="18" t="n">
        <v>2006</v>
      </c>
      <c r="B6" s="19" t="n">
        <v>2.7</v>
      </c>
      <c r="C6" s="19" t="n">
        <v>2.7</v>
      </c>
      <c r="D6" s="14" t="n">
        <f aca="false">C6-B6</f>
        <v>0</v>
      </c>
      <c r="E6" s="14" t="n">
        <f aca="false">E5*(1+B6/100)</f>
        <v>117.276122201472</v>
      </c>
      <c r="F6" s="14" t="n">
        <f aca="false">F5*(1+C6/100)</f>
        <v>117.049826314957</v>
      </c>
    </row>
    <row r="7" customFormat="false" ht="15" hidden="false" customHeight="false" outlineLevel="0" collapsed="false">
      <c r="A7" s="18" t="n">
        <v>2007</v>
      </c>
      <c r="B7" s="19" t="n">
        <v>4.2</v>
      </c>
      <c r="C7" s="19" t="n">
        <v>4</v>
      </c>
      <c r="D7" s="14" t="n">
        <f aca="false">C7-B7</f>
        <v>-0.2</v>
      </c>
      <c r="E7" s="14" t="n">
        <f aca="false">E6*(1+B7/100)</f>
        <v>122.201719333934</v>
      </c>
      <c r="F7" s="14" t="n">
        <f aca="false">F6*(1+C7/100)</f>
        <v>121.731819367555</v>
      </c>
    </row>
    <row r="8" customFormat="false" ht="15" hidden="false" customHeight="false" outlineLevel="0" collapsed="false">
      <c r="A8" s="18" t="n">
        <v>2008</v>
      </c>
      <c r="B8" s="19" t="n">
        <v>1.4</v>
      </c>
      <c r="C8" s="19" t="n">
        <v>1.6</v>
      </c>
      <c r="D8" s="14" t="n">
        <f aca="false">C8-B8</f>
        <v>0.2</v>
      </c>
      <c r="E8" s="14" t="n">
        <f aca="false">E7*(1+B8/100)</f>
        <v>123.912543404609</v>
      </c>
      <c r="F8" s="14" t="n">
        <f aca="false">F7*(1+C8/100)</f>
        <v>123.679528477436</v>
      </c>
    </row>
    <row r="9" customFormat="false" ht="15" hidden="false" customHeight="false" outlineLevel="0" collapsed="false">
      <c r="A9" s="18" t="n">
        <v>2009</v>
      </c>
      <c r="B9" s="19" t="n">
        <v>0.8</v>
      </c>
      <c r="C9" s="19" t="n">
        <v>0.9</v>
      </c>
      <c r="D9" s="14" t="n">
        <f aca="false">C9-B9</f>
        <v>0.1</v>
      </c>
      <c r="E9" s="14" t="n">
        <f aca="false">E8*(1+B9/100)</f>
        <v>124.903843751846</v>
      </c>
      <c r="F9" s="14" t="n">
        <f aca="false">F8*(1+C9/100)</f>
        <v>124.792644233733</v>
      </c>
    </row>
    <row r="10" customFormat="false" ht="15" hidden="false" customHeight="false" outlineLevel="0" collapsed="false">
      <c r="A10" s="18" t="n">
        <v>2010</v>
      </c>
      <c r="B10" s="19" t="n">
        <v>3</v>
      </c>
      <c r="C10" s="19" t="n">
        <v>3</v>
      </c>
      <c r="D10" s="14" t="n">
        <f aca="false">C10-B10</f>
        <v>0</v>
      </c>
      <c r="E10" s="14" t="n">
        <f aca="false">E9*(1+B10/100)</f>
        <v>128.650959064401</v>
      </c>
      <c r="F10" s="14" t="n">
        <f aca="false">F9*(1+C10/100)</f>
        <v>128.536423560745</v>
      </c>
    </row>
    <row r="11" customFormat="false" ht="15" hidden="false" customHeight="false" outlineLevel="0" collapsed="false">
      <c r="A11" s="18" t="n">
        <v>2011</v>
      </c>
      <c r="B11" s="19" t="n">
        <v>2.4</v>
      </c>
      <c r="C11" s="19" t="n">
        <v>2.5</v>
      </c>
      <c r="D11" s="14" t="n">
        <f aca="false">C11-B11</f>
        <v>0.1</v>
      </c>
      <c r="E11" s="14" t="n">
        <f aca="false">E10*(1+B11/100)</f>
        <v>131.738582081947</v>
      </c>
      <c r="F11" s="14" t="n">
        <f aca="false">F10*(1+C11/100)</f>
        <v>131.749834149763</v>
      </c>
    </row>
    <row r="12" customFormat="false" ht="15" hidden="false" customHeight="false" outlineLevel="0" collapsed="false">
      <c r="A12" s="18" t="n">
        <v>2012</v>
      </c>
      <c r="B12" s="19" t="n">
        <v>2.9</v>
      </c>
      <c r="C12" s="19" t="n">
        <v>2.5</v>
      </c>
      <c r="D12" s="14" t="n">
        <f aca="false">C12-B12</f>
        <v>-0.4</v>
      </c>
      <c r="E12" s="14" t="n">
        <f aca="false">E11*(1+B12/100)</f>
        <v>135.559000962323</v>
      </c>
      <c r="F12" s="14" t="n">
        <f aca="false">F11*(1+C12/100)</f>
        <v>135.043580003507</v>
      </c>
    </row>
    <row r="13" customFormat="false" ht="15" hidden="false" customHeight="false" outlineLevel="0" collapsed="false">
      <c r="A13" s="18" t="n">
        <v>2013</v>
      </c>
      <c r="B13" s="19" t="n">
        <v>0.3</v>
      </c>
      <c r="C13" s="19" t="n">
        <v>0.2</v>
      </c>
      <c r="D13" s="14" t="n">
        <f aca="false">C13-B13</f>
        <v>-0.1</v>
      </c>
      <c r="E13" s="14" t="n">
        <f aca="false">E12*(1+B13/100)</f>
        <v>135.96567796521</v>
      </c>
      <c r="F13" s="14" t="n">
        <f aca="false">F12*(1+C13/100)</f>
        <v>135.313667163514</v>
      </c>
    </row>
    <row r="14" customFormat="false" ht="15" hidden="false" customHeight="false" outlineLevel="0" collapsed="false">
      <c r="A14" s="18" t="n">
        <v>2014</v>
      </c>
      <c r="B14" s="19" t="n">
        <v>-1</v>
      </c>
      <c r="C14" s="19" t="n">
        <v>-1.1</v>
      </c>
      <c r="D14" s="14" t="n">
        <f aca="false">C14-B14</f>
        <v>-0.1</v>
      </c>
      <c r="E14" s="14" t="n">
        <f aca="false">E13*(1+B14/100)</f>
        <v>134.606021185558</v>
      </c>
      <c r="F14" s="14" t="n">
        <f aca="false">F13*(1+C14/100)</f>
        <v>133.825216824716</v>
      </c>
    </row>
    <row r="15" customFormat="false" ht="15" hidden="false" customHeight="false" outlineLevel="0" collapsed="false">
      <c r="A15" s="18" t="n">
        <v>2015</v>
      </c>
      <c r="B15" s="19" t="n">
        <v>0</v>
      </c>
      <c r="C15" s="19" t="n">
        <v>0</v>
      </c>
      <c r="D15" s="14" t="n">
        <f aca="false">C15-B15</f>
        <v>0</v>
      </c>
      <c r="E15" s="14" t="n">
        <f aca="false">E14*(1+B15/100)</f>
        <v>134.606021185558</v>
      </c>
      <c r="F15" s="14" t="n">
        <f aca="false">F14*(1+C15/100)</f>
        <v>133.825216824716</v>
      </c>
    </row>
    <row r="16" customFormat="false" ht="15" hidden="false" customHeight="false" outlineLevel="0" collapsed="false">
      <c r="A16" s="18" t="n">
        <v>2016</v>
      </c>
      <c r="B16" s="19" t="n">
        <v>1.6</v>
      </c>
      <c r="C16" s="19" t="n">
        <v>1.4</v>
      </c>
      <c r="D16" s="14" t="n">
        <f aca="false">C16-B16</f>
        <v>-0.2</v>
      </c>
      <c r="E16" s="14" t="n">
        <f aca="false">E15*(1+B16/100)</f>
        <v>136.759717524527</v>
      </c>
      <c r="F16" s="14" t="n">
        <f aca="false">F15*(1+C16/100)</f>
        <v>135.698769860262</v>
      </c>
    </row>
    <row r="17" customFormat="false" ht="15" hidden="false" customHeight="false" outlineLevel="0" collapsed="false">
      <c r="A17" s="18" t="n">
        <v>2017</v>
      </c>
      <c r="B17" s="19" t="n">
        <v>1.1</v>
      </c>
      <c r="C17" s="19" t="n">
        <v>1.2</v>
      </c>
      <c r="D17" s="14" t="n">
        <f aca="false">C17-B17</f>
        <v>0.0999999999999999</v>
      </c>
      <c r="E17" s="14" t="n">
        <f aca="false">E16*(1+B17/100)</f>
        <v>138.264074417297</v>
      </c>
      <c r="F17" s="14" t="n">
        <f aca="false">F16*(1+C17/100)</f>
        <v>137.327155098585</v>
      </c>
    </row>
    <row r="18" customFormat="false" ht="15" hidden="false" customHeight="false" outlineLevel="0" collapsed="false">
      <c r="A18" s="18" t="n">
        <v>2018</v>
      </c>
      <c r="B18" s="19" t="n">
        <v>1.2</v>
      </c>
      <c r="C18" s="19" t="n">
        <v>1.4</v>
      </c>
      <c r="D18" s="14" t="n">
        <f aca="false">C18-B18</f>
        <v>0.2</v>
      </c>
      <c r="E18" s="14" t="n">
        <f aca="false">E17*(1+B18/100)</f>
        <v>139.923243310304</v>
      </c>
      <c r="F18" s="14" t="n">
        <f aca="false">F17*(1+C18/100)</f>
        <v>139.249735269965</v>
      </c>
    </row>
    <row r="19" customFormat="false" ht="15" hidden="false" customHeight="false" outlineLevel="0" collapsed="false">
      <c r="A19" s="18" t="n">
        <v>2019</v>
      </c>
      <c r="B19" s="19" t="n">
        <v>0.8</v>
      </c>
      <c r="C19" s="19" t="n">
        <v>0.9</v>
      </c>
      <c r="D19" s="14" t="n">
        <f aca="false">C19-B19</f>
        <v>0.1</v>
      </c>
      <c r="E19" s="14" t="n">
        <f aca="false">E18*(1+B19/100)</f>
        <v>141.042629256787</v>
      </c>
      <c r="F19" s="14" t="n">
        <f aca="false">F18*(1+C19/100)</f>
        <v>140.502982887395</v>
      </c>
    </row>
    <row r="20" customFormat="false" ht="15" hidden="false" customHeight="false" outlineLevel="0" collapsed="false">
      <c r="A20" s="18" t="n">
        <v>2020</v>
      </c>
      <c r="B20" s="19" t="n">
        <v>-0.5</v>
      </c>
      <c r="C20" s="19" t="n">
        <v>-0.8</v>
      </c>
      <c r="D20" s="14" t="n">
        <f aca="false">C20-B20</f>
        <v>-0.3</v>
      </c>
      <c r="E20" s="14" t="n">
        <f aca="false">E19*(1+B20/100)</f>
        <v>140.337416110503</v>
      </c>
      <c r="F20" s="14" t="n">
        <f aca="false">F19*(1+C20/100)</f>
        <v>139.378959024296</v>
      </c>
    </row>
    <row r="21" customFormat="false" ht="15" hidden="false" customHeight="false" outlineLevel="0" collapsed="false">
      <c r="A21" s="18" t="n">
        <v>2021</v>
      </c>
      <c r="B21" s="19" t="n">
        <v>6.5</v>
      </c>
      <c r="C21" s="19" t="n">
        <v>6.2</v>
      </c>
      <c r="D21" s="14" t="n">
        <f aca="false">C21-B21</f>
        <v>-0.3</v>
      </c>
      <c r="E21" s="14" t="n">
        <f aca="false">E20*(1+B21/100)</f>
        <v>149.459348157686</v>
      </c>
      <c r="F21" s="14" t="n">
        <f aca="false">F20*(1+C21/100)</f>
        <v>148.020454483802</v>
      </c>
    </row>
    <row r="22" customFormat="false" ht="15" hidden="false" customHeight="false" outlineLevel="0" collapsed="false">
      <c r="A22" s="18" t="n">
        <v>2022</v>
      </c>
      <c r="B22" s="19" t="n">
        <v>5.7</v>
      </c>
      <c r="C22" s="19" t="n">
        <v>4.9</v>
      </c>
      <c r="D22" s="14" t="n">
        <f aca="false">C22-B22</f>
        <v>-0.8</v>
      </c>
      <c r="E22" s="14" t="n">
        <f aca="false">E21*(1+B22/100)</f>
        <v>157.978531002674</v>
      </c>
      <c r="F22" s="14" t="n">
        <f aca="false">F21*(1+C22/100)</f>
        <v>155.273456753508</v>
      </c>
    </row>
    <row r="23" customFormat="false" ht="15" hidden="false" customHeight="false" outlineLevel="0" collapsed="false">
      <c r="A23" s="18" t="n">
        <v>2023</v>
      </c>
      <c r="B23" s="19" t="n">
        <v>3.1</v>
      </c>
      <c r="C23" s="19" t="n">
        <v>2.7</v>
      </c>
      <c r="D23" s="14" t="n">
        <f aca="false">C23-B23</f>
        <v>-0.4</v>
      </c>
      <c r="E23" s="14" t="n">
        <f aca="false">E22*(1+B23/100)</f>
        <v>162.875865463756</v>
      </c>
      <c r="F23" s="14" t="n">
        <f aca="false">F22*(1+C23/100)</f>
        <v>159.465840085853</v>
      </c>
    </row>
    <row r="24" customFormat="false" ht="15" hidden="false" customHeight="false" outlineLevel="0" collapsed="false">
      <c r="A24" s="18" t="n">
        <v>2024</v>
      </c>
      <c r="B24" s="19" t="n">
        <v>2.8</v>
      </c>
      <c r="C24" s="19" t="n">
        <v>2.9</v>
      </c>
      <c r="D24" s="14" t="n">
        <f aca="false">C24-B24</f>
        <v>0.1</v>
      </c>
      <c r="E24" s="14" t="n">
        <f aca="false">E23*(1+B24/100)</f>
        <v>167.436389696742</v>
      </c>
      <c r="F24" s="14" t="n">
        <f aca="false">F23*(1+C24/100)</f>
        <v>164.090349448343</v>
      </c>
    </row>
    <row r="25" customFormat="false" ht="15" hidden="false" customHeight="false" outlineLevel="0" collapsed="false">
      <c r="A25" s="18" t="n">
        <v>2025</v>
      </c>
      <c r="B25" s="19" t="n">
        <v>2.9</v>
      </c>
      <c r="C25" s="19" t="n">
        <v>3.7</v>
      </c>
      <c r="D25" s="14" t="n">
        <f aca="false">C25-B25</f>
        <v>0.8</v>
      </c>
      <c r="E25" s="14" t="n">
        <f aca="false">E24*(1+B25/100)</f>
        <v>172.292044997947</v>
      </c>
      <c r="F25" s="14" t="n">
        <f aca="false">F24*(1+C25/100)</f>
        <v>170.161692377931</v>
      </c>
    </row>
    <row r="27" customFormat="false" ht="15" hidden="false" customHeight="false" outlineLevel="0" collapsed="false">
      <c r="A27" s="2" t="s">
        <v>66</v>
      </c>
      <c r="E27" s="14" t="n">
        <f aca="false">(E25/100-1)*100</f>
        <v>72.2920449979471</v>
      </c>
      <c r="F27" s="14" t="n">
        <f aca="false">(F25/100-1)*100</f>
        <v>70.1616923779313</v>
      </c>
    </row>
    <row r="28" customFormat="false" ht="15" hidden="false" customHeight="false" outlineLevel="0" collapsed="false">
      <c r="A28" s="2" t="s">
        <v>91</v>
      </c>
      <c r="E28" s="20" t="n">
        <f aca="false">((E25/100)^(1/24)-1)*100</f>
        <v>2.29263935241031</v>
      </c>
      <c r="F28" s="20" t="n">
        <f aca="false">((F25/100)^(1/24)-1)*100</f>
        <v>2.23962349878675</v>
      </c>
    </row>
    <row r="30" customFormat="false" ht="15" hidden="false" customHeight="false" outlineLevel="0" collapsed="false">
      <c r="A30" s="11"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22"/>
  </cols>
  <sheetData>
    <row r="1" customFormat="false" ht="15" hidden="false" customHeight="false" outlineLevel="0" collapsed="false">
      <c r="A1" s="4" t="s">
        <v>93</v>
      </c>
      <c r="B1" s="4" t="s">
        <v>94</v>
      </c>
      <c r="C1" s="4" t="s">
        <v>95</v>
      </c>
      <c r="D1" s="4" t="s">
        <v>88</v>
      </c>
    </row>
    <row r="2" customFormat="false" ht="15" hidden="false" customHeight="false" outlineLevel="0" collapsed="false">
      <c r="A2" s="12" t="s">
        <v>96</v>
      </c>
      <c r="B2" s="19" t="n">
        <v>2.3</v>
      </c>
      <c r="C2" s="19" t="n">
        <v>3</v>
      </c>
      <c r="D2" s="14" t="n">
        <f aca="false">C2-B2</f>
        <v>0.7</v>
      </c>
    </row>
    <row r="3" customFormat="false" ht="15" hidden="false" customHeight="false" outlineLevel="0" collapsed="false">
      <c r="A3" s="12" t="s">
        <v>97</v>
      </c>
      <c r="B3" s="19" t="n">
        <v>2.3</v>
      </c>
      <c r="C3" s="19" t="n">
        <v>2.9</v>
      </c>
      <c r="D3" s="14" t="n">
        <f aca="false">C3-B3</f>
        <v>0.6</v>
      </c>
    </row>
    <row r="4" customFormat="false" ht="15" hidden="false" customHeight="false" outlineLevel="0" collapsed="false">
      <c r="A4" s="12" t="s">
        <v>98</v>
      </c>
      <c r="B4" s="19" t="n">
        <v>3.4</v>
      </c>
      <c r="C4" s="19" t="n">
        <v>4.1</v>
      </c>
      <c r="D4" s="14" t="n">
        <f aca="false">C4-B4</f>
        <v>0.7</v>
      </c>
    </row>
    <row r="5" customFormat="false" ht="15" hidden="false" customHeight="false" outlineLevel="0" collapsed="false">
      <c r="A5" s="12" t="s">
        <v>99</v>
      </c>
      <c r="B5" s="19" t="n">
        <v>3.2</v>
      </c>
      <c r="C5" s="19" t="n">
        <v>3.8</v>
      </c>
      <c r="D5" s="14" t="n">
        <f aca="false">C5-B5</f>
        <v>0.6</v>
      </c>
    </row>
    <row r="6" customFormat="false" ht="15" hidden="false" customHeight="false" outlineLevel="0" collapsed="false">
      <c r="A6" s="12" t="s">
        <v>100</v>
      </c>
      <c r="B6" s="19" t="n">
        <v>3.2</v>
      </c>
      <c r="C6" s="19" t="n">
        <v>3.8</v>
      </c>
      <c r="D6" s="14" t="n">
        <f aca="false">C6-B6</f>
        <v>0.6</v>
      </c>
    </row>
    <row r="7" customFormat="false" ht="15" hidden="false" customHeight="false" outlineLevel="0" collapsed="false">
      <c r="A7" s="12" t="s">
        <v>101</v>
      </c>
      <c r="B7" s="19" t="n">
        <v>3.2</v>
      </c>
      <c r="C7" s="19" t="n">
        <v>3.8</v>
      </c>
      <c r="D7" s="14" t="n">
        <f aca="false">C7-B7</f>
        <v>0.6</v>
      </c>
    </row>
    <row r="8" customFormat="false" ht="15" hidden="false" customHeight="false" outlineLevel="0" collapsed="false">
      <c r="A8" s="12" t="s">
        <v>102</v>
      </c>
      <c r="B8" s="19" t="n">
        <v>3.6</v>
      </c>
      <c r="C8" s="19" t="n">
        <v>3.9</v>
      </c>
      <c r="D8" s="14" t="n">
        <f aca="false">C8-B8</f>
        <v>0.3</v>
      </c>
    </row>
    <row r="9" customFormat="false" ht="15" hidden="false" customHeight="false" outlineLevel="0" collapsed="false">
      <c r="A9" s="12" t="s">
        <v>103</v>
      </c>
      <c r="B9" s="19" t="n">
        <v>4.3</v>
      </c>
      <c r="C9" s="19" t="n">
        <v>4.7</v>
      </c>
      <c r="D9" s="14" t="n">
        <f aca="false">C9-B9</f>
        <v>0.4</v>
      </c>
    </row>
    <row r="10" customFormat="false" ht="15" hidden="false" customHeight="false" outlineLevel="0" collapsed="false">
      <c r="A10" s="12" t="s">
        <v>104</v>
      </c>
      <c r="B10" s="19" t="n">
        <v>4.9</v>
      </c>
      <c r="C10" s="19" t="n">
        <v>5.3</v>
      </c>
      <c r="D10" s="14" t="n">
        <f aca="false">C10-B10</f>
        <v>0.399999999999999</v>
      </c>
    </row>
    <row r="12" customFormat="false" ht="15" hidden="false" customHeight="false" outlineLevel="0" collapsed="false">
      <c r="A12" s="11"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5" min="2" style="0" width="11"/>
    <col collapsed="false" customWidth="true" hidden="false" outlineLevel="0" max="16" min="16" style="0" width="15"/>
    <col collapsed="false" customWidth="true" hidden="false" outlineLevel="0" max="17" min="17" style="0" width="20"/>
  </cols>
  <sheetData>
    <row r="1" customFormat="false" ht="31.5" hidden="false" customHeight="true" outlineLevel="0" collapsed="false">
      <c r="A1" s="4" t="s">
        <v>106</v>
      </c>
      <c r="B1" s="4" t="s">
        <v>107</v>
      </c>
      <c r="C1" s="4" t="s">
        <v>108</v>
      </c>
      <c r="D1" s="4" t="s">
        <v>109</v>
      </c>
      <c r="E1" s="4" t="s">
        <v>110</v>
      </c>
      <c r="F1" s="4" t="s">
        <v>111</v>
      </c>
      <c r="G1" s="4" t="s">
        <v>96</v>
      </c>
      <c r="H1" s="4" t="s">
        <v>97</v>
      </c>
      <c r="I1" s="4" t="s">
        <v>98</v>
      </c>
      <c r="J1" s="4" t="s">
        <v>99</v>
      </c>
      <c r="K1" s="4" t="s">
        <v>100</v>
      </c>
      <c r="L1" s="4" t="s">
        <v>101</v>
      </c>
      <c r="M1" s="4" t="s">
        <v>102</v>
      </c>
      <c r="N1" s="4" t="s">
        <v>103</v>
      </c>
      <c r="O1" s="4" t="s">
        <v>104</v>
      </c>
      <c r="P1" s="4" t="s">
        <v>112</v>
      </c>
      <c r="Q1" s="4" t="s">
        <v>113</v>
      </c>
    </row>
    <row r="2" customFormat="false" ht="15" hidden="false" customHeight="false" outlineLevel="0" collapsed="false">
      <c r="A2" s="12" t="s">
        <v>114</v>
      </c>
      <c r="B2" s="19" t="n">
        <v>2.9</v>
      </c>
      <c r="C2" s="19" t="n">
        <v>3.5</v>
      </c>
      <c r="D2" s="19" t="n">
        <v>3.6</v>
      </c>
      <c r="E2" s="19" t="n">
        <v>3.7</v>
      </c>
      <c r="F2" s="19" t="n">
        <v>3.7</v>
      </c>
      <c r="G2" s="19" t="n">
        <v>3</v>
      </c>
      <c r="H2" s="19" t="n">
        <v>2.9</v>
      </c>
      <c r="I2" s="19" t="n">
        <v>4.1</v>
      </c>
      <c r="J2" s="19" t="n">
        <v>3.8</v>
      </c>
      <c r="K2" s="19" t="n">
        <v>3.8</v>
      </c>
      <c r="L2" s="19" t="n">
        <v>3.8</v>
      </c>
      <c r="M2" s="19" t="n">
        <v>3.9</v>
      </c>
      <c r="N2" s="19" t="n">
        <v>4.7</v>
      </c>
      <c r="O2" s="19" t="n">
        <v>5.3</v>
      </c>
      <c r="P2" s="14" t="n">
        <f aca="false">AVERAGE(B2:O2)</f>
        <v>3.76428571428571</v>
      </c>
      <c r="Q2" s="14" t="n">
        <f aca="false">O2-O$2</f>
        <v>0</v>
      </c>
    </row>
    <row r="3" customFormat="false" ht="15" hidden="false" customHeight="false" outlineLevel="0" collapsed="false">
      <c r="A3" s="12" t="s">
        <v>115</v>
      </c>
      <c r="B3" s="19" t="n">
        <v>2.6</v>
      </c>
      <c r="C3" s="19" t="n">
        <v>2.7</v>
      </c>
      <c r="D3" s="19" t="n">
        <v>2.8</v>
      </c>
      <c r="E3" s="19" t="n">
        <v>3.2</v>
      </c>
      <c r="F3" s="19" t="n">
        <v>3.4</v>
      </c>
      <c r="G3" s="19" t="n">
        <v>3.4</v>
      </c>
      <c r="H3" s="19" t="n">
        <v>3.7</v>
      </c>
      <c r="I3" s="19" t="n">
        <v>3.2</v>
      </c>
      <c r="J3" s="19" t="n">
        <v>3.3</v>
      </c>
      <c r="K3" s="19" t="n">
        <v>2.8</v>
      </c>
      <c r="L3" s="19" t="n">
        <v>2.5</v>
      </c>
      <c r="M3" s="19" t="n">
        <v>2.2</v>
      </c>
      <c r="N3" s="19" t="n">
        <v>3.1</v>
      </c>
      <c r="O3" s="19" t="n">
        <v>3.2</v>
      </c>
      <c r="P3" s="14" t="n">
        <f aca="false">AVERAGE(B3:O3)</f>
        <v>3.00714285714286</v>
      </c>
      <c r="Q3" s="14" t="n">
        <f aca="false">O3-O$2</f>
        <v>-2.1</v>
      </c>
    </row>
    <row r="4" customFormat="false" ht="15" hidden="false" customHeight="false" outlineLevel="0" collapsed="false">
      <c r="A4" s="12" t="s">
        <v>116</v>
      </c>
      <c r="B4" s="19" t="n">
        <v>4.1</v>
      </c>
      <c r="C4" s="19" t="n">
        <v>4.2</v>
      </c>
      <c r="D4" s="19" t="n">
        <v>4.6</v>
      </c>
      <c r="E4" s="19" t="n">
        <v>5</v>
      </c>
      <c r="F4" s="19" t="n">
        <v>5</v>
      </c>
      <c r="G4" s="19" t="n">
        <v>4.5</v>
      </c>
      <c r="H4" s="19" t="n">
        <v>5.2</v>
      </c>
      <c r="I4" s="19" t="n">
        <v>4.5</v>
      </c>
      <c r="J4" s="19" t="n">
        <v>4.8</v>
      </c>
      <c r="K4" s="19" t="n">
        <v>4</v>
      </c>
      <c r="L4" s="19" t="n">
        <v>3</v>
      </c>
      <c r="M4" s="19" t="n">
        <v>2.7</v>
      </c>
      <c r="N4" s="19" t="n">
        <v>3.3</v>
      </c>
      <c r="O4" s="19" t="n">
        <v>2.8</v>
      </c>
      <c r="P4" s="14" t="n">
        <f aca="false">AVERAGE(B4:O4)</f>
        <v>4.12142857142857</v>
      </c>
      <c r="Q4" s="14" t="n">
        <f aca="false">O4-O$2</f>
        <v>-2.5</v>
      </c>
    </row>
    <row r="5" customFormat="false" ht="15" hidden="false" customHeight="false" outlineLevel="0" collapsed="false">
      <c r="A5" s="12" t="s">
        <v>117</v>
      </c>
      <c r="B5" s="19" t="n">
        <v>0.5</v>
      </c>
      <c r="C5" s="19" t="n">
        <v>0.3</v>
      </c>
      <c r="D5" s="19" t="n">
        <v>0.6</v>
      </c>
      <c r="E5" s="19" t="n">
        <v>1.3</v>
      </c>
      <c r="F5" s="19" t="n">
        <v>1.3</v>
      </c>
      <c r="G5" s="19" t="n">
        <v>-0.5</v>
      </c>
      <c r="H5" s="19" t="n">
        <v>-0.6</v>
      </c>
      <c r="I5" s="19" t="n">
        <v>1.5</v>
      </c>
      <c r="J5" s="19" t="n">
        <v>1.4</v>
      </c>
      <c r="K5" s="19" t="n">
        <v>-1</v>
      </c>
      <c r="L5" s="19" t="n">
        <v>-0.9</v>
      </c>
      <c r="M5" s="19" t="n">
        <v>-1.8</v>
      </c>
      <c r="N5" s="19" t="n">
        <v>-2</v>
      </c>
      <c r="O5" s="19" t="n">
        <v>0.5</v>
      </c>
      <c r="P5" s="14" t="n">
        <f aca="false">AVERAGE(B5:O5)</f>
        <v>0.0428571428571429</v>
      </c>
      <c r="Q5" s="14" t="n">
        <f aca="false">O5-O$2</f>
        <v>-4.8</v>
      </c>
    </row>
    <row r="6" customFormat="false" ht="15" hidden="false" customHeight="false" outlineLevel="0" collapsed="false">
      <c r="A6" s="12" t="s">
        <v>118</v>
      </c>
      <c r="B6" s="19" t="n">
        <v>4.9</v>
      </c>
      <c r="C6" s="19" t="n">
        <v>7.8</v>
      </c>
      <c r="D6" s="19" t="n">
        <v>8.2</v>
      </c>
      <c r="E6" s="19" t="n">
        <v>6.8</v>
      </c>
      <c r="F6" s="19" t="n">
        <v>6.9</v>
      </c>
      <c r="G6" s="19" t="n">
        <v>4.8</v>
      </c>
      <c r="H6" s="19" t="n">
        <v>4.1</v>
      </c>
      <c r="I6" s="19" t="n">
        <v>5</v>
      </c>
      <c r="J6" s="19" t="n">
        <v>3.4</v>
      </c>
      <c r="K6" s="19" t="n">
        <v>3.1</v>
      </c>
      <c r="L6" s="19" t="n">
        <v>6.2</v>
      </c>
      <c r="M6" s="19" t="n">
        <v>7.1</v>
      </c>
      <c r="N6" s="19" t="n">
        <v>7.6</v>
      </c>
      <c r="O6" s="19" t="n">
        <v>5.9</v>
      </c>
      <c r="P6" s="14" t="n">
        <f aca="false">AVERAGE(B6:O6)</f>
        <v>5.84285714285714</v>
      </c>
      <c r="Q6" s="14" t="n">
        <f aca="false">O6-O$2</f>
        <v>0.600000000000001</v>
      </c>
    </row>
    <row r="7" customFormat="false" ht="15" hidden="false" customHeight="false" outlineLevel="0" collapsed="false">
      <c r="A7" s="12" t="s">
        <v>119</v>
      </c>
      <c r="B7" s="19" t="n">
        <v>1</v>
      </c>
      <c r="C7" s="19" t="n">
        <v>0.9</v>
      </c>
      <c r="D7" s="19" t="n">
        <v>1.1</v>
      </c>
      <c r="E7" s="19" t="n">
        <v>1.1</v>
      </c>
      <c r="F7" s="19" t="n">
        <v>1</v>
      </c>
      <c r="G7" s="19" t="n">
        <v>0.3</v>
      </c>
      <c r="H7" s="19" t="n">
        <v>0.6</v>
      </c>
      <c r="I7" s="19" t="n">
        <v>0.7</v>
      </c>
      <c r="J7" s="19" t="n">
        <v>1</v>
      </c>
      <c r="K7" s="19" t="n">
        <v>1</v>
      </c>
      <c r="L7" s="19" t="n">
        <v>1.1</v>
      </c>
      <c r="M7" s="19" t="n">
        <v>1.1</v>
      </c>
      <c r="N7" s="19" t="n">
        <v>1.1</v>
      </c>
      <c r="O7" s="19" t="n">
        <v>1.1</v>
      </c>
      <c r="P7" s="14" t="n">
        <f aca="false">AVERAGE(B7:O7)</f>
        <v>0.935714285714286</v>
      </c>
      <c r="Q7" s="14" t="n">
        <f aca="false">O7-O$2</f>
        <v>-4.2</v>
      </c>
    </row>
    <row r="8" customFormat="false" ht="15" hidden="false" customHeight="false" outlineLevel="0" collapsed="false">
      <c r="A8" s="12" t="s">
        <v>120</v>
      </c>
      <c r="B8" s="19" t="n">
        <v>2.2</v>
      </c>
      <c r="C8" s="19" t="n">
        <v>2.3</v>
      </c>
      <c r="D8" s="19" t="n">
        <v>2.6</v>
      </c>
      <c r="E8" s="19" t="n">
        <v>3.1</v>
      </c>
      <c r="F8" s="19" t="n">
        <v>3.2</v>
      </c>
      <c r="G8" s="19" t="n">
        <v>2.9</v>
      </c>
      <c r="H8" s="19" t="n">
        <v>3.1</v>
      </c>
      <c r="I8" s="19" t="n">
        <v>2.7</v>
      </c>
      <c r="J8" s="19" t="n">
        <v>2.5</v>
      </c>
      <c r="K8" s="19" t="n">
        <v>2.5</v>
      </c>
      <c r="L8" s="19" t="n">
        <v>2.5</v>
      </c>
      <c r="M8" s="19" t="n">
        <v>2.4</v>
      </c>
      <c r="N8" s="19" t="n">
        <v>2.6</v>
      </c>
      <c r="O8" s="19" t="n">
        <v>2.6</v>
      </c>
      <c r="P8" s="14" t="n">
        <f aca="false">AVERAGE(B8:O8)</f>
        <v>2.65714285714286</v>
      </c>
      <c r="Q8" s="14" t="n">
        <f aca="false">O8-O$2</f>
        <v>-2.7</v>
      </c>
    </row>
    <row r="9" customFormat="false" ht="15" hidden="false" customHeight="false" outlineLevel="0" collapsed="false">
      <c r="A9" s="12" t="s">
        <v>121</v>
      </c>
      <c r="B9" s="19" t="n">
        <v>2.8</v>
      </c>
      <c r="C9" s="19" t="n">
        <v>3.7</v>
      </c>
      <c r="D9" s="19" t="n">
        <v>4.2</v>
      </c>
      <c r="E9" s="19" t="n">
        <v>4.1</v>
      </c>
      <c r="F9" s="19" t="n">
        <v>3.7</v>
      </c>
      <c r="G9" s="19" t="n">
        <v>1.7</v>
      </c>
      <c r="H9" s="19" t="n">
        <v>1.4</v>
      </c>
      <c r="I9" s="19" t="n">
        <v>7.3</v>
      </c>
      <c r="J9" s="19" t="n">
        <v>7.8</v>
      </c>
      <c r="K9" s="19" t="n">
        <v>9.1</v>
      </c>
      <c r="L9" s="19" t="n">
        <v>6.5</v>
      </c>
      <c r="M9" s="19" t="n">
        <v>5.9</v>
      </c>
      <c r="N9" s="19" t="n">
        <v>9.6</v>
      </c>
      <c r="O9" s="19" t="n">
        <v>11.5</v>
      </c>
      <c r="P9" s="14" t="n">
        <f aca="false">AVERAGE(B9:O9)</f>
        <v>5.66428571428571</v>
      </c>
      <c r="Q9" s="14" t="n">
        <f aca="false">O9-O$2</f>
        <v>6.2</v>
      </c>
    </row>
    <row r="10" customFormat="false" ht="15" hidden="false" customHeight="false" outlineLevel="0" collapsed="false">
      <c r="A10" s="12" t="s">
        <v>122</v>
      </c>
      <c r="B10" s="19" t="n">
        <v>0.1</v>
      </c>
      <c r="C10" s="19" t="n">
        <v>0</v>
      </c>
      <c r="D10" s="19" t="n">
        <v>0.9</v>
      </c>
      <c r="E10" s="19" t="n">
        <v>1.1</v>
      </c>
      <c r="F10" s="19" t="n">
        <v>0.9</v>
      </c>
      <c r="G10" s="19" t="n">
        <v>-0.3</v>
      </c>
      <c r="H10" s="19" t="n">
        <v>-0.3</v>
      </c>
      <c r="I10" s="19" t="n">
        <v>0.2</v>
      </c>
      <c r="J10" s="19" t="n">
        <v>0.3</v>
      </c>
      <c r="K10" s="19" t="n">
        <v>-0.2</v>
      </c>
      <c r="L10" s="19" t="n">
        <v>-0.2</v>
      </c>
      <c r="M10" s="19" t="n">
        <v>1.7</v>
      </c>
      <c r="N10" s="19" t="n">
        <v>2.7</v>
      </c>
      <c r="O10" s="19" t="n">
        <v>2.8</v>
      </c>
      <c r="P10" s="14" t="n">
        <f aca="false">AVERAGE(B10:O10)</f>
        <v>0.692857142857143</v>
      </c>
      <c r="Q10" s="14" t="n">
        <f aca="false">O10-O$2</f>
        <v>-2.5</v>
      </c>
    </row>
    <row r="11" customFormat="false" ht="15" hidden="false" customHeight="false" outlineLevel="0" collapsed="false">
      <c r="A11" s="12" t="s">
        <v>123</v>
      </c>
      <c r="B11" s="19" t="n">
        <v>1.2</v>
      </c>
      <c r="C11" s="19" t="n">
        <v>0.5</v>
      </c>
      <c r="D11" s="19" t="n">
        <v>0.2</v>
      </c>
      <c r="E11" s="19" t="n">
        <v>1.1</v>
      </c>
      <c r="F11" s="19" t="n">
        <v>0.7</v>
      </c>
      <c r="G11" s="19" t="n">
        <v>2.2</v>
      </c>
      <c r="H11" s="19" t="n">
        <v>1.6</v>
      </c>
      <c r="I11" s="19" t="n">
        <v>2.4</v>
      </c>
      <c r="J11" s="19" t="n">
        <v>0.9</v>
      </c>
      <c r="K11" s="19" t="n">
        <v>2.5</v>
      </c>
      <c r="L11" s="19" t="n">
        <v>1.9</v>
      </c>
      <c r="M11" s="19" t="n">
        <v>2</v>
      </c>
      <c r="N11" s="19" t="n">
        <v>0.8</v>
      </c>
      <c r="O11" s="19" t="n">
        <v>4</v>
      </c>
      <c r="P11" s="14" t="n">
        <f aca="false">AVERAGE(B11:O11)</f>
        <v>1.57142857142857</v>
      </c>
      <c r="Q11" s="14" t="n">
        <f aca="false">O11-O$2</f>
        <v>-1.3</v>
      </c>
    </row>
    <row r="12" customFormat="false" ht="15" hidden="false" customHeight="false" outlineLevel="0" collapsed="false">
      <c r="A12" s="12" t="s">
        <v>124</v>
      </c>
      <c r="B12" s="19" t="n">
        <v>2.6</v>
      </c>
      <c r="C12" s="19" t="n">
        <v>2.8</v>
      </c>
      <c r="D12" s="19" t="n">
        <v>2.7</v>
      </c>
      <c r="E12" s="19" t="n">
        <v>2.8</v>
      </c>
      <c r="F12" s="19" t="n">
        <v>2.8</v>
      </c>
      <c r="G12" s="19" t="n">
        <v>2.8</v>
      </c>
      <c r="H12" s="19" t="n">
        <v>2.8</v>
      </c>
      <c r="I12" s="19" t="n">
        <v>2.8</v>
      </c>
      <c r="J12" s="19" t="n">
        <v>2.8</v>
      </c>
      <c r="K12" s="19" t="n">
        <v>2.7</v>
      </c>
      <c r="L12" s="19" t="n">
        <v>2.7</v>
      </c>
      <c r="M12" s="19" t="n">
        <v>2.7</v>
      </c>
      <c r="N12" s="19" t="n">
        <v>2.6</v>
      </c>
      <c r="O12" s="19" t="n">
        <v>2.1</v>
      </c>
      <c r="P12" s="14" t="n">
        <f aca="false">AVERAGE(B12:O12)</f>
        <v>2.69285714285714</v>
      </c>
      <c r="Q12" s="14" t="n">
        <f aca="false">O12-O$2</f>
        <v>-3.2</v>
      </c>
    </row>
    <row r="13" customFormat="false" ht="15" hidden="false" customHeight="false" outlineLevel="0" collapsed="false">
      <c r="A13" s="12" t="s">
        <v>125</v>
      </c>
      <c r="B13" s="19" t="n">
        <v>3.8</v>
      </c>
      <c r="C13" s="19" t="n">
        <v>4.6</v>
      </c>
      <c r="D13" s="19" t="n">
        <v>4.1</v>
      </c>
      <c r="E13" s="19" t="n">
        <v>4.4</v>
      </c>
      <c r="F13" s="19" t="n">
        <v>5</v>
      </c>
      <c r="G13" s="19" t="n">
        <v>4.7</v>
      </c>
      <c r="H13" s="19" t="n">
        <v>4.3</v>
      </c>
      <c r="I13" s="19" t="n">
        <v>4.4</v>
      </c>
      <c r="J13" s="19" t="n">
        <v>4.3</v>
      </c>
      <c r="K13" s="19" t="n">
        <v>4</v>
      </c>
      <c r="L13" s="19" t="n">
        <v>5.2</v>
      </c>
      <c r="M13" s="19" t="n">
        <v>4.7</v>
      </c>
      <c r="N13" s="19" t="n">
        <v>4.8</v>
      </c>
      <c r="O13" s="19" t="n">
        <v>5.7</v>
      </c>
      <c r="P13" s="14" t="n">
        <f aca="false">AVERAGE(B13:O13)</f>
        <v>4.57142857142857</v>
      </c>
      <c r="Q13" s="14" t="n">
        <f aca="false">O13-O$2</f>
        <v>0.4</v>
      </c>
    </row>
    <row r="14" customFormat="false" ht="15" hidden="false" customHeight="false" outlineLevel="0" collapsed="false">
      <c r="A14" s="12" t="s">
        <v>126</v>
      </c>
      <c r="B14" s="19" t="n">
        <v>4.9</v>
      </c>
      <c r="C14" s="19" t="n">
        <v>4.9</v>
      </c>
      <c r="D14" s="19" t="n">
        <v>4.9</v>
      </c>
      <c r="E14" s="19" t="n">
        <v>4.9</v>
      </c>
      <c r="F14" s="19" t="n">
        <v>4.9</v>
      </c>
      <c r="G14" s="19" t="n">
        <v>4.9</v>
      </c>
      <c r="H14" s="19" t="n">
        <v>3.9</v>
      </c>
      <c r="I14" s="19" t="n">
        <v>4.2</v>
      </c>
      <c r="J14" s="19" t="n">
        <v>4.7</v>
      </c>
      <c r="K14" s="19" t="n">
        <v>5</v>
      </c>
      <c r="L14" s="19" t="n">
        <v>3.5</v>
      </c>
      <c r="M14" s="19" t="n">
        <v>3.6</v>
      </c>
      <c r="N14" s="19" t="n">
        <v>3.7</v>
      </c>
      <c r="O14" s="19" t="n">
        <v>3.8</v>
      </c>
      <c r="P14" s="14" t="n">
        <f aca="false">AVERAGE(B14:O14)</f>
        <v>4.41428571428572</v>
      </c>
      <c r="Q14" s="14" t="n">
        <f aca="false">O14-O$2</f>
        <v>-1.5</v>
      </c>
    </row>
    <row r="15" customFormat="false" ht="15" hidden="false" customHeight="false" outlineLevel="0" collapsed="false">
      <c r="A15" s="12" t="s">
        <v>127</v>
      </c>
      <c r="B15" s="19" t="n">
        <v>4.2</v>
      </c>
      <c r="C15" s="19" t="n">
        <v>4.1</v>
      </c>
      <c r="D15" s="19" t="n">
        <v>4</v>
      </c>
      <c r="E15" s="19" t="n">
        <v>4.2</v>
      </c>
      <c r="F15" s="19" t="n">
        <v>4.1</v>
      </c>
      <c r="G15" s="19" t="n">
        <v>3.4</v>
      </c>
      <c r="H15" s="19" t="n">
        <v>3.7</v>
      </c>
      <c r="I15" s="19" t="n">
        <v>3.7</v>
      </c>
      <c r="J15" s="19" t="n">
        <v>3.8</v>
      </c>
      <c r="K15" s="19" t="n">
        <v>3.3</v>
      </c>
      <c r="L15" s="19" t="n">
        <v>3.2</v>
      </c>
      <c r="M15" s="19" t="n">
        <v>2.9</v>
      </c>
      <c r="N15" s="19" t="n">
        <v>2.9</v>
      </c>
      <c r="O15" s="19" t="n">
        <v>2.8</v>
      </c>
      <c r="P15" s="14" t="n">
        <f aca="false">AVERAGE(B15:O15)</f>
        <v>3.59285714285714</v>
      </c>
      <c r="Q15" s="14" t="n">
        <f aca="false">O15-O$2</f>
        <v>-2.5</v>
      </c>
    </row>
    <row r="17" customFormat="false" ht="15" hidden="false" customHeight="false" outlineLevel="0" collapsed="false">
      <c r="A17" s="1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23" min="3" style="0" width="9"/>
    <col collapsed="false" customWidth="true" hidden="false" outlineLevel="0" max="26" min="24" style="0" width="18"/>
  </cols>
  <sheetData>
    <row r="1" customFormat="false" ht="31.5" hidden="false" customHeight="true" outlineLevel="0" collapsed="false">
      <c r="A1" s="4" t="s">
        <v>129</v>
      </c>
      <c r="B1" s="4" t="s">
        <v>130</v>
      </c>
      <c r="C1" s="4" t="s">
        <v>131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28</v>
      </c>
      <c r="V1" s="4" t="s">
        <v>82</v>
      </c>
      <c r="W1" s="4" t="s">
        <v>65</v>
      </c>
      <c r="X1" s="4" t="s">
        <v>149</v>
      </c>
      <c r="Y1" s="4" t="s">
        <v>150</v>
      </c>
      <c r="Z1" s="4" t="s">
        <v>151</v>
      </c>
    </row>
    <row r="2" customFormat="false" ht="15" hidden="false" customHeight="false" outlineLevel="0" collapsed="false">
      <c r="A2" s="12" t="s">
        <v>152</v>
      </c>
      <c r="B2" s="12" t="s">
        <v>114</v>
      </c>
      <c r="C2" s="19" t="n">
        <v>3.4</v>
      </c>
      <c r="D2" s="19" t="n">
        <v>3.6</v>
      </c>
      <c r="E2" s="19" t="n">
        <v>2.8</v>
      </c>
      <c r="F2" s="19" t="n">
        <v>4.1</v>
      </c>
      <c r="G2" s="19" t="n">
        <v>-0.2</v>
      </c>
      <c r="H2" s="19" t="n">
        <v>2</v>
      </c>
      <c r="I2" s="19" t="n">
        <v>3</v>
      </c>
      <c r="J2" s="19" t="n">
        <v>2.4</v>
      </c>
      <c r="K2" s="19" t="n">
        <v>1.5</v>
      </c>
      <c r="L2" s="19" t="n">
        <v>-0.2</v>
      </c>
      <c r="M2" s="19" t="n">
        <v>-0.6</v>
      </c>
      <c r="N2" s="19" t="n">
        <v>-0.3</v>
      </c>
      <c r="O2" s="19" t="n">
        <v>2</v>
      </c>
      <c r="P2" s="19" t="n">
        <v>1.7</v>
      </c>
      <c r="Q2" s="19" t="n">
        <v>0.8</v>
      </c>
      <c r="R2" s="19" t="n">
        <v>-0.3</v>
      </c>
      <c r="S2" s="19" t="n">
        <v>3</v>
      </c>
      <c r="T2" s="19" t="n">
        <v>8.3</v>
      </c>
      <c r="U2" s="19" t="n">
        <v>3.4</v>
      </c>
      <c r="V2" s="19" t="n">
        <v>2.9</v>
      </c>
      <c r="W2" s="19" t="n">
        <v>2.7</v>
      </c>
      <c r="X2" s="14" t="n">
        <f aca="false">AVERAGE(C2:W2)</f>
        <v>2.19047619047619</v>
      </c>
      <c r="Y2" s="14" t="n">
        <f aca="false">(EXP(SUMPRODUCT(LN(1+C2:W2/100)))-1)*100</f>
        <v>57.0069989533622</v>
      </c>
      <c r="Z2" s="14" t="n">
        <f aca="false">STDEV(C2:W2)</f>
        <v>2.03369239608766</v>
      </c>
    </row>
    <row r="3" customFormat="false" ht="15" hidden="false" customHeight="false" outlineLevel="0" collapsed="false">
      <c r="A3" s="12" t="s">
        <v>153</v>
      </c>
      <c r="B3" s="12" t="s">
        <v>115</v>
      </c>
      <c r="C3" s="19" t="n">
        <v>3.2</v>
      </c>
      <c r="D3" s="19" t="n">
        <v>4.2</v>
      </c>
      <c r="E3" s="19" t="n">
        <v>3.7</v>
      </c>
      <c r="F3" s="19" t="n">
        <v>5.9</v>
      </c>
      <c r="G3" s="19" t="n">
        <v>-1.1</v>
      </c>
      <c r="H3" s="19" t="n">
        <v>-0.4</v>
      </c>
      <c r="I3" s="19" t="n">
        <v>1.7</v>
      </c>
      <c r="J3" s="19" t="n">
        <v>2.1</v>
      </c>
      <c r="K3" s="19" t="n">
        <v>2.8</v>
      </c>
      <c r="L3" s="19" t="n">
        <v>-0.4</v>
      </c>
      <c r="M3" s="19" t="n">
        <v>1.2</v>
      </c>
      <c r="N3" s="19" t="n">
        <v>1.4</v>
      </c>
      <c r="O3" s="19" t="n">
        <v>1.2</v>
      </c>
      <c r="P3" s="19" t="n">
        <v>1.6</v>
      </c>
      <c r="Q3" s="19" t="n">
        <v>1</v>
      </c>
      <c r="R3" s="19" t="n">
        <v>2.4</v>
      </c>
      <c r="S3" s="19" t="n">
        <v>1.8</v>
      </c>
      <c r="T3" s="19" t="n">
        <v>11.6</v>
      </c>
      <c r="U3" s="19" t="n">
        <v>11.7</v>
      </c>
      <c r="V3" s="19" t="n">
        <v>3.6</v>
      </c>
      <c r="W3" s="19" t="n">
        <v>2.5</v>
      </c>
      <c r="X3" s="14" t="n">
        <f aca="false">AVERAGE(C3:W3)</f>
        <v>2.93809523809524</v>
      </c>
      <c r="Y3" s="14" t="n">
        <f aca="false">(EXP(SUMPRODUCT(LN(1+C3:W3/100)))-1)*100</f>
        <v>81.861050645253</v>
      </c>
      <c r="Z3" s="14" t="n">
        <f aca="false">STDEV(C3:W3)</f>
        <v>3.31533952868725</v>
      </c>
    </row>
    <row r="4" customFormat="false" ht="15" hidden="false" customHeight="false" outlineLevel="0" collapsed="false">
      <c r="A4" s="12" t="s">
        <v>154</v>
      </c>
      <c r="B4" s="12" t="s">
        <v>155</v>
      </c>
      <c r="C4" s="19" t="n">
        <v>5.3</v>
      </c>
      <c r="D4" s="19" t="n">
        <v>6.5</v>
      </c>
      <c r="E4" s="19" t="n">
        <v>3.7</v>
      </c>
      <c r="F4" s="19" t="n">
        <v>6.6</v>
      </c>
      <c r="G4" s="19" t="n">
        <v>1.3</v>
      </c>
      <c r="H4" s="19" t="n">
        <v>3.8</v>
      </c>
      <c r="I4" s="19" t="n">
        <v>7.2</v>
      </c>
      <c r="J4" s="19" t="n">
        <v>5</v>
      </c>
      <c r="K4" s="19" t="n">
        <v>0.9</v>
      </c>
      <c r="L4" s="19" t="n">
        <v>1.3</v>
      </c>
      <c r="M4" s="19" t="n">
        <v>-2.3</v>
      </c>
      <c r="N4" s="19" t="n">
        <v>-4.2</v>
      </c>
      <c r="O4" s="19" t="n">
        <v>3.9</v>
      </c>
      <c r="P4" s="19" t="n">
        <v>2.3</v>
      </c>
      <c r="Q4" s="19" t="n">
        <v>-1.4</v>
      </c>
      <c r="R4" s="19" t="n">
        <v>-3.5</v>
      </c>
      <c r="S4" s="19" t="n">
        <v>11</v>
      </c>
      <c r="T4" s="19" t="n">
        <v>15.3</v>
      </c>
      <c r="U4" s="19" t="n">
        <v>-11</v>
      </c>
      <c r="V4" s="19" t="n">
        <v>3.6</v>
      </c>
      <c r="W4" s="19" t="n">
        <v>6.1</v>
      </c>
      <c r="X4" s="14" t="n">
        <f aca="false">AVERAGE(C4:W4)</f>
        <v>2.92380952380952</v>
      </c>
      <c r="Y4" s="14" t="n">
        <f aca="false">(EXP(SUMPRODUCT(LN(1+C4:W4/100)))-1)*100</f>
        <v>77.7372061955019</v>
      </c>
      <c r="Z4" s="14" t="n">
        <f aca="false">STDEV(C4:W4)</f>
        <v>5.60106282431333</v>
      </c>
    </row>
    <row r="5" customFormat="false" ht="15" hidden="false" customHeight="false" outlineLevel="0" collapsed="false">
      <c r="A5" s="12" t="s">
        <v>156</v>
      </c>
      <c r="B5" s="12" t="s">
        <v>121</v>
      </c>
      <c r="C5" s="19" t="n">
        <v>6.4</v>
      </c>
      <c r="D5" s="19" t="n">
        <v>4.6</v>
      </c>
      <c r="E5" s="19" t="n">
        <v>2.1</v>
      </c>
      <c r="F5" s="19" t="n">
        <v>6.1</v>
      </c>
      <c r="G5" s="19" t="n">
        <v>-5.6</v>
      </c>
      <c r="H5" s="19" t="n">
        <v>7.4</v>
      </c>
      <c r="I5" s="19" t="n">
        <v>8</v>
      </c>
      <c r="J5" s="19" t="n">
        <v>5.1</v>
      </c>
      <c r="K5" s="19" t="n">
        <v>1.2</v>
      </c>
      <c r="L5" s="19" t="n">
        <v>-1</v>
      </c>
      <c r="M5" s="19" t="n">
        <v>-5.2</v>
      </c>
      <c r="N5" s="19" t="n">
        <v>-2.8</v>
      </c>
      <c r="O5" s="19" t="n">
        <v>4</v>
      </c>
      <c r="P5" s="19" t="n">
        <v>3.5</v>
      </c>
      <c r="Q5" s="19" t="n">
        <v>1.1</v>
      </c>
      <c r="R5" s="19" t="n">
        <v>-3.7</v>
      </c>
      <c r="S5" s="19" t="n">
        <v>7.1</v>
      </c>
      <c r="T5" s="19" t="n">
        <v>11.7</v>
      </c>
      <c r="U5" s="19" t="n">
        <v>-0.6</v>
      </c>
      <c r="V5" s="19" t="n">
        <v>0.7</v>
      </c>
      <c r="W5" s="19" t="n">
        <v>0.7</v>
      </c>
      <c r="X5" s="14" t="n">
        <f aca="false">AVERAGE(C5:W5)</f>
        <v>2.41904761904762</v>
      </c>
      <c r="Y5" s="14" t="n">
        <f aca="false">(EXP(SUMPRODUCT(LN(1+C5:W5/100)))-1)*100</f>
        <v>61.8626313415221</v>
      </c>
      <c r="Z5" s="14" t="n">
        <f aca="false">STDEV(C5:W5)</f>
        <v>4.61569269423551</v>
      </c>
    </row>
    <row r="6" customFormat="false" ht="15" hidden="false" customHeight="false" outlineLevel="0" collapsed="false">
      <c r="A6" s="12" t="s">
        <v>157</v>
      </c>
      <c r="B6" s="12" t="s">
        <v>158</v>
      </c>
      <c r="C6" s="19" t="n">
        <v>4.2</v>
      </c>
      <c r="D6" s="19" t="n">
        <v>4.5</v>
      </c>
      <c r="E6" s="19" t="n">
        <v>4.8</v>
      </c>
      <c r="F6" s="19" t="n">
        <v>4.7</v>
      </c>
      <c r="G6" s="19" t="n">
        <v>1.9</v>
      </c>
      <c r="H6" s="19" t="n">
        <v>1</v>
      </c>
      <c r="I6" s="19" t="n">
        <v>1.6</v>
      </c>
      <c r="J6" s="19" t="n">
        <v>0.9</v>
      </c>
      <c r="K6" s="19" t="n">
        <v>0.5</v>
      </c>
      <c r="L6" s="19" t="n">
        <v>0.5</v>
      </c>
      <c r="M6" s="19" t="n">
        <v>1</v>
      </c>
      <c r="N6" s="19" t="n">
        <v>1.1</v>
      </c>
      <c r="O6" s="19" t="n">
        <v>2.3</v>
      </c>
      <c r="P6" s="19" t="n">
        <v>2</v>
      </c>
      <c r="Q6" s="19" t="n">
        <v>2.1</v>
      </c>
      <c r="R6" s="19" t="n">
        <v>0.8</v>
      </c>
      <c r="S6" s="19" t="n">
        <v>0.7</v>
      </c>
      <c r="T6" s="19" t="n">
        <v>7.4</v>
      </c>
      <c r="U6" s="19" t="n">
        <v>6.6</v>
      </c>
      <c r="V6" s="19" t="n">
        <v>4.9</v>
      </c>
      <c r="W6" s="19" t="n">
        <v>4.4</v>
      </c>
      <c r="X6" s="14" t="n">
        <f aca="false">AVERAGE(C6:W6)</f>
        <v>2.75714285714286</v>
      </c>
      <c r="Y6" s="14" t="n">
        <f aca="false">(EXP(SUMPRODUCT(LN(1+C6:W6/100)))-1)*100</f>
        <v>76.28123389792</v>
      </c>
      <c r="Z6" s="14" t="n">
        <f aca="false">STDEV(C6:W6)</f>
        <v>2.12827898278666</v>
      </c>
    </row>
    <row r="7" customFormat="false" ht="15" hidden="false" customHeight="false" outlineLevel="0" collapsed="false">
      <c r="A7" s="12" t="s">
        <v>159</v>
      </c>
      <c r="B7" s="12" t="s">
        <v>116</v>
      </c>
      <c r="C7" s="19" t="n">
        <v>5.1</v>
      </c>
      <c r="D7" s="19" t="n">
        <v>1.9</v>
      </c>
      <c r="E7" s="19" t="n">
        <v>7</v>
      </c>
      <c r="F7" s="19" t="n">
        <v>4</v>
      </c>
      <c r="G7" s="19" t="n">
        <v>8.9</v>
      </c>
      <c r="H7" s="19" t="n">
        <v>10.9</v>
      </c>
      <c r="I7" s="19" t="n">
        <v>10.2</v>
      </c>
      <c r="J7" s="19" t="n">
        <v>5.9</v>
      </c>
      <c r="K7" s="19" t="n">
        <v>6.1</v>
      </c>
      <c r="L7" s="19" t="n">
        <v>1.4</v>
      </c>
      <c r="M7" s="19" t="n">
        <v>1.4</v>
      </c>
      <c r="N7" s="19" t="n">
        <v>0.5</v>
      </c>
      <c r="O7" s="19" t="n">
        <v>1.7</v>
      </c>
      <c r="P7" s="19" t="n">
        <v>1.9</v>
      </c>
      <c r="Q7" s="19" t="n">
        <v>0.7</v>
      </c>
      <c r="R7" s="19" t="n">
        <v>0.5</v>
      </c>
      <c r="S7" s="19" t="n">
        <v>0.3</v>
      </c>
      <c r="T7" s="19" t="n">
        <v>3.9</v>
      </c>
      <c r="U7" s="19" t="n">
        <v>7.6</v>
      </c>
      <c r="V7" s="19" t="n">
        <v>4</v>
      </c>
      <c r="W7" s="19" t="n">
        <v>3.9</v>
      </c>
      <c r="X7" s="14" t="n">
        <f aca="false">AVERAGE(C7:W7)</f>
        <v>4.18095238095238</v>
      </c>
      <c r="Y7" s="14" t="n">
        <f aca="false">(EXP(SUMPRODUCT(LN(1+C7:W7/100)))-1)*100</f>
        <v>134.021986316603</v>
      </c>
      <c r="Z7" s="14" t="n">
        <f aca="false">STDEV(C7:W7)</f>
        <v>3.29615215783784</v>
      </c>
    </row>
    <row r="8" customFormat="false" ht="15" hidden="false" customHeight="false" outlineLevel="0" collapsed="false">
      <c r="A8" s="12" t="s">
        <v>160</v>
      </c>
      <c r="B8" s="12" t="s">
        <v>117</v>
      </c>
      <c r="C8" s="19" t="n">
        <v>1.4</v>
      </c>
      <c r="D8" s="19" t="n">
        <v>1.2</v>
      </c>
      <c r="E8" s="19" t="n">
        <v>1.1</v>
      </c>
      <c r="F8" s="19" t="n">
        <v>0.7</v>
      </c>
      <c r="G8" s="19" t="n">
        <v>-1.7</v>
      </c>
      <c r="H8" s="19" t="n">
        <v>1.8</v>
      </c>
      <c r="I8" s="19" t="n">
        <v>0.5</v>
      </c>
      <c r="J8" s="19" t="n">
        <v>0.7</v>
      </c>
      <c r="K8" s="19" t="n">
        <v>0.4</v>
      </c>
      <c r="L8" s="19" t="n">
        <v>0.4</v>
      </c>
      <c r="M8" s="19" t="n">
        <v>0.5</v>
      </c>
      <c r="N8" s="19" t="n">
        <v>0.8</v>
      </c>
      <c r="O8" s="19" t="n">
        <v>0.8</v>
      </c>
      <c r="P8" s="19" t="n">
        <v>1.3</v>
      </c>
      <c r="Q8" s="19" t="n">
        <v>1.1</v>
      </c>
      <c r="R8" s="19" t="n">
        <v>0.7</v>
      </c>
      <c r="S8" s="19" t="n">
        <v>1</v>
      </c>
      <c r="T8" s="19" t="n">
        <v>0</v>
      </c>
      <c r="U8" s="19" t="n">
        <v>0.2</v>
      </c>
      <c r="V8" s="19" t="n">
        <v>1.7</v>
      </c>
      <c r="W8" s="19" t="n">
        <v>-0.8</v>
      </c>
      <c r="X8" s="14" t="n">
        <f aca="false">AVERAGE(C8:W8)</f>
        <v>0.657142857142857</v>
      </c>
      <c r="Y8" s="14" t="n">
        <f aca="false">(EXP(SUMPRODUCT(LN(1+C8:W8/100)))-1)*100</f>
        <v>14.6732880445517</v>
      </c>
      <c r="Z8" s="14" t="n">
        <f aca="false">STDEV(C8:W8)</f>
        <v>0.797227338073293</v>
      </c>
    </row>
    <row r="9" customFormat="false" ht="15" hidden="false" customHeight="false" outlineLevel="0" collapsed="false">
      <c r="A9" s="12" t="s">
        <v>161</v>
      </c>
      <c r="B9" s="12" t="s">
        <v>162</v>
      </c>
      <c r="C9" s="19" t="n">
        <v>2.1</v>
      </c>
      <c r="D9" s="19" t="n">
        <v>2.6</v>
      </c>
      <c r="E9" s="19" t="n">
        <v>2.6</v>
      </c>
      <c r="F9" s="19" t="n">
        <v>2.6</v>
      </c>
      <c r="G9" s="19" t="n">
        <v>1.5</v>
      </c>
      <c r="H9" s="19" t="n">
        <v>0.6</v>
      </c>
      <c r="I9" s="19" t="n">
        <v>1.1</v>
      </c>
      <c r="J9" s="19" t="n">
        <v>0.9</v>
      </c>
      <c r="K9" s="19" t="n">
        <v>0.9</v>
      </c>
      <c r="L9" s="19" t="n">
        <v>-0.5</v>
      </c>
      <c r="M9" s="19" t="n">
        <v>-0.2</v>
      </c>
      <c r="N9" s="19" t="n">
        <v>0.2</v>
      </c>
      <c r="O9" s="19" t="n">
        <v>-0.4</v>
      </c>
      <c r="P9" s="19" t="n">
        <v>0.1</v>
      </c>
      <c r="Q9" s="19" t="n">
        <v>0.6</v>
      </c>
      <c r="R9" s="19" t="n">
        <v>0.4</v>
      </c>
      <c r="S9" s="19" t="n">
        <v>1</v>
      </c>
      <c r="T9" s="19" t="n">
        <v>6.4</v>
      </c>
      <c r="U9" s="19" t="n">
        <v>5</v>
      </c>
      <c r="V9" s="19" t="n">
        <v>0.7</v>
      </c>
      <c r="W9" s="19" t="n">
        <v>0.7</v>
      </c>
      <c r="X9" s="14" t="n">
        <f aca="false">AVERAGE(C9:W9)</f>
        <v>1.37619047619048</v>
      </c>
      <c r="Y9" s="14" t="n">
        <f aca="false">(EXP(SUMPRODUCT(LN(1+C9:W9/100)))-1)*100</f>
        <v>32.8688054019863</v>
      </c>
      <c r="Z9" s="14" t="n">
        <f aca="false">STDEV(C9:W9)</f>
        <v>1.72218023502326</v>
      </c>
    </row>
    <row r="10" customFormat="false" ht="15" hidden="false" customHeight="false" outlineLevel="0" collapsed="false">
      <c r="A10" s="12" t="s">
        <v>163</v>
      </c>
      <c r="B10" s="12" t="s">
        <v>120</v>
      </c>
      <c r="C10" s="19" t="n">
        <v>0.9</v>
      </c>
      <c r="D10" s="19" t="n">
        <v>1.3</v>
      </c>
      <c r="E10" s="19" t="n">
        <v>-1.5</v>
      </c>
      <c r="F10" s="19" t="n">
        <v>0.2</v>
      </c>
      <c r="G10" s="19" t="n">
        <v>-0.7</v>
      </c>
      <c r="H10" s="19" t="n">
        <v>-1</v>
      </c>
      <c r="I10" s="19" t="n">
        <v>-1.3</v>
      </c>
      <c r="J10" s="19" t="n">
        <v>3.5</v>
      </c>
      <c r="K10" s="19" t="n">
        <v>6.9</v>
      </c>
      <c r="L10" s="19" t="n">
        <v>0.1</v>
      </c>
      <c r="M10" s="19" t="n">
        <v>0.1</v>
      </c>
      <c r="N10" s="19" t="n">
        <v>0.4</v>
      </c>
      <c r="O10" s="19" t="n">
        <v>0.7</v>
      </c>
      <c r="P10" s="19" t="n">
        <v>0.3</v>
      </c>
      <c r="Q10" s="19" t="n">
        <v>0.8</v>
      </c>
      <c r="R10" s="19" t="n">
        <v>0.4</v>
      </c>
      <c r="S10" s="19" t="n">
        <v>0.7</v>
      </c>
      <c r="T10" s="19" t="n">
        <v>1.1</v>
      </c>
      <c r="U10" s="19" t="n">
        <v>1.9</v>
      </c>
      <c r="V10" s="19" t="n">
        <v>2</v>
      </c>
      <c r="W10" s="19" t="n">
        <v>2</v>
      </c>
      <c r="X10" s="14" t="n">
        <f aca="false">AVERAGE(C10:W10)</f>
        <v>0.895238095238095</v>
      </c>
      <c r="Y10" s="14" t="n">
        <f aca="false">(EXP(SUMPRODUCT(LN(1+C10:W10/100)))-1)*100</f>
        <v>20.2003920902863</v>
      </c>
      <c r="Z10" s="14" t="n">
        <f aca="false">STDEV(C10:W10)</f>
        <v>1.81479370466072</v>
      </c>
    </row>
    <row r="11" customFormat="false" ht="15" hidden="false" customHeight="false" outlineLevel="0" collapsed="false">
      <c r="A11" s="12" t="s">
        <v>164</v>
      </c>
      <c r="B11" s="12" t="s">
        <v>165</v>
      </c>
      <c r="C11" s="19" t="n">
        <v>-0.2</v>
      </c>
      <c r="D11" s="19" t="n">
        <v>0.2</v>
      </c>
      <c r="E11" s="19" t="n">
        <v>-0.7</v>
      </c>
      <c r="F11" s="19" t="n">
        <v>-0.1</v>
      </c>
      <c r="G11" s="19" t="n">
        <v>-0.4</v>
      </c>
      <c r="H11" s="19" t="n">
        <v>-1.2</v>
      </c>
      <c r="I11" s="19" t="n">
        <v>-0.1</v>
      </c>
      <c r="J11" s="19" t="n">
        <v>0.7</v>
      </c>
      <c r="K11" s="19" t="n">
        <v>0.7</v>
      </c>
      <c r="L11" s="19" t="n">
        <v>-1.4</v>
      </c>
      <c r="M11" s="19" t="n">
        <v>-0.4</v>
      </c>
      <c r="N11" s="19" t="n">
        <v>-1</v>
      </c>
      <c r="O11" s="19" t="n">
        <v>0.9</v>
      </c>
      <c r="P11" s="19" t="n">
        <v>-0.2</v>
      </c>
      <c r="Q11" s="19" t="n">
        <v>-0.6</v>
      </c>
      <c r="R11" s="19" t="n">
        <v>-0.8</v>
      </c>
      <c r="S11" s="19" t="n">
        <v>0.2</v>
      </c>
      <c r="T11" s="19" t="n">
        <v>3.7</v>
      </c>
      <c r="U11" s="19" t="n">
        <v>5.8</v>
      </c>
      <c r="V11" s="19" t="n">
        <v>3.1</v>
      </c>
      <c r="W11" s="19" t="n">
        <v>1.2</v>
      </c>
      <c r="X11" s="14" t="n">
        <f aca="false">AVERAGE(C11:W11)</f>
        <v>0.447619047619048</v>
      </c>
      <c r="Y11" s="14" t="n">
        <f aca="false">(EXP(SUMPRODUCT(LN(1+C11:W11/100)))-1)*100</f>
        <v>9.5005365791434</v>
      </c>
      <c r="Z11" s="14" t="n">
        <f aca="false">STDEV(C11:W11)</f>
        <v>1.76567807020959</v>
      </c>
    </row>
    <row r="12" customFormat="false" ht="15" hidden="false" customHeight="false" outlineLevel="0" collapsed="false">
      <c r="A12" s="12" t="s">
        <v>166</v>
      </c>
      <c r="B12" s="12" t="s">
        <v>167</v>
      </c>
      <c r="C12" s="19" t="n">
        <v>4.2</v>
      </c>
      <c r="D12" s="19" t="n">
        <v>4</v>
      </c>
      <c r="E12" s="19" t="n">
        <v>4.5</v>
      </c>
      <c r="F12" s="19" t="n">
        <v>4</v>
      </c>
      <c r="G12" s="19" t="n">
        <v>3.5</v>
      </c>
      <c r="H12" s="19" t="n">
        <v>2.5</v>
      </c>
      <c r="I12" s="19" t="n">
        <v>2.4</v>
      </c>
      <c r="J12" s="19" t="n">
        <v>4.8</v>
      </c>
      <c r="K12" s="19" t="n">
        <v>8.1</v>
      </c>
      <c r="L12" s="19" t="n">
        <v>1.8</v>
      </c>
      <c r="M12" s="19" t="n">
        <v>1.1</v>
      </c>
      <c r="N12" s="19" t="n">
        <v>0.6</v>
      </c>
      <c r="O12" s="19" t="n">
        <v>0.9</v>
      </c>
      <c r="P12" s="19" t="n">
        <v>0.8</v>
      </c>
      <c r="Q12" s="19" t="n">
        <v>1</v>
      </c>
      <c r="R12" s="19" t="n">
        <v>0.6</v>
      </c>
      <c r="S12" s="19" t="n">
        <v>0.2</v>
      </c>
      <c r="T12" s="19" t="n">
        <v>1.3</v>
      </c>
      <c r="U12" s="19" t="n">
        <v>2</v>
      </c>
      <c r="V12" s="19" t="n">
        <v>2.7</v>
      </c>
      <c r="W12" s="19" t="n">
        <v>2.5</v>
      </c>
      <c r="X12" s="14" t="n">
        <f aca="false">AVERAGE(C12:W12)</f>
        <v>2.54761904761905</v>
      </c>
      <c r="Y12" s="14" t="n">
        <f aca="false">(EXP(SUMPRODUCT(LN(1+C12:W12/100)))-1)*100</f>
        <v>69.0213052729725</v>
      </c>
      <c r="Z12" s="14" t="n">
        <f aca="false">STDEV(C12:W12)</f>
        <v>1.91562497572438</v>
      </c>
    </row>
    <row r="13" customFormat="false" ht="15" hidden="false" customHeight="false" outlineLevel="0" collapsed="false">
      <c r="A13" s="12" t="s">
        <v>168</v>
      </c>
      <c r="B13" s="12" t="s">
        <v>169</v>
      </c>
      <c r="C13" s="19" t="n">
        <v>2.8</v>
      </c>
      <c r="D13" s="19" t="n">
        <v>3.9</v>
      </c>
      <c r="E13" s="19" t="n">
        <v>3.4</v>
      </c>
      <c r="F13" s="19" t="n">
        <v>3.4</v>
      </c>
      <c r="G13" s="19" t="n">
        <v>2.2</v>
      </c>
      <c r="H13" s="19" t="n">
        <v>1.9</v>
      </c>
      <c r="I13" s="19" t="n">
        <v>2.6</v>
      </c>
      <c r="J13" s="19" t="n">
        <v>2.4</v>
      </c>
      <c r="K13" s="19" t="n">
        <v>2.2</v>
      </c>
      <c r="L13" s="19" t="n">
        <v>0.3</v>
      </c>
      <c r="M13" s="19" t="n">
        <v>1</v>
      </c>
      <c r="N13" s="19" t="n">
        <v>0.9</v>
      </c>
      <c r="O13" s="19" t="n">
        <v>1</v>
      </c>
      <c r="P13" s="19" t="n">
        <v>1.1</v>
      </c>
      <c r="Q13" s="19" t="n">
        <v>1.6</v>
      </c>
      <c r="R13" s="19" t="n">
        <v>1.6</v>
      </c>
      <c r="S13" s="19" t="n">
        <v>1.1</v>
      </c>
      <c r="T13" s="19" t="n">
        <v>3.6</v>
      </c>
      <c r="U13" s="19" t="n">
        <v>4.5</v>
      </c>
      <c r="V13" s="19" t="n">
        <v>3.3</v>
      </c>
      <c r="W13" s="19" t="n">
        <v>3.6</v>
      </c>
      <c r="X13" s="14" t="n">
        <f aca="false">AVERAGE(C13:W13)</f>
        <v>2.3047619047619</v>
      </c>
      <c r="Y13" s="14" t="n">
        <f aca="false">(EXP(SUMPRODUCT(LN(1+C13:W13/100)))-1)*100</f>
        <v>61.1512688830786</v>
      </c>
      <c r="Z13" s="14" t="n">
        <f aca="false">STDEV(C13:W13)</f>
        <v>1.18172593712594</v>
      </c>
    </row>
    <row r="15" customFormat="false" ht="15" hidden="false" customHeight="false" outlineLevel="0" collapsed="false">
      <c r="A15" s="11"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8"/>
  </cols>
  <sheetData>
    <row r="1" customFormat="false" ht="15" hidden="false" customHeight="false" outlineLevel="0" collapsed="false">
      <c r="A1" s="4" t="s">
        <v>171</v>
      </c>
      <c r="B1" s="4" t="s">
        <v>144</v>
      </c>
      <c r="C1" s="4" t="s">
        <v>145</v>
      </c>
      <c r="D1" s="4" t="s">
        <v>146</v>
      </c>
      <c r="E1" s="4" t="s">
        <v>147</v>
      </c>
      <c r="F1" s="4" t="s">
        <v>148</v>
      </c>
      <c r="G1" s="4" t="s">
        <v>28</v>
      </c>
    </row>
    <row r="2" customFormat="false" ht="15" hidden="false" customHeight="false" outlineLevel="0" collapsed="false">
      <c r="A2" s="12" t="s">
        <v>172</v>
      </c>
      <c r="B2" s="21" t="n">
        <v>34793.11</v>
      </c>
      <c r="C2" s="21" t="n">
        <v>35798.09</v>
      </c>
      <c r="D2" s="21" t="n">
        <v>32502.41</v>
      </c>
      <c r="E2" s="21" t="n">
        <v>34326.24</v>
      </c>
      <c r="F2" s="21" t="n">
        <v>36197.93</v>
      </c>
      <c r="G2" s="21" t="n">
        <v>37360.47</v>
      </c>
    </row>
    <row r="3" customFormat="false" ht="15" hidden="false" customHeight="false" outlineLevel="0" collapsed="false">
      <c r="A3" s="12" t="s">
        <v>173</v>
      </c>
      <c r="B3" s="21" t="n">
        <v>14021.4</v>
      </c>
      <c r="C3" s="21" t="n">
        <v>14283.93</v>
      </c>
      <c r="D3" s="21" t="n">
        <v>12873.35</v>
      </c>
      <c r="E3" s="21" t="n">
        <v>13541.01</v>
      </c>
      <c r="F3" s="21" t="n">
        <v>14325.91</v>
      </c>
      <c r="G3" s="21" t="n">
        <v>14650.11</v>
      </c>
    </row>
    <row r="4" customFormat="false" ht="15" hidden="false" customHeight="false" outlineLevel="0" collapsed="false">
      <c r="A4" s="12" t="s">
        <v>174</v>
      </c>
      <c r="B4" s="21" t="n">
        <v>4129.36</v>
      </c>
      <c r="C4" s="21" t="n">
        <v>4261.88</v>
      </c>
      <c r="D4" s="21" t="n">
        <v>4670.16</v>
      </c>
      <c r="E4" s="21" t="n">
        <v>4696.73</v>
      </c>
      <c r="F4" s="21" t="n">
        <v>5115.86</v>
      </c>
      <c r="G4" s="21" t="n">
        <v>5235.2</v>
      </c>
    </row>
    <row r="5" customFormat="false" ht="15" hidden="false" customHeight="false" outlineLevel="0" collapsed="false">
      <c r="A5" s="12" t="s">
        <v>175</v>
      </c>
      <c r="B5" s="21" t="n">
        <v>1664.11</v>
      </c>
      <c r="C5" s="21" t="n">
        <v>1700.55</v>
      </c>
      <c r="D5" s="21" t="n">
        <v>1849.73</v>
      </c>
      <c r="E5" s="21" t="n">
        <v>1852.77</v>
      </c>
      <c r="F5" s="21" t="n">
        <v>2024.68</v>
      </c>
      <c r="G5" s="21" t="n">
        <v>2052.87</v>
      </c>
    </row>
    <row r="6" customFormat="false" ht="15" hidden="false" customHeight="false" outlineLevel="0" collapsed="false">
      <c r="A6" s="12" t="s">
        <v>176</v>
      </c>
      <c r="B6" s="21" t="n">
        <v>11.87</v>
      </c>
      <c r="C6" s="21" t="n">
        <v>11.91</v>
      </c>
      <c r="D6" s="21" t="n">
        <v>14.37</v>
      </c>
      <c r="E6" s="21" t="n">
        <v>13.68</v>
      </c>
      <c r="F6" s="21" t="n">
        <v>14.13</v>
      </c>
      <c r="G6" s="21" t="n">
        <v>14.01</v>
      </c>
    </row>
    <row r="7" customFormat="false" ht="15" hidden="false" customHeight="false" outlineLevel="0" collapsed="false">
      <c r="A7" s="12" t="s">
        <v>177</v>
      </c>
      <c r="B7" s="21" t="n">
        <v>493.47</v>
      </c>
      <c r="C7" s="21" t="n">
        <v>541.79</v>
      </c>
      <c r="D7" s="21" t="n">
        <v>525.27</v>
      </c>
      <c r="E7" s="21" t="n">
        <v>471.36</v>
      </c>
      <c r="F7" s="21" t="n">
        <v>458.34</v>
      </c>
      <c r="G7" s="21" t="n">
        <v>457.73</v>
      </c>
    </row>
    <row r="8" customFormat="false" ht="15" hidden="false" customHeight="false" outlineLevel="0" collapsed="false">
      <c r="A8" s="12" t="s">
        <v>178</v>
      </c>
      <c r="B8" s="21" t="n">
        <v>198.86</v>
      </c>
      <c r="C8" s="21" t="n">
        <v>216.18</v>
      </c>
      <c r="D8" s="21" t="n">
        <v>208.04</v>
      </c>
      <c r="E8" s="21" t="n">
        <v>185.94</v>
      </c>
      <c r="F8" s="21" t="n">
        <v>181.4</v>
      </c>
      <c r="G8" s="21" t="n">
        <v>179.49</v>
      </c>
    </row>
    <row r="9" customFormat="false" ht="15" hidden="false" customHeight="false" outlineLevel="0" collapsed="false">
      <c r="A9" s="12" t="s">
        <v>179</v>
      </c>
      <c r="B9" s="21" t="n">
        <v>1.42</v>
      </c>
      <c r="C9" s="21" t="n">
        <v>1.51</v>
      </c>
      <c r="D9" s="21" t="n">
        <v>1.62</v>
      </c>
      <c r="E9" s="21" t="n">
        <v>1.37</v>
      </c>
      <c r="F9" s="21" t="n">
        <v>1.27</v>
      </c>
      <c r="G9" s="21" t="n">
        <v>1.23</v>
      </c>
    </row>
    <row r="10" customFormat="false" ht="15" hidden="false" customHeight="false" outlineLevel="0" collapsed="false">
      <c r="A10" s="12" t="s">
        <v>180</v>
      </c>
      <c r="B10" s="21" t="n">
        <v>1487.95</v>
      </c>
      <c r="C10" s="21" t="n">
        <v>1567.38</v>
      </c>
      <c r="D10" s="21" t="n">
        <v>1141.16</v>
      </c>
      <c r="E10" s="21" t="n">
        <v>1238.43</v>
      </c>
      <c r="F10" s="21" t="n">
        <v>1235.35</v>
      </c>
      <c r="G10" s="21" t="n">
        <v>1323.8</v>
      </c>
    </row>
    <row r="11" customFormat="false" ht="15" hidden="false" customHeight="false" outlineLevel="0" collapsed="false">
      <c r="A11" s="12" t="s">
        <v>181</v>
      </c>
      <c r="B11" s="21" t="n">
        <v>599.63</v>
      </c>
      <c r="C11" s="21" t="n">
        <v>625.4</v>
      </c>
      <c r="D11" s="21" t="n">
        <v>451.98</v>
      </c>
      <c r="E11" s="21" t="n">
        <v>488.54</v>
      </c>
      <c r="F11" s="21" t="n">
        <v>488.91</v>
      </c>
      <c r="G11" s="21" t="n">
        <v>519.1</v>
      </c>
    </row>
    <row r="12" customFormat="false" ht="15" hidden="false" customHeight="false" outlineLevel="0" collapsed="false">
      <c r="A12" s="12" t="s">
        <v>182</v>
      </c>
      <c r="B12" s="21" t="n">
        <v>4.28</v>
      </c>
      <c r="C12" s="21" t="n">
        <v>4.38</v>
      </c>
      <c r="D12" s="21" t="n">
        <v>3.51</v>
      </c>
      <c r="E12" s="21" t="n">
        <v>3.61</v>
      </c>
      <c r="F12" s="21" t="n">
        <v>3.41</v>
      </c>
      <c r="G12" s="21" t="n">
        <v>3.54</v>
      </c>
    </row>
    <row r="13" customFormat="false" ht="15" hidden="false" customHeight="false" outlineLevel="0" collapsed="false">
      <c r="A13" s="12" t="s">
        <v>183</v>
      </c>
      <c r="B13" s="21" t="n">
        <v>11729.82</v>
      </c>
      <c r="C13" s="21" t="n">
        <v>12053.14</v>
      </c>
      <c r="D13" s="21" t="n">
        <v>12877.71</v>
      </c>
      <c r="E13" s="21" t="n">
        <v>12627</v>
      </c>
      <c r="F13" s="21" t="n">
        <v>12889.66</v>
      </c>
      <c r="G13" s="21" t="n">
        <v>13076.74</v>
      </c>
    </row>
    <row r="14" customFormat="false" ht="15" hidden="false" customHeight="false" outlineLevel="0" collapsed="false">
      <c r="A14" s="12" t="s">
        <v>184</v>
      </c>
      <c r="B14" s="21" t="n">
        <v>4727.04</v>
      </c>
      <c r="C14" s="21" t="n">
        <v>4809.37</v>
      </c>
      <c r="D14" s="21" t="n">
        <v>5100.52</v>
      </c>
      <c r="E14" s="21" t="n">
        <v>4981.1</v>
      </c>
      <c r="F14" s="21" t="n">
        <v>5101.29</v>
      </c>
      <c r="G14" s="21" t="n">
        <v>5127.77</v>
      </c>
    </row>
    <row r="15" customFormat="false" ht="15" hidden="false" customHeight="false" outlineLevel="0" collapsed="false">
      <c r="A15" s="12" t="s">
        <v>185</v>
      </c>
      <c r="B15" s="21" t="n">
        <v>33.71</v>
      </c>
      <c r="C15" s="21" t="n">
        <v>33.67</v>
      </c>
      <c r="D15" s="21" t="n">
        <v>39.62</v>
      </c>
      <c r="E15" s="21" t="n">
        <v>36.79</v>
      </c>
      <c r="F15" s="21" t="n">
        <v>35.61</v>
      </c>
      <c r="G15" s="21" t="n">
        <v>35</v>
      </c>
    </row>
    <row r="16" customFormat="false" ht="15" hidden="false" customHeight="false" outlineLevel="0" collapsed="false">
      <c r="A16" s="12" t="s">
        <v>186</v>
      </c>
      <c r="B16" s="21" t="n">
        <v>1587.52</v>
      </c>
      <c r="C16" s="21" t="n">
        <v>1576.87</v>
      </c>
      <c r="D16" s="21" t="n">
        <v>1433.09</v>
      </c>
      <c r="E16" s="21" t="n">
        <v>1548.19</v>
      </c>
      <c r="F16" s="21" t="n">
        <v>1510.49</v>
      </c>
      <c r="G16" s="21" t="n">
        <v>1484.26</v>
      </c>
    </row>
    <row r="17" customFormat="false" ht="15" hidden="false" customHeight="false" outlineLevel="0" collapsed="false">
      <c r="A17" s="12" t="s">
        <v>187</v>
      </c>
      <c r="B17" s="21" t="n">
        <v>639.76</v>
      </c>
      <c r="C17" s="21" t="n">
        <v>629.19</v>
      </c>
      <c r="D17" s="21" t="n">
        <v>567.61</v>
      </c>
      <c r="E17" s="21" t="n">
        <v>610.73</v>
      </c>
      <c r="F17" s="21" t="n">
        <v>597.8</v>
      </c>
      <c r="G17" s="21" t="n">
        <v>582.02</v>
      </c>
    </row>
    <row r="18" customFormat="false" ht="15" hidden="false" customHeight="false" outlineLevel="0" collapsed="false">
      <c r="A18" s="12" t="s">
        <v>188</v>
      </c>
      <c r="B18" s="21" t="n">
        <v>4.56</v>
      </c>
      <c r="C18" s="21" t="n">
        <v>4.4</v>
      </c>
      <c r="D18" s="21" t="n">
        <v>4.41</v>
      </c>
      <c r="E18" s="21" t="n">
        <v>4.51</v>
      </c>
      <c r="F18" s="21" t="n">
        <v>4.17</v>
      </c>
      <c r="G18" s="21" t="n">
        <v>3.97</v>
      </c>
    </row>
    <row r="19" customFormat="false" ht="15" hidden="false" customHeight="false" outlineLevel="0" collapsed="false">
      <c r="A19" s="12" t="s">
        <v>189</v>
      </c>
      <c r="B19" s="21" t="n">
        <v>978.55</v>
      </c>
      <c r="C19" s="21" t="n">
        <v>1197.46</v>
      </c>
      <c r="D19" s="21" t="n">
        <v>1168.7</v>
      </c>
      <c r="E19" s="21" t="n">
        <v>1477.22</v>
      </c>
      <c r="F19" s="21" t="n">
        <v>1214.2</v>
      </c>
      <c r="G19" s="21" t="n">
        <v>1301.18</v>
      </c>
    </row>
    <row r="20" customFormat="false" ht="15" hidden="false" customHeight="false" outlineLevel="0" collapsed="false">
      <c r="A20" s="12" t="s">
        <v>190</v>
      </c>
      <c r="B20" s="21" t="n">
        <v>394.35</v>
      </c>
      <c r="C20" s="21" t="n">
        <v>477.8</v>
      </c>
      <c r="D20" s="21" t="n">
        <v>462.89</v>
      </c>
      <c r="E20" s="21" t="n">
        <v>582.73</v>
      </c>
      <c r="F20" s="21" t="n">
        <v>480.54</v>
      </c>
      <c r="G20" s="21" t="n">
        <v>510.23</v>
      </c>
    </row>
    <row r="21" customFormat="false" ht="15" hidden="false" customHeight="false" outlineLevel="0" collapsed="false">
      <c r="A21" s="12" t="s">
        <v>191</v>
      </c>
      <c r="B21" s="21" t="n">
        <v>2.81</v>
      </c>
      <c r="C21" s="21" t="n">
        <v>3.35</v>
      </c>
      <c r="D21" s="21" t="n">
        <v>3.6</v>
      </c>
      <c r="E21" s="21" t="n">
        <v>4.3</v>
      </c>
      <c r="F21" s="21" t="n">
        <v>3.35</v>
      </c>
      <c r="G21" s="21" t="n">
        <v>3.48</v>
      </c>
    </row>
    <row r="22" customFormat="false" ht="15" hidden="false" customHeight="false" outlineLevel="0" collapsed="false">
      <c r="A22" s="12" t="s">
        <v>192</v>
      </c>
      <c r="B22" s="21" t="n">
        <v>4242.72</v>
      </c>
      <c r="C22" s="21" t="n">
        <v>4169.77</v>
      </c>
      <c r="D22" s="21" t="n">
        <v>2838.2</v>
      </c>
      <c r="E22" s="21" t="n">
        <v>3471.55</v>
      </c>
      <c r="F22" s="21" t="n">
        <v>4095.14</v>
      </c>
      <c r="G22" s="21" t="n">
        <v>4146.29</v>
      </c>
    </row>
    <row r="23" customFormat="false" ht="15" hidden="false" customHeight="false" outlineLevel="0" collapsed="false">
      <c r="A23" s="12" t="s">
        <v>193</v>
      </c>
      <c r="B23" s="21" t="n">
        <v>1709.79</v>
      </c>
      <c r="C23" s="21" t="n">
        <v>1663.8</v>
      </c>
      <c r="D23" s="21" t="n">
        <v>1124.14</v>
      </c>
      <c r="E23" s="21" t="n">
        <v>1369.46</v>
      </c>
      <c r="F23" s="21" t="n">
        <v>1620.72</v>
      </c>
      <c r="G23" s="21" t="n">
        <v>1625.88</v>
      </c>
    </row>
    <row r="24" customFormat="false" ht="15" hidden="false" customHeight="false" outlineLevel="0" collapsed="false">
      <c r="A24" s="12" t="s">
        <v>194</v>
      </c>
      <c r="B24" s="21" t="n">
        <v>12.19</v>
      </c>
      <c r="C24" s="21" t="n">
        <v>11.65</v>
      </c>
      <c r="D24" s="21" t="n">
        <v>8.73</v>
      </c>
      <c r="E24" s="21" t="n">
        <v>10.11</v>
      </c>
      <c r="F24" s="21" t="n">
        <v>11.31</v>
      </c>
      <c r="G24" s="21" t="n">
        <v>11.1</v>
      </c>
    </row>
    <row r="25" customFormat="false" ht="15" hidden="false" customHeight="false" outlineLevel="0" collapsed="false">
      <c r="A25" s="12" t="s">
        <v>195</v>
      </c>
      <c r="B25" s="21" t="n">
        <v>1053.57</v>
      </c>
      <c r="C25" s="21" t="n">
        <v>1078.36</v>
      </c>
      <c r="D25" s="21" t="n">
        <v>1076</v>
      </c>
      <c r="E25" s="21" t="n">
        <v>1044.76</v>
      </c>
      <c r="F25" s="21" t="n">
        <v>1042.96</v>
      </c>
      <c r="G25" s="21" t="n">
        <v>1008.64</v>
      </c>
    </row>
    <row r="26" customFormat="false" ht="15" hidden="false" customHeight="false" outlineLevel="0" collapsed="false">
      <c r="A26" s="12" t="s">
        <v>196</v>
      </c>
      <c r="B26" s="21" t="n">
        <v>424.58</v>
      </c>
      <c r="C26" s="21" t="n">
        <v>430.28</v>
      </c>
      <c r="D26" s="21" t="n">
        <v>426.17</v>
      </c>
      <c r="E26" s="21" t="n">
        <v>412.14</v>
      </c>
      <c r="F26" s="21" t="n">
        <v>412.77</v>
      </c>
      <c r="G26" s="21" t="n">
        <v>395.52</v>
      </c>
    </row>
    <row r="27" customFormat="false" ht="15" hidden="false" customHeight="false" outlineLevel="0" collapsed="false">
      <c r="A27" s="12" t="s">
        <v>197</v>
      </c>
      <c r="B27" s="21" t="n">
        <v>3.03</v>
      </c>
      <c r="C27" s="21" t="n">
        <v>3.01</v>
      </c>
      <c r="D27" s="21" t="n">
        <v>3.31</v>
      </c>
      <c r="E27" s="21" t="n">
        <v>3.04</v>
      </c>
      <c r="F27" s="21" t="n">
        <v>2.88</v>
      </c>
      <c r="G27" s="21" t="n">
        <v>2.7</v>
      </c>
    </row>
    <row r="28" customFormat="false" ht="15" hidden="false" customHeight="false" outlineLevel="0" collapsed="false">
      <c r="A28" s="12" t="s">
        <v>198</v>
      </c>
      <c r="B28" s="21" t="n">
        <v>1982.29</v>
      </c>
      <c r="C28" s="21" t="n">
        <v>2058.5</v>
      </c>
      <c r="D28" s="21" t="n">
        <v>1230.81</v>
      </c>
      <c r="E28" s="21" t="n">
        <v>1572.76</v>
      </c>
      <c r="F28" s="21" t="n">
        <v>1666.35</v>
      </c>
      <c r="G28" s="21" t="n">
        <v>1884.54</v>
      </c>
    </row>
    <row r="29" customFormat="false" ht="15" hidden="false" customHeight="false" outlineLevel="0" collapsed="false">
      <c r="A29" s="12" t="s">
        <v>199</v>
      </c>
      <c r="B29" s="21" t="n">
        <v>798.85</v>
      </c>
      <c r="C29" s="21" t="n">
        <v>821.37</v>
      </c>
      <c r="D29" s="21" t="n">
        <v>487.49</v>
      </c>
      <c r="E29" s="21" t="n">
        <v>620.42</v>
      </c>
      <c r="F29" s="21" t="n">
        <v>659.49</v>
      </c>
      <c r="G29" s="21" t="n">
        <v>738.98</v>
      </c>
    </row>
    <row r="30" customFormat="false" ht="15" hidden="false" customHeight="false" outlineLevel="0" collapsed="false">
      <c r="A30" s="12" t="s">
        <v>200</v>
      </c>
      <c r="B30" s="21" t="n">
        <v>5.7</v>
      </c>
      <c r="C30" s="21" t="n">
        <v>5.75</v>
      </c>
      <c r="D30" s="21" t="n">
        <v>3.79</v>
      </c>
      <c r="E30" s="21" t="n">
        <v>4.58</v>
      </c>
      <c r="F30" s="21" t="n">
        <v>4.6</v>
      </c>
      <c r="G30" s="21" t="n">
        <v>5.04</v>
      </c>
    </row>
    <row r="31" customFormat="false" ht="15" hidden="false" customHeight="false" outlineLevel="0" collapsed="false">
      <c r="A31" s="12" t="s">
        <v>201</v>
      </c>
      <c r="B31" s="21" t="n">
        <v>774.73</v>
      </c>
      <c r="C31" s="21" t="n">
        <v>827.08</v>
      </c>
      <c r="D31" s="21" t="n">
        <v>811.89</v>
      </c>
      <c r="E31" s="21" t="n">
        <v>734.61</v>
      </c>
      <c r="F31" s="21" t="n">
        <v>726.95</v>
      </c>
      <c r="G31" s="21" t="n">
        <v>889.38</v>
      </c>
    </row>
    <row r="32" customFormat="false" ht="15" hidden="false" customHeight="false" outlineLevel="0" collapsed="false">
      <c r="A32" s="12" t="s">
        <v>202</v>
      </c>
      <c r="B32" s="21" t="n">
        <v>312.21</v>
      </c>
      <c r="C32" s="21" t="n">
        <v>330.02</v>
      </c>
      <c r="D32" s="21" t="n">
        <v>321.57</v>
      </c>
      <c r="E32" s="21" t="n">
        <v>289.79</v>
      </c>
      <c r="F32" s="21" t="n">
        <v>287.7</v>
      </c>
      <c r="G32" s="21" t="n">
        <v>348.75</v>
      </c>
    </row>
    <row r="33" customFormat="false" ht="15" hidden="false" customHeight="false" outlineLevel="0" collapsed="false">
      <c r="A33" s="12" t="s">
        <v>203</v>
      </c>
      <c r="B33" s="21" t="n">
        <v>2.23</v>
      </c>
      <c r="C33" s="21" t="n">
        <v>2.31</v>
      </c>
      <c r="D33" s="21" t="n">
        <v>2.5</v>
      </c>
      <c r="E33" s="21" t="n">
        <v>2.14</v>
      </c>
      <c r="F33" s="21" t="n">
        <v>2.01</v>
      </c>
      <c r="G33" s="21" t="n">
        <v>2.38</v>
      </c>
    </row>
    <row r="34" customFormat="false" ht="15" hidden="false" customHeight="false" outlineLevel="0" collapsed="false">
      <c r="A34" s="12" t="s">
        <v>204</v>
      </c>
      <c r="B34" s="21" t="n">
        <v>3778.98</v>
      </c>
      <c r="C34" s="21" t="n">
        <v>3842.48</v>
      </c>
      <c r="D34" s="21" t="n">
        <v>2263.09</v>
      </c>
      <c r="E34" s="21" t="n">
        <v>2798.87</v>
      </c>
      <c r="F34" s="21" t="n">
        <v>3600.63</v>
      </c>
      <c r="G34" s="21" t="n">
        <v>3907.52</v>
      </c>
    </row>
    <row r="35" customFormat="false" ht="15" hidden="false" customHeight="false" outlineLevel="0" collapsed="false">
      <c r="A35" s="12" t="s">
        <v>205</v>
      </c>
      <c r="B35" s="21" t="n">
        <v>1522.9</v>
      </c>
      <c r="C35" s="21" t="n">
        <v>1533.2</v>
      </c>
      <c r="D35" s="21" t="n">
        <v>896.35</v>
      </c>
      <c r="E35" s="21" t="n">
        <v>1104.1</v>
      </c>
      <c r="F35" s="21" t="n">
        <v>1425.01</v>
      </c>
      <c r="G35" s="21" t="n">
        <v>1532.25</v>
      </c>
    </row>
    <row r="36" customFormat="false" ht="15" hidden="false" customHeight="false" outlineLevel="0" collapsed="false">
      <c r="A36" s="12" t="s">
        <v>206</v>
      </c>
      <c r="B36" s="21" t="n">
        <v>10.86</v>
      </c>
      <c r="C36" s="21" t="n">
        <v>10.73</v>
      </c>
      <c r="D36" s="21" t="n">
        <v>6.96</v>
      </c>
      <c r="E36" s="21" t="n">
        <v>8.15</v>
      </c>
      <c r="F36" s="21" t="n">
        <v>9.95</v>
      </c>
      <c r="G36" s="21" t="n">
        <v>10.46</v>
      </c>
    </row>
    <row r="37" customFormat="false" ht="15" hidden="false" customHeight="false" outlineLevel="0" collapsed="false">
      <c r="A37" s="12" t="s">
        <v>207</v>
      </c>
      <c r="B37" s="21" t="n">
        <v>2554.16</v>
      </c>
      <c r="C37" s="21" t="n">
        <v>2623.39</v>
      </c>
      <c r="D37" s="21" t="n">
        <v>2466.34</v>
      </c>
      <c r="E37" s="21" t="n">
        <v>2644.75</v>
      </c>
      <c r="F37" s="21" t="n">
        <v>2642.01</v>
      </c>
      <c r="G37" s="21" t="n">
        <v>2645.18</v>
      </c>
    </row>
    <row r="38" customFormat="false" ht="15" hidden="false" customHeight="false" outlineLevel="0" collapsed="false">
      <c r="A38" s="12" t="s">
        <v>208</v>
      </c>
      <c r="B38" s="21" t="n">
        <v>1029.31</v>
      </c>
      <c r="C38" s="21" t="n">
        <v>1046.77</v>
      </c>
      <c r="D38" s="21" t="n">
        <v>976.85</v>
      </c>
      <c r="E38" s="21" t="n">
        <v>1043.3</v>
      </c>
      <c r="F38" s="21" t="n">
        <v>1045.62</v>
      </c>
      <c r="G38" s="21" t="n">
        <v>1037.25</v>
      </c>
    </row>
    <row r="39" customFormat="false" ht="15" hidden="false" customHeight="false" outlineLevel="0" collapsed="false">
      <c r="A39" s="12" t="s">
        <v>209</v>
      </c>
      <c r="B39" s="21" t="n">
        <v>7.34</v>
      </c>
      <c r="C39" s="21" t="n">
        <v>7.33</v>
      </c>
      <c r="D39" s="21" t="n">
        <v>7.59</v>
      </c>
      <c r="E39" s="21" t="n">
        <v>7.7</v>
      </c>
      <c r="F39" s="21" t="n">
        <v>7.3</v>
      </c>
      <c r="G39" s="21" t="n">
        <v>7.08</v>
      </c>
    </row>
    <row r="41" customFormat="false" ht="15" hidden="false" customHeight="false" outlineLevel="0" collapsed="false">
      <c r="A41" s="11"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8"/>
  </cols>
  <sheetData>
    <row r="1" customFormat="false" ht="15" hidden="false" customHeight="false" outlineLevel="0" collapsed="false">
      <c r="A1" s="4" t="s">
        <v>171</v>
      </c>
      <c r="B1" s="4" t="s">
        <v>144</v>
      </c>
      <c r="C1" s="4" t="s">
        <v>145</v>
      </c>
      <c r="D1" s="4" t="s">
        <v>146</v>
      </c>
      <c r="E1" s="4" t="s">
        <v>147</v>
      </c>
      <c r="F1" s="4" t="s">
        <v>148</v>
      </c>
      <c r="G1" s="4" t="s">
        <v>28</v>
      </c>
    </row>
    <row r="2" customFormat="false" ht="15" hidden="false" customHeight="false" outlineLevel="0" collapsed="false">
      <c r="A2" s="12" t="s">
        <v>211</v>
      </c>
      <c r="B2" s="21" t="n">
        <v>29871.28</v>
      </c>
      <c r="C2" s="21" t="n">
        <v>30242.76</v>
      </c>
      <c r="D2" s="21" t="n">
        <v>26995.76</v>
      </c>
      <c r="E2" s="21" t="n">
        <v>29243.61</v>
      </c>
      <c r="F2" s="21" t="n">
        <v>31567.71</v>
      </c>
      <c r="G2" s="21" t="n">
        <v>32616.66</v>
      </c>
    </row>
    <row r="3" customFormat="false" ht="15" hidden="false" customHeight="false" outlineLevel="0" collapsed="false">
      <c r="A3" s="12" t="s">
        <v>212</v>
      </c>
      <c r="B3" s="21" t="n">
        <v>12018.94</v>
      </c>
      <c r="C3" s="21" t="n">
        <v>12151.5</v>
      </c>
      <c r="D3" s="21" t="n">
        <v>10848.22</v>
      </c>
      <c r="E3" s="21" t="n">
        <v>11779.97</v>
      </c>
      <c r="F3" s="21" t="n">
        <v>12779.54</v>
      </c>
      <c r="G3" s="21" t="n">
        <v>13120.1</v>
      </c>
    </row>
    <row r="4" customFormat="false" ht="15" hidden="false" customHeight="false" outlineLevel="0" collapsed="false">
      <c r="A4" s="12" t="s">
        <v>174</v>
      </c>
      <c r="B4" s="21" t="n">
        <v>4223.33</v>
      </c>
      <c r="C4" s="21" t="n">
        <v>4286</v>
      </c>
      <c r="D4" s="21" t="n">
        <v>4578.87</v>
      </c>
      <c r="E4" s="21" t="n">
        <v>4805.82</v>
      </c>
      <c r="F4" s="21" t="n">
        <v>5050.24</v>
      </c>
      <c r="G4" s="21" t="n">
        <v>5333.49</v>
      </c>
    </row>
    <row r="5" customFormat="false" ht="15" hidden="false" customHeight="false" outlineLevel="0" collapsed="false">
      <c r="A5" s="12" t="s">
        <v>175</v>
      </c>
      <c r="B5" s="21" t="n">
        <v>1699.29</v>
      </c>
      <c r="C5" s="21" t="n">
        <v>1722.11</v>
      </c>
      <c r="D5" s="21" t="n">
        <v>1840.02</v>
      </c>
      <c r="E5" s="21" t="n">
        <v>1935.89</v>
      </c>
      <c r="F5" s="21" t="n">
        <v>2044.49</v>
      </c>
      <c r="G5" s="21" t="n">
        <v>2145.4</v>
      </c>
    </row>
    <row r="6" customFormat="false" ht="15" hidden="false" customHeight="false" outlineLevel="0" collapsed="false">
      <c r="A6" s="12" t="s">
        <v>176</v>
      </c>
      <c r="B6" s="21" t="n">
        <v>14.14</v>
      </c>
      <c r="C6" s="21" t="n">
        <v>14.17</v>
      </c>
      <c r="D6" s="21" t="n">
        <v>16.96</v>
      </c>
      <c r="E6" s="21" t="n">
        <v>16.43</v>
      </c>
      <c r="F6" s="21" t="n">
        <v>16</v>
      </c>
      <c r="G6" s="21" t="n">
        <v>16.35</v>
      </c>
    </row>
    <row r="7" customFormat="false" ht="15" hidden="false" customHeight="false" outlineLevel="0" collapsed="false">
      <c r="A7" s="12" t="s">
        <v>177</v>
      </c>
      <c r="B7" s="21" t="n">
        <v>518.88</v>
      </c>
      <c r="C7" s="21" t="n">
        <v>516.29</v>
      </c>
      <c r="D7" s="21" t="n">
        <v>510.21</v>
      </c>
      <c r="E7" s="21" t="n">
        <v>495.63</v>
      </c>
      <c r="F7" s="21" t="n">
        <v>480.75</v>
      </c>
      <c r="G7" s="21" t="n">
        <v>473.61</v>
      </c>
    </row>
    <row r="8" customFormat="false" ht="15" hidden="false" customHeight="false" outlineLevel="0" collapsed="false">
      <c r="A8" s="12" t="s">
        <v>178</v>
      </c>
      <c r="B8" s="21" t="n">
        <v>208.77</v>
      </c>
      <c r="C8" s="21" t="n">
        <v>207.44</v>
      </c>
      <c r="D8" s="21" t="n">
        <v>205.03</v>
      </c>
      <c r="E8" s="21" t="n">
        <v>199.65</v>
      </c>
      <c r="F8" s="21" t="n">
        <v>194.62</v>
      </c>
      <c r="G8" s="21" t="n">
        <v>190.51</v>
      </c>
    </row>
    <row r="9" customFormat="false" ht="15" hidden="false" customHeight="false" outlineLevel="0" collapsed="false">
      <c r="A9" s="12" t="s">
        <v>179</v>
      </c>
      <c r="B9" s="21" t="n">
        <v>1.74</v>
      </c>
      <c r="C9" s="21" t="n">
        <v>1.71</v>
      </c>
      <c r="D9" s="21" t="n">
        <v>1.89</v>
      </c>
      <c r="E9" s="21" t="n">
        <v>1.69</v>
      </c>
      <c r="F9" s="21" t="n">
        <v>1.52</v>
      </c>
      <c r="G9" s="21" t="n">
        <v>1.45</v>
      </c>
    </row>
    <row r="10" customFormat="false" ht="15" hidden="false" customHeight="false" outlineLevel="0" collapsed="false">
      <c r="A10" s="12" t="s">
        <v>180</v>
      </c>
      <c r="B10" s="21" t="n">
        <v>1463.11</v>
      </c>
      <c r="C10" s="21" t="n">
        <v>1417.49</v>
      </c>
      <c r="D10" s="21" t="n">
        <v>1009.03</v>
      </c>
      <c r="E10" s="21" t="n">
        <v>1155.97</v>
      </c>
      <c r="F10" s="21" t="n">
        <v>1231.61</v>
      </c>
      <c r="G10" s="21" t="n">
        <v>1319.38</v>
      </c>
    </row>
    <row r="11" customFormat="false" ht="15" hidden="false" customHeight="false" outlineLevel="0" collapsed="false">
      <c r="A11" s="12" t="s">
        <v>181</v>
      </c>
      <c r="B11" s="21" t="n">
        <v>588.69</v>
      </c>
      <c r="C11" s="21" t="n">
        <v>569.55</v>
      </c>
      <c r="D11" s="21" t="n">
        <v>405.48</v>
      </c>
      <c r="E11" s="21" t="n">
        <v>465.65</v>
      </c>
      <c r="F11" s="21" t="n">
        <v>498.59</v>
      </c>
      <c r="G11" s="21" t="n">
        <v>530.72</v>
      </c>
    </row>
    <row r="12" customFormat="false" ht="15" hidden="false" customHeight="false" outlineLevel="0" collapsed="false">
      <c r="A12" s="12" t="s">
        <v>182</v>
      </c>
      <c r="B12" s="21" t="n">
        <v>4.9</v>
      </c>
      <c r="C12" s="21" t="n">
        <v>4.69</v>
      </c>
      <c r="D12" s="21" t="n">
        <v>3.74</v>
      </c>
      <c r="E12" s="21" t="n">
        <v>3.95</v>
      </c>
      <c r="F12" s="21" t="n">
        <v>3.9</v>
      </c>
      <c r="G12" s="21" t="n">
        <v>4.05</v>
      </c>
    </row>
    <row r="13" customFormat="false" ht="15" hidden="false" customHeight="false" outlineLevel="0" collapsed="false">
      <c r="A13" s="12" t="s">
        <v>183</v>
      </c>
      <c r="B13" s="21" t="n">
        <v>9180.75</v>
      </c>
      <c r="C13" s="21" t="n">
        <v>9441.17</v>
      </c>
      <c r="D13" s="21" t="n">
        <v>9621.46</v>
      </c>
      <c r="E13" s="21" t="n">
        <v>9893.03</v>
      </c>
      <c r="F13" s="21" t="n">
        <v>10242.59</v>
      </c>
      <c r="G13" s="21" t="n">
        <v>10367.26</v>
      </c>
    </row>
    <row r="14" customFormat="false" ht="15" hidden="false" customHeight="false" outlineLevel="0" collapsed="false">
      <c r="A14" s="12" t="s">
        <v>184</v>
      </c>
      <c r="B14" s="21" t="n">
        <v>3693.94</v>
      </c>
      <c r="C14" s="21" t="n">
        <v>3793.45</v>
      </c>
      <c r="D14" s="21" t="n">
        <v>3866.37</v>
      </c>
      <c r="E14" s="21" t="n">
        <v>3985.13</v>
      </c>
      <c r="F14" s="21" t="n">
        <v>4146.5</v>
      </c>
      <c r="G14" s="21" t="n">
        <v>4170.25</v>
      </c>
    </row>
    <row r="15" customFormat="false" ht="15" hidden="false" customHeight="false" outlineLevel="0" collapsed="false">
      <c r="A15" s="12" t="s">
        <v>185</v>
      </c>
      <c r="B15" s="21" t="n">
        <v>30.73</v>
      </c>
      <c r="C15" s="21" t="n">
        <v>31.22</v>
      </c>
      <c r="D15" s="21" t="n">
        <v>35.64</v>
      </c>
      <c r="E15" s="21" t="n">
        <v>33.83</v>
      </c>
      <c r="F15" s="21" t="n">
        <v>32.45</v>
      </c>
      <c r="G15" s="21" t="n">
        <v>31.79</v>
      </c>
    </row>
    <row r="16" customFormat="false" ht="15" hidden="false" customHeight="false" outlineLevel="0" collapsed="false">
      <c r="A16" s="12" t="s">
        <v>186</v>
      </c>
      <c r="B16" s="21" t="n">
        <v>1371.91</v>
      </c>
      <c r="C16" s="21" t="n">
        <v>1330.46</v>
      </c>
      <c r="D16" s="21" t="n">
        <v>1170.34</v>
      </c>
      <c r="E16" s="21" t="n">
        <v>1286.2</v>
      </c>
      <c r="F16" s="21" t="n">
        <v>1296.13</v>
      </c>
      <c r="G16" s="21" t="n">
        <v>1349.33</v>
      </c>
    </row>
    <row r="17" customFormat="false" ht="15" hidden="false" customHeight="false" outlineLevel="0" collapsed="false">
      <c r="A17" s="12" t="s">
        <v>187</v>
      </c>
      <c r="B17" s="21" t="n">
        <v>552</v>
      </c>
      <c r="C17" s="21" t="n">
        <v>534.58</v>
      </c>
      <c r="D17" s="21" t="n">
        <v>470.3</v>
      </c>
      <c r="E17" s="21" t="n">
        <v>518.11</v>
      </c>
      <c r="F17" s="21" t="n">
        <v>524.71</v>
      </c>
      <c r="G17" s="21" t="n">
        <v>542.77</v>
      </c>
    </row>
    <row r="18" customFormat="false" ht="15" hidden="false" customHeight="false" outlineLevel="0" collapsed="false">
      <c r="A18" s="12" t="s">
        <v>188</v>
      </c>
      <c r="B18" s="21" t="n">
        <v>4.59</v>
      </c>
      <c r="C18" s="21" t="n">
        <v>4.4</v>
      </c>
      <c r="D18" s="21" t="n">
        <v>4.34</v>
      </c>
      <c r="E18" s="21" t="n">
        <v>4.4</v>
      </c>
      <c r="F18" s="21" t="n">
        <v>4.11</v>
      </c>
      <c r="G18" s="21" t="n">
        <v>4.14</v>
      </c>
    </row>
    <row r="19" customFormat="false" ht="15" hidden="false" customHeight="false" outlineLevel="0" collapsed="false">
      <c r="A19" s="12" t="s">
        <v>189</v>
      </c>
      <c r="B19" s="21" t="n">
        <v>1009.72</v>
      </c>
      <c r="C19" s="21" t="n">
        <v>1047.71</v>
      </c>
      <c r="D19" s="21" t="n">
        <v>1000.96</v>
      </c>
      <c r="E19" s="21" t="n">
        <v>1203.71</v>
      </c>
      <c r="F19" s="21" t="n">
        <v>1228.27</v>
      </c>
      <c r="G19" s="21" t="n">
        <v>1242.68</v>
      </c>
    </row>
    <row r="20" customFormat="false" ht="15" hidden="false" customHeight="false" outlineLevel="0" collapsed="false">
      <c r="A20" s="12" t="s">
        <v>190</v>
      </c>
      <c r="B20" s="21" t="n">
        <v>406.27</v>
      </c>
      <c r="C20" s="21" t="n">
        <v>420.97</v>
      </c>
      <c r="D20" s="21" t="n">
        <v>402.23</v>
      </c>
      <c r="E20" s="21" t="n">
        <v>484.88</v>
      </c>
      <c r="F20" s="21" t="n">
        <v>497.24</v>
      </c>
      <c r="G20" s="21" t="n">
        <v>499.87</v>
      </c>
    </row>
    <row r="21" customFormat="false" ht="15" hidden="false" customHeight="false" outlineLevel="0" collapsed="false">
      <c r="A21" s="12" t="s">
        <v>191</v>
      </c>
      <c r="B21" s="21" t="n">
        <v>3.38</v>
      </c>
      <c r="C21" s="21" t="n">
        <v>3.46</v>
      </c>
      <c r="D21" s="21" t="n">
        <v>3.71</v>
      </c>
      <c r="E21" s="21" t="n">
        <v>4.12</v>
      </c>
      <c r="F21" s="21" t="n">
        <v>3.89</v>
      </c>
      <c r="G21" s="21" t="n">
        <v>3.81</v>
      </c>
    </row>
    <row r="22" customFormat="false" ht="15" hidden="false" customHeight="false" outlineLevel="0" collapsed="false">
      <c r="A22" s="12" t="s">
        <v>192</v>
      </c>
      <c r="B22" s="21" t="n">
        <v>3790.21</v>
      </c>
      <c r="C22" s="21" t="n">
        <v>3888.03</v>
      </c>
      <c r="D22" s="21" t="n">
        <v>2741.47</v>
      </c>
      <c r="E22" s="21" t="n">
        <v>3230.17</v>
      </c>
      <c r="F22" s="21" t="n">
        <v>3794.37</v>
      </c>
      <c r="G22" s="21" t="n">
        <v>3777.71</v>
      </c>
    </row>
    <row r="23" customFormat="false" ht="15" hidden="false" customHeight="false" outlineLevel="0" collapsed="false">
      <c r="A23" s="12" t="s">
        <v>193</v>
      </c>
      <c r="B23" s="21" t="n">
        <v>1525.02</v>
      </c>
      <c r="C23" s="21" t="n">
        <v>1562.2</v>
      </c>
      <c r="D23" s="21" t="n">
        <v>1101.66</v>
      </c>
      <c r="E23" s="21" t="n">
        <v>1301.18</v>
      </c>
      <c r="F23" s="21" t="n">
        <v>1536.07</v>
      </c>
      <c r="G23" s="21" t="n">
        <v>1519.59</v>
      </c>
    </row>
    <row r="24" customFormat="false" ht="15" hidden="false" customHeight="false" outlineLevel="0" collapsed="false">
      <c r="A24" s="12" t="s">
        <v>194</v>
      </c>
      <c r="B24" s="21" t="n">
        <v>12.69</v>
      </c>
      <c r="C24" s="21" t="n">
        <v>12.86</v>
      </c>
      <c r="D24" s="21" t="n">
        <v>10.16</v>
      </c>
      <c r="E24" s="21" t="n">
        <v>11.05</v>
      </c>
      <c r="F24" s="21" t="n">
        <v>12.02</v>
      </c>
      <c r="G24" s="21" t="n">
        <v>11.58</v>
      </c>
    </row>
    <row r="25" customFormat="false" ht="15" hidden="false" customHeight="false" outlineLevel="0" collapsed="false">
      <c r="A25" s="12" t="s">
        <v>195</v>
      </c>
      <c r="B25" s="21" t="n">
        <v>964.01</v>
      </c>
      <c r="C25" s="21" t="n">
        <v>946.12</v>
      </c>
      <c r="D25" s="21" t="n">
        <v>939.69</v>
      </c>
      <c r="E25" s="21" t="n">
        <v>936.62</v>
      </c>
      <c r="F25" s="21" t="n">
        <v>924.61</v>
      </c>
      <c r="G25" s="21" t="n">
        <v>896.08</v>
      </c>
    </row>
    <row r="26" customFormat="false" ht="15" hidden="false" customHeight="false" outlineLevel="0" collapsed="false">
      <c r="A26" s="12" t="s">
        <v>196</v>
      </c>
      <c r="B26" s="21" t="n">
        <v>387.88</v>
      </c>
      <c r="C26" s="21" t="n">
        <v>380.15</v>
      </c>
      <c r="D26" s="21" t="n">
        <v>377.61</v>
      </c>
      <c r="E26" s="21" t="n">
        <v>377.29</v>
      </c>
      <c r="F26" s="21" t="n">
        <v>374.31</v>
      </c>
      <c r="G26" s="21" t="n">
        <v>360.45</v>
      </c>
    </row>
    <row r="27" customFormat="false" ht="15" hidden="false" customHeight="false" outlineLevel="0" collapsed="false">
      <c r="A27" s="12" t="s">
        <v>197</v>
      </c>
      <c r="B27" s="21" t="n">
        <v>3.23</v>
      </c>
      <c r="C27" s="21" t="n">
        <v>3.13</v>
      </c>
      <c r="D27" s="21" t="n">
        <v>3.48</v>
      </c>
      <c r="E27" s="21" t="n">
        <v>3.2</v>
      </c>
      <c r="F27" s="21" t="n">
        <v>2.93</v>
      </c>
      <c r="G27" s="21" t="n">
        <v>2.75</v>
      </c>
    </row>
    <row r="28" customFormat="false" ht="15" hidden="false" customHeight="false" outlineLevel="0" collapsed="false">
      <c r="A28" s="12" t="s">
        <v>198</v>
      </c>
      <c r="B28" s="21" t="n">
        <v>1643.16</v>
      </c>
      <c r="C28" s="21" t="n">
        <v>1653.69</v>
      </c>
      <c r="D28" s="21" t="n">
        <v>1125.89</v>
      </c>
      <c r="E28" s="21" t="n">
        <v>1293.6</v>
      </c>
      <c r="F28" s="21" t="n">
        <v>1534.44</v>
      </c>
      <c r="G28" s="21" t="n">
        <v>1651.06</v>
      </c>
    </row>
    <row r="29" customFormat="false" ht="15" hidden="false" customHeight="false" outlineLevel="0" collapsed="false">
      <c r="A29" s="12" t="s">
        <v>199</v>
      </c>
      <c r="B29" s="21" t="n">
        <v>661.14</v>
      </c>
      <c r="C29" s="21" t="n">
        <v>664.45</v>
      </c>
      <c r="D29" s="21" t="n">
        <v>452.44</v>
      </c>
      <c r="E29" s="21" t="n">
        <v>521.09</v>
      </c>
      <c r="F29" s="21" t="n">
        <v>621.19</v>
      </c>
      <c r="G29" s="21" t="n">
        <v>664.14</v>
      </c>
    </row>
    <row r="30" customFormat="false" ht="15" hidden="false" customHeight="false" outlineLevel="0" collapsed="false">
      <c r="A30" s="12" t="s">
        <v>200</v>
      </c>
      <c r="B30" s="21" t="n">
        <v>5.5</v>
      </c>
      <c r="C30" s="21" t="n">
        <v>5.47</v>
      </c>
      <c r="D30" s="21" t="n">
        <v>4.17</v>
      </c>
      <c r="E30" s="21" t="n">
        <v>4.42</v>
      </c>
      <c r="F30" s="21" t="n">
        <v>4.86</v>
      </c>
      <c r="G30" s="21" t="n">
        <v>5.06</v>
      </c>
    </row>
    <row r="31" customFormat="false" ht="15" hidden="false" customHeight="false" outlineLevel="0" collapsed="false">
      <c r="A31" s="12" t="s">
        <v>201</v>
      </c>
      <c r="B31" s="21" t="n">
        <v>460.66</v>
      </c>
      <c r="C31" s="21" t="n">
        <v>480.59</v>
      </c>
      <c r="D31" s="21" t="n">
        <v>437.28</v>
      </c>
      <c r="E31" s="21" t="n">
        <v>438.59</v>
      </c>
      <c r="F31" s="21" t="n">
        <v>467.57</v>
      </c>
      <c r="G31" s="21" t="n">
        <v>485.8</v>
      </c>
    </row>
    <row r="32" customFormat="false" ht="15" hidden="false" customHeight="false" outlineLevel="0" collapsed="false">
      <c r="A32" s="12" t="s">
        <v>202</v>
      </c>
      <c r="B32" s="21" t="n">
        <v>185.35</v>
      </c>
      <c r="C32" s="21" t="n">
        <v>193.1</v>
      </c>
      <c r="D32" s="21" t="n">
        <v>175.72</v>
      </c>
      <c r="E32" s="21" t="n">
        <v>176.67</v>
      </c>
      <c r="F32" s="21" t="n">
        <v>189.29</v>
      </c>
      <c r="G32" s="21" t="n">
        <v>195.42</v>
      </c>
    </row>
    <row r="33" customFormat="false" ht="15" hidden="false" customHeight="false" outlineLevel="0" collapsed="false">
      <c r="A33" s="12" t="s">
        <v>203</v>
      </c>
      <c r="B33" s="21" t="n">
        <v>1.54</v>
      </c>
      <c r="C33" s="21" t="n">
        <v>1.59</v>
      </c>
      <c r="D33" s="21" t="n">
        <v>1.62</v>
      </c>
      <c r="E33" s="21" t="n">
        <v>1.5</v>
      </c>
      <c r="F33" s="21" t="n">
        <v>1.48</v>
      </c>
      <c r="G33" s="21" t="n">
        <v>1.49</v>
      </c>
    </row>
    <row r="34" customFormat="false" ht="15" hidden="false" customHeight="false" outlineLevel="0" collapsed="false">
      <c r="A34" s="12" t="s">
        <v>204</v>
      </c>
      <c r="B34" s="21" t="n">
        <v>2947.56</v>
      </c>
      <c r="C34" s="21" t="n">
        <v>2944.35</v>
      </c>
      <c r="D34" s="21" t="n">
        <v>1752.21</v>
      </c>
      <c r="E34" s="21" t="n">
        <v>2288.09</v>
      </c>
      <c r="F34" s="21" t="n">
        <v>2953.27</v>
      </c>
      <c r="G34" s="21" t="n">
        <v>3310.67</v>
      </c>
    </row>
    <row r="35" customFormat="false" ht="15" hidden="false" customHeight="false" outlineLevel="0" collapsed="false">
      <c r="A35" s="12" t="s">
        <v>205</v>
      </c>
      <c r="B35" s="21" t="n">
        <v>1185.97</v>
      </c>
      <c r="C35" s="21" t="n">
        <v>1183.03</v>
      </c>
      <c r="D35" s="21" t="n">
        <v>704.13</v>
      </c>
      <c r="E35" s="21" t="n">
        <v>921.69</v>
      </c>
      <c r="F35" s="21" t="n">
        <v>1195.57</v>
      </c>
      <c r="G35" s="21" t="n">
        <v>1331.72</v>
      </c>
    </row>
    <row r="36" customFormat="false" ht="15" hidden="false" customHeight="false" outlineLevel="0" collapsed="false">
      <c r="A36" s="12" t="s">
        <v>206</v>
      </c>
      <c r="B36" s="21" t="n">
        <v>9.87</v>
      </c>
      <c r="C36" s="21" t="n">
        <v>9.74</v>
      </c>
      <c r="D36" s="21" t="n">
        <v>6.49</v>
      </c>
      <c r="E36" s="21" t="n">
        <v>7.82</v>
      </c>
      <c r="F36" s="21" t="n">
        <v>9.36</v>
      </c>
      <c r="G36" s="21" t="n">
        <v>10.15</v>
      </c>
    </row>
    <row r="37" customFormat="false" ht="15" hidden="false" customHeight="false" outlineLevel="0" collapsed="false">
      <c r="A37" s="12" t="s">
        <v>207</v>
      </c>
      <c r="B37" s="21" t="n">
        <v>2297.98</v>
      </c>
      <c r="C37" s="21" t="n">
        <v>2290.88</v>
      </c>
      <c r="D37" s="21" t="n">
        <v>2108.35</v>
      </c>
      <c r="E37" s="21" t="n">
        <v>2216.18</v>
      </c>
      <c r="F37" s="21" t="n">
        <v>2363.88</v>
      </c>
      <c r="G37" s="21" t="n">
        <v>2409.58</v>
      </c>
    </row>
    <row r="38" customFormat="false" ht="15" hidden="false" customHeight="false" outlineLevel="0" collapsed="false">
      <c r="A38" s="12" t="s">
        <v>208</v>
      </c>
      <c r="B38" s="21" t="n">
        <v>924.61</v>
      </c>
      <c r="C38" s="21" t="n">
        <v>920.47</v>
      </c>
      <c r="D38" s="21" t="n">
        <v>847.24</v>
      </c>
      <c r="E38" s="21" t="n">
        <v>892.73</v>
      </c>
      <c r="F38" s="21" t="n">
        <v>956.97</v>
      </c>
      <c r="G38" s="21" t="n">
        <v>969.26</v>
      </c>
    </row>
    <row r="39" customFormat="false" ht="15" hidden="false" customHeight="false" outlineLevel="0" collapsed="false">
      <c r="A39" s="12" t="s">
        <v>209</v>
      </c>
      <c r="B39" s="21" t="n">
        <v>7.69</v>
      </c>
      <c r="C39" s="21" t="n">
        <v>7.57</v>
      </c>
      <c r="D39" s="21" t="n">
        <v>7.81</v>
      </c>
      <c r="E39" s="21" t="n">
        <v>7.58</v>
      </c>
      <c r="F39" s="21" t="n">
        <v>7.49</v>
      </c>
      <c r="G39" s="21" t="n">
        <v>7.39</v>
      </c>
    </row>
    <row r="41" customFormat="false" ht="15" hidden="false" customHeight="false" outlineLevel="0" collapsed="false">
      <c r="A41" s="11"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8"/>
    <col collapsed="false" customWidth="true" hidden="false" outlineLevel="0" max="4" min="4" style="0" width="16"/>
    <col collapsed="false" customWidth="true" hidden="false" outlineLevel="0" max="6" min="5" style="0" width="20"/>
    <col collapsed="false" customWidth="true" hidden="false" outlineLevel="0" max="8" min="7" style="0" width="14"/>
    <col collapsed="false" customWidth="true" hidden="false" outlineLevel="0" max="9" min="9" style="0" width="12"/>
    <col collapsed="false" customWidth="true" hidden="false" outlineLevel="0" max="11" min="10" style="0" width="20"/>
  </cols>
  <sheetData>
    <row r="1" customFormat="false" ht="31.5" hidden="false" customHeight="true" outlineLevel="0" collapsed="false">
      <c r="A1" s="4" t="s">
        <v>213</v>
      </c>
      <c r="B1" s="4" t="s">
        <v>214</v>
      </c>
      <c r="C1" s="4" t="s">
        <v>215</v>
      </c>
      <c r="D1" s="4" t="s">
        <v>216</v>
      </c>
      <c r="E1" s="4" t="s">
        <v>217</v>
      </c>
      <c r="F1" s="4" t="s">
        <v>218</v>
      </c>
      <c r="G1" s="4" t="s">
        <v>219</v>
      </c>
      <c r="H1" s="4" t="s">
        <v>220</v>
      </c>
      <c r="I1" s="4" t="s">
        <v>221</v>
      </c>
      <c r="J1" s="4" t="s">
        <v>222</v>
      </c>
      <c r="K1" s="4" t="s">
        <v>223</v>
      </c>
    </row>
    <row r="2" customFormat="false" ht="15" hidden="false" customHeight="false" outlineLevel="0" collapsed="false">
      <c r="A2" s="2" t="s">
        <v>224</v>
      </c>
      <c r="B2" s="16" t="n">
        <f aca="false">EPF_Madrid_2018_2023!G2</f>
        <v>37360.47</v>
      </c>
      <c r="C2" s="16" t="n">
        <f aca="false">EPF_Nacional_2018_2023!G2</f>
        <v>32616.66</v>
      </c>
      <c r="D2" s="20" t="n">
        <f aca="false">B2/C2</f>
        <v>1.14544131741264</v>
      </c>
      <c r="E2" s="16" t="n">
        <f aca="false">EPF_Madrid_2018_2023!G3</f>
        <v>14650.11</v>
      </c>
      <c r="F2" s="16" t="n">
        <f aca="false">EPF_Nacional_2018_2023!G3</f>
        <v>13120.1</v>
      </c>
      <c r="G2" s="20" t="n">
        <f aca="false">SUM(G3:G14)</f>
        <v>99.99</v>
      </c>
      <c r="H2" s="20" t="n">
        <f aca="false">SUM(H3:H14)</f>
        <v>100.01</v>
      </c>
      <c r="J2" s="13" t="n">
        <f aca="false">(EPF_Madrid_2018_2023!G2/EPF_Madrid_2018_2023!B2-1)*100</f>
        <v>7.37893220812971</v>
      </c>
      <c r="K2" s="13" t="n">
        <f aca="false">(EPF_Nacional_2018_2023!G2/EPF_Nacional_2018_2023!B2-1)*100</f>
        <v>9.19070090066445</v>
      </c>
    </row>
    <row r="3" customFormat="false" ht="15" hidden="false" customHeight="false" outlineLevel="0" collapsed="false">
      <c r="A3" s="12" t="s">
        <v>115</v>
      </c>
      <c r="B3" s="16" t="n">
        <f aca="false">EPF_Madrid_2018_2023!G4</f>
        <v>5235.2</v>
      </c>
      <c r="C3" s="16" t="n">
        <f aca="false">EPF_Nacional_2018_2023!G4</f>
        <v>5333.49</v>
      </c>
      <c r="D3" s="20" t="n">
        <f aca="false">B3/C3</f>
        <v>0.981571166346989</v>
      </c>
      <c r="E3" s="16" t="n">
        <f aca="false">EPF_Madrid_2018_2023!G5</f>
        <v>2052.87</v>
      </c>
      <c r="F3" s="16" t="n">
        <f aca="false">EPF_Nacional_2018_2023!G5</f>
        <v>2145.4</v>
      </c>
      <c r="G3" s="15" t="n">
        <f aca="false">EPF_Madrid_2018_2023!G6</f>
        <v>14.01</v>
      </c>
      <c r="H3" s="15" t="n">
        <f aca="false">EPF_Nacional_2018_2023!G6</f>
        <v>16.35</v>
      </c>
      <c r="I3" s="20" t="n">
        <f aca="false">G3-H3</f>
        <v>-2.34</v>
      </c>
      <c r="J3" s="13" t="n">
        <f aca="false">(EPF_Madrid_2018_2023!G4/EPF_Madrid_2018_2023!B4-1)*100</f>
        <v>26.7799368425131</v>
      </c>
      <c r="K3" s="13" t="n">
        <f aca="false">(EPF_Nacional_2018_2023!G4/EPF_Nacional_2018_2023!B4-1)*100</f>
        <v>26.2863664454352</v>
      </c>
    </row>
    <row r="4" customFormat="false" ht="15" hidden="false" customHeight="false" outlineLevel="0" collapsed="false">
      <c r="A4" s="12" t="s">
        <v>116</v>
      </c>
      <c r="B4" s="16" t="n">
        <f aca="false">EPF_Madrid_2018_2023!G7</f>
        <v>457.73</v>
      </c>
      <c r="C4" s="16" t="n">
        <f aca="false">EPF_Nacional_2018_2023!G7</f>
        <v>473.61</v>
      </c>
      <c r="D4" s="20" t="n">
        <f aca="false">B4/C4</f>
        <v>0.966470302569625</v>
      </c>
      <c r="E4" s="16" t="n">
        <f aca="false">EPF_Madrid_2018_2023!G8</f>
        <v>179.49</v>
      </c>
      <c r="F4" s="16" t="n">
        <f aca="false">EPF_Nacional_2018_2023!G8</f>
        <v>190.51</v>
      </c>
      <c r="G4" s="15" t="n">
        <f aca="false">EPF_Madrid_2018_2023!G9</f>
        <v>1.23</v>
      </c>
      <c r="H4" s="15" t="n">
        <f aca="false">EPF_Nacional_2018_2023!G9</f>
        <v>1.45</v>
      </c>
      <c r="I4" s="20" t="n">
        <f aca="false">G4-H4</f>
        <v>-0.22</v>
      </c>
      <c r="J4" s="13" t="n">
        <f aca="false">(EPF_Madrid_2018_2023!G7/EPF_Madrid_2018_2023!B7-1)*100</f>
        <v>-7.24258820191703</v>
      </c>
      <c r="K4" s="13" t="n">
        <f aca="false">(EPF_Nacional_2018_2023!G7/EPF_Nacional_2018_2023!B7-1)*100</f>
        <v>-8.72456059204439</v>
      </c>
    </row>
    <row r="5" customFormat="false" ht="15" hidden="false" customHeight="false" outlineLevel="0" collapsed="false">
      <c r="A5" s="12" t="s">
        <v>117</v>
      </c>
      <c r="B5" s="16" t="n">
        <f aca="false">EPF_Madrid_2018_2023!G10</f>
        <v>1323.8</v>
      </c>
      <c r="C5" s="16" t="n">
        <f aca="false">EPF_Nacional_2018_2023!G10</f>
        <v>1319.38</v>
      </c>
      <c r="D5" s="20" t="n">
        <f aca="false">B5/C5</f>
        <v>1.00335005836075</v>
      </c>
      <c r="E5" s="16" t="n">
        <f aca="false">EPF_Madrid_2018_2023!G11</f>
        <v>519.1</v>
      </c>
      <c r="F5" s="16" t="n">
        <f aca="false">EPF_Nacional_2018_2023!G11</f>
        <v>530.72</v>
      </c>
      <c r="G5" s="15" t="n">
        <f aca="false">EPF_Madrid_2018_2023!G12</f>
        <v>3.54</v>
      </c>
      <c r="H5" s="15" t="n">
        <f aca="false">EPF_Nacional_2018_2023!G12</f>
        <v>4.05</v>
      </c>
      <c r="I5" s="20" t="n">
        <f aca="false">G5-H5</f>
        <v>-0.51</v>
      </c>
      <c r="J5" s="13" t="n">
        <f aca="false">(EPF_Madrid_2018_2023!G10/EPF_Madrid_2018_2023!B10-1)*100</f>
        <v>-11.0319567189758</v>
      </c>
      <c r="K5" s="13" t="n">
        <f aca="false">(EPF_Nacional_2018_2023!G10/EPF_Nacional_2018_2023!B10-1)*100</f>
        <v>-9.82359494501437</v>
      </c>
    </row>
    <row r="6" customFormat="false" ht="15" hidden="false" customHeight="false" outlineLevel="0" collapsed="false">
      <c r="A6" s="12" t="s">
        <v>155</v>
      </c>
      <c r="B6" s="16" t="n">
        <f aca="false">EPF_Madrid_2018_2023!G13</f>
        <v>13076.74</v>
      </c>
      <c r="C6" s="16" t="n">
        <f aca="false">EPF_Nacional_2018_2023!G13</f>
        <v>10367.26</v>
      </c>
      <c r="D6" s="20" t="n">
        <f aca="false">B6/C6</f>
        <v>1.26134967194804</v>
      </c>
      <c r="E6" s="16" t="n">
        <f aca="false">EPF_Madrid_2018_2023!G14</f>
        <v>5127.77</v>
      </c>
      <c r="F6" s="16" t="n">
        <f aca="false">EPF_Nacional_2018_2023!G14</f>
        <v>4170.25</v>
      </c>
      <c r="G6" s="15" t="n">
        <f aca="false">EPF_Madrid_2018_2023!G15</f>
        <v>35</v>
      </c>
      <c r="H6" s="15" t="n">
        <f aca="false">EPF_Nacional_2018_2023!G15</f>
        <v>31.79</v>
      </c>
      <c r="I6" s="20" t="n">
        <f aca="false">G6-H6</f>
        <v>3.21</v>
      </c>
      <c r="J6" s="13" t="n">
        <f aca="false">(EPF_Madrid_2018_2023!G13/EPF_Madrid_2018_2023!B13-1)*100</f>
        <v>11.4828701548702</v>
      </c>
      <c r="K6" s="13" t="n">
        <f aca="false">(EPF_Nacional_2018_2023!G13/EPF_Nacional_2018_2023!B13-1)*100</f>
        <v>12.9238896604308</v>
      </c>
    </row>
    <row r="7" customFormat="false" ht="15" hidden="false" customHeight="false" outlineLevel="0" collapsed="false">
      <c r="A7" s="12" t="s">
        <v>119</v>
      </c>
      <c r="B7" s="16" t="n">
        <f aca="false">EPF_Madrid_2018_2023!G16</f>
        <v>1484.26</v>
      </c>
      <c r="C7" s="16" t="n">
        <f aca="false">EPF_Nacional_2018_2023!G16</f>
        <v>1349.33</v>
      </c>
      <c r="D7" s="20" t="n">
        <f aca="false">B7/C7</f>
        <v>1.09999777667435</v>
      </c>
      <c r="E7" s="16" t="n">
        <f aca="false">EPF_Madrid_2018_2023!G17</f>
        <v>582.02</v>
      </c>
      <c r="F7" s="16" t="n">
        <f aca="false">EPF_Nacional_2018_2023!G17</f>
        <v>542.77</v>
      </c>
      <c r="G7" s="15" t="n">
        <f aca="false">EPF_Madrid_2018_2023!G18</f>
        <v>3.97</v>
      </c>
      <c r="H7" s="15" t="n">
        <f aca="false">EPF_Nacional_2018_2023!G18</f>
        <v>4.14</v>
      </c>
      <c r="I7" s="20" t="n">
        <f aca="false">G7-H7</f>
        <v>-0.169999999999999</v>
      </c>
      <c r="J7" s="13" t="n">
        <f aca="false">(EPF_Madrid_2018_2023!G16/EPF_Madrid_2018_2023!B16-1)*100</f>
        <v>-6.50448498286635</v>
      </c>
      <c r="K7" s="13" t="n">
        <f aca="false">(EPF_Nacional_2018_2023!G16/EPF_Nacional_2018_2023!B16-1)*100</f>
        <v>-1.64588056067819</v>
      </c>
    </row>
    <row r="8" customFormat="false" ht="15" hidden="false" customHeight="false" outlineLevel="0" collapsed="false">
      <c r="A8" s="12" t="s">
        <v>120</v>
      </c>
      <c r="B8" s="16" t="n">
        <f aca="false">EPF_Madrid_2018_2023!G19</f>
        <v>1301.18</v>
      </c>
      <c r="C8" s="16" t="n">
        <f aca="false">EPF_Nacional_2018_2023!G19</f>
        <v>1242.68</v>
      </c>
      <c r="D8" s="20" t="n">
        <f aca="false">B8/C8</f>
        <v>1.0470756751537</v>
      </c>
      <c r="E8" s="16" t="n">
        <f aca="false">EPF_Madrid_2018_2023!G20</f>
        <v>510.23</v>
      </c>
      <c r="F8" s="16" t="n">
        <f aca="false">EPF_Nacional_2018_2023!G20</f>
        <v>499.87</v>
      </c>
      <c r="G8" s="15" t="n">
        <f aca="false">EPF_Madrid_2018_2023!G21</f>
        <v>3.48</v>
      </c>
      <c r="H8" s="15" t="n">
        <f aca="false">EPF_Nacional_2018_2023!G21</f>
        <v>3.81</v>
      </c>
      <c r="I8" s="20" t="n">
        <f aca="false">G8-H8</f>
        <v>-0.33</v>
      </c>
      <c r="J8" s="13" t="n">
        <f aca="false">(EPF_Madrid_2018_2023!G19/EPF_Madrid_2018_2023!B19-1)*100</f>
        <v>32.9702110265189</v>
      </c>
      <c r="K8" s="13" t="n">
        <f aca="false">(EPF_Nacional_2018_2023!G19/EPF_Nacional_2018_2023!B19-1)*100</f>
        <v>23.0717426613319</v>
      </c>
    </row>
    <row r="9" customFormat="false" ht="15" hidden="false" customHeight="false" outlineLevel="0" collapsed="false">
      <c r="A9" s="12" t="s">
        <v>121</v>
      </c>
      <c r="B9" s="16" t="n">
        <f aca="false">EPF_Madrid_2018_2023!G22</f>
        <v>4146.29</v>
      </c>
      <c r="C9" s="16" t="n">
        <f aca="false">EPF_Nacional_2018_2023!G22</f>
        <v>3777.71</v>
      </c>
      <c r="D9" s="20" t="n">
        <f aca="false">B9/C9</f>
        <v>1.09756704458521</v>
      </c>
      <c r="E9" s="16" t="n">
        <f aca="false">EPF_Madrid_2018_2023!G23</f>
        <v>1625.88</v>
      </c>
      <c r="F9" s="16" t="n">
        <f aca="false">EPF_Nacional_2018_2023!G23</f>
        <v>1519.59</v>
      </c>
      <c r="G9" s="15" t="n">
        <f aca="false">EPF_Madrid_2018_2023!G24</f>
        <v>11.1</v>
      </c>
      <c r="H9" s="15" t="n">
        <f aca="false">EPF_Nacional_2018_2023!G24</f>
        <v>11.58</v>
      </c>
      <c r="I9" s="20" t="n">
        <f aca="false">G9-H9</f>
        <v>-0.48</v>
      </c>
      <c r="J9" s="13" t="n">
        <f aca="false">(EPF_Madrid_2018_2023!G22/EPF_Madrid_2018_2023!B22-1)*100</f>
        <v>-2.27283440811555</v>
      </c>
      <c r="K9" s="13" t="n">
        <f aca="false">(EPF_Nacional_2018_2023!G22/EPF_Nacional_2018_2023!B22-1)*100</f>
        <v>-0.329797029716028</v>
      </c>
    </row>
    <row r="10" customFormat="false" ht="15" hidden="false" customHeight="false" outlineLevel="0" collapsed="false">
      <c r="A10" s="12" t="s">
        <v>225</v>
      </c>
      <c r="B10" s="16" t="n">
        <f aca="false">EPF_Madrid_2018_2023!G25</f>
        <v>1008.64</v>
      </c>
      <c r="C10" s="16" t="n">
        <f aca="false">EPF_Nacional_2018_2023!G25</f>
        <v>896.08</v>
      </c>
      <c r="D10" s="20" t="n">
        <f aca="false">B10/C10</f>
        <v>1.12561378448353</v>
      </c>
      <c r="E10" s="16" t="n">
        <f aca="false">EPF_Madrid_2018_2023!G26</f>
        <v>395.52</v>
      </c>
      <c r="F10" s="16" t="n">
        <f aca="false">EPF_Nacional_2018_2023!G26</f>
        <v>360.45</v>
      </c>
      <c r="G10" s="15" t="n">
        <f aca="false">EPF_Madrid_2018_2023!G27</f>
        <v>2.7</v>
      </c>
      <c r="H10" s="15" t="n">
        <f aca="false">EPF_Nacional_2018_2023!G27</f>
        <v>2.75</v>
      </c>
      <c r="I10" s="20" t="n">
        <f aca="false">G10-H10</f>
        <v>-0.0499999999999998</v>
      </c>
      <c r="J10" s="13" t="n">
        <f aca="false">(EPF_Madrid_2018_2023!G25/EPF_Madrid_2018_2023!B25-1)*100</f>
        <v>-4.26454815531953</v>
      </c>
      <c r="K10" s="13" t="n">
        <f aca="false">(EPF_Nacional_2018_2023!G25/EPF_Nacional_2018_2023!B25-1)*100</f>
        <v>-7.04660740033817</v>
      </c>
    </row>
    <row r="11" customFormat="false" ht="15" hidden="false" customHeight="false" outlineLevel="0" collapsed="false">
      <c r="A11" s="12" t="s">
        <v>165</v>
      </c>
      <c r="B11" s="16" t="n">
        <f aca="false">EPF_Madrid_2018_2023!G28</f>
        <v>1884.54</v>
      </c>
      <c r="C11" s="16" t="n">
        <f aca="false">EPF_Nacional_2018_2023!G28</f>
        <v>1651.06</v>
      </c>
      <c r="D11" s="20" t="n">
        <f aca="false">B11/C11</f>
        <v>1.14141218368805</v>
      </c>
      <c r="E11" s="16" t="n">
        <f aca="false">EPF_Madrid_2018_2023!G29</f>
        <v>738.98</v>
      </c>
      <c r="F11" s="16" t="n">
        <f aca="false">EPF_Nacional_2018_2023!G29</f>
        <v>664.14</v>
      </c>
      <c r="G11" s="15" t="n">
        <f aca="false">EPF_Madrid_2018_2023!G30</f>
        <v>5.04</v>
      </c>
      <c r="H11" s="15" t="n">
        <f aca="false">EPF_Nacional_2018_2023!G30</f>
        <v>5.06</v>
      </c>
      <c r="I11" s="20" t="n">
        <f aca="false">G11-H11</f>
        <v>-0.0199999999999996</v>
      </c>
      <c r="J11" s="13" t="n">
        <f aca="false">(EPF_Madrid_2018_2023!G28/EPF_Madrid_2018_2023!B28-1)*100</f>
        <v>-4.93116547023896</v>
      </c>
      <c r="K11" s="13" t="n">
        <f aca="false">(EPF_Nacional_2018_2023!G28/EPF_Nacional_2018_2023!B28-1)*100</f>
        <v>0.480780934297331</v>
      </c>
    </row>
    <row r="12" customFormat="false" ht="15" hidden="false" customHeight="false" outlineLevel="0" collapsed="false">
      <c r="A12" s="12" t="s">
        <v>124</v>
      </c>
      <c r="B12" s="16" t="n">
        <f aca="false">EPF_Madrid_2018_2023!G31</f>
        <v>889.38</v>
      </c>
      <c r="C12" s="16" t="n">
        <f aca="false">EPF_Nacional_2018_2023!G31</f>
        <v>485.8</v>
      </c>
      <c r="D12" s="20" t="n">
        <f aca="false">B12/C12</f>
        <v>1.83075339645945</v>
      </c>
      <c r="E12" s="16" t="n">
        <f aca="false">EPF_Madrid_2018_2023!G32</f>
        <v>348.75</v>
      </c>
      <c r="F12" s="16" t="n">
        <f aca="false">EPF_Nacional_2018_2023!G32</f>
        <v>195.42</v>
      </c>
      <c r="G12" s="15" t="n">
        <f aca="false">EPF_Madrid_2018_2023!G33</f>
        <v>2.38</v>
      </c>
      <c r="H12" s="15" t="n">
        <f aca="false">EPF_Nacional_2018_2023!G33</f>
        <v>1.49</v>
      </c>
      <c r="I12" s="20" t="n">
        <f aca="false">G12-H12</f>
        <v>0.89</v>
      </c>
      <c r="J12" s="13" t="n">
        <f aca="false">(EPF_Madrid_2018_2023!G31/EPF_Madrid_2018_2023!B31-1)*100</f>
        <v>14.7987040646419</v>
      </c>
      <c r="K12" s="13" t="n">
        <f aca="false">(EPF_Nacional_2018_2023!G31/EPF_Nacional_2018_2023!B31-1)*100</f>
        <v>5.45738722702209</v>
      </c>
    </row>
    <row r="13" customFormat="false" ht="15" hidden="false" customHeight="false" outlineLevel="0" collapsed="false">
      <c r="A13" s="12" t="s">
        <v>158</v>
      </c>
      <c r="B13" s="16" t="n">
        <f aca="false">EPF_Madrid_2018_2023!G34</f>
        <v>3907.52</v>
      </c>
      <c r="C13" s="16" t="n">
        <f aca="false">EPF_Nacional_2018_2023!G34</f>
        <v>3310.67</v>
      </c>
      <c r="D13" s="20" t="n">
        <f aca="false">B13/C13</f>
        <v>1.18028072867426</v>
      </c>
      <c r="E13" s="16" t="n">
        <f aca="false">EPF_Madrid_2018_2023!G35</f>
        <v>1532.25</v>
      </c>
      <c r="F13" s="16" t="n">
        <f aca="false">EPF_Nacional_2018_2023!G35</f>
        <v>1331.72</v>
      </c>
      <c r="G13" s="15" t="n">
        <f aca="false">EPF_Madrid_2018_2023!G36</f>
        <v>10.46</v>
      </c>
      <c r="H13" s="15" t="n">
        <f aca="false">EPF_Nacional_2018_2023!G36</f>
        <v>10.15</v>
      </c>
      <c r="I13" s="20" t="n">
        <f aca="false">G13-H13</f>
        <v>0.310000000000001</v>
      </c>
      <c r="J13" s="13" t="n">
        <f aca="false">(EPF_Madrid_2018_2023!G34/EPF_Madrid_2018_2023!B34-1)*100</f>
        <v>3.40144695129374</v>
      </c>
      <c r="K13" s="13" t="n">
        <f aca="false">(EPF_Nacional_2018_2023!G34/EPF_Nacional_2018_2023!B34-1)*100</f>
        <v>12.3190028362442</v>
      </c>
    </row>
    <row r="14" customFormat="false" ht="15" hidden="false" customHeight="false" outlineLevel="0" collapsed="false">
      <c r="A14" s="12" t="s">
        <v>226</v>
      </c>
      <c r="B14" s="16" t="n">
        <f aca="false">EPF_Madrid_2018_2023!G37</f>
        <v>2645.18</v>
      </c>
      <c r="C14" s="16" t="n">
        <f aca="false">EPF_Nacional_2018_2023!G37</f>
        <v>2409.58</v>
      </c>
      <c r="D14" s="20" t="n">
        <f aca="false">B14/C14</f>
        <v>1.09777637596594</v>
      </c>
      <c r="E14" s="16" t="n">
        <f aca="false">EPF_Madrid_2018_2023!G38</f>
        <v>1037.25</v>
      </c>
      <c r="F14" s="16" t="n">
        <f aca="false">EPF_Nacional_2018_2023!G38</f>
        <v>969.26</v>
      </c>
      <c r="G14" s="15" t="n">
        <f aca="false">EPF_Madrid_2018_2023!G39</f>
        <v>7.08</v>
      </c>
      <c r="H14" s="15" t="n">
        <f aca="false">EPF_Nacional_2018_2023!G39</f>
        <v>7.39</v>
      </c>
      <c r="I14" s="20" t="n">
        <f aca="false">G14-H14</f>
        <v>-0.31</v>
      </c>
      <c r="J14" s="13" t="n">
        <f aca="false">(EPF_Madrid_2018_2023!G37/EPF_Madrid_2018_2023!B37-1)*100</f>
        <v>3.56359820841294</v>
      </c>
      <c r="K14" s="13" t="n">
        <f aca="false">(EPF_Nacional_2018_2023!G37/EPF_Nacional_2018_2023!B37-1)*100</f>
        <v>4.85643913349985</v>
      </c>
    </row>
    <row r="16" customFormat="false" ht="15" hidden="false" customHeight="false" outlineLevel="0" collapsed="false">
      <c r="A16" s="11"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8"/>
    <col collapsed="false" customWidth="true" hidden="false" outlineLevel="0" max="4" min="3" style="0" width="20"/>
    <col collapsed="false" customWidth="true" hidden="false" outlineLevel="0" max="7" min="5" style="0" width="18"/>
    <col collapsed="false" customWidth="true" hidden="false" outlineLevel="0" max="8" min="8" style="0" width="22"/>
  </cols>
  <sheetData>
    <row r="1" customFormat="false" ht="17.35" hidden="false" customHeight="false" outlineLevel="0" collapsed="false">
      <c r="A1" s="1" t="s">
        <v>228</v>
      </c>
    </row>
    <row r="2" customFormat="false" ht="15" hidden="false" customHeight="false" outlineLevel="0" collapsed="false">
      <c r="A2" s="11" t="s">
        <v>229</v>
      </c>
    </row>
    <row r="4" customFormat="false" ht="43.5" hidden="false" customHeight="true" outlineLevel="0" collapsed="false">
      <c r="A4" s="4" t="s">
        <v>230</v>
      </c>
      <c r="B4" s="4" t="s">
        <v>231</v>
      </c>
      <c r="C4" s="4" t="s">
        <v>232</v>
      </c>
      <c r="D4" s="4" t="s">
        <v>233</v>
      </c>
      <c r="E4" s="4" t="s">
        <v>234</v>
      </c>
      <c r="F4" s="4" t="s">
        <v>235</v>
      </c>
      <c r="G4" s="4" t="s">
        <v>236</v>
      </c>
      <c r="H4" s="4" t="s">
        <v>237</v>
      </c>
    </row>
    <row r="5" customFormat="false" ht="15" hidden="false" customHeight="false" outlineLevel="0" collapsed="false">
      <c r="A5" s="12" t="s">
        <v>115</v>
      </c>
      <c r="B5" s="15" t="n">
        <f aca="false">EPF_Comparativa_2023!G3</f>
        <v>14.01</v>
      </c>
      <c r="C5" s="15" t="n">
        <f aca="false">IPC_Madrid_Grupos!C3</f>
        <v>2.7</v>
      </c>
      <c r="D5" s="15" t="n">
        <f aca="false">IPC_Madrid_Grupos!O3</f>
        <v>3.2</v>
      </c>
      <c r="E5" s="16" t="n">
        <f aca="false">EPF_Comparativa_2023!B3</f>
        <v>5235.2</v>
      </c>
      <c r="F5" s="16" t="n">
        <f aca="false">EPF_Comparativa_2023!C3</f>
        <v>5333.49</v>
      </c>
      <c r="G5" s="15" t="n">
        <f aca="false">EPF_Comparativa_2023!H3</f>
        <v>16.35</v>
      </c>
      <c r="H5" s="15" t="n">
        <f aca="false">D5-D$11</f>
        <v>-2.1</v>
      </c>
    </row>
    <row r="6" customFormat="false" ht="15" hidden="false" customHeight="false" outlineLevel="0" collapsed="false">
      <c r="A6" s="12" t="s">
        <v>118</v>
      </c>
      <c r="B6" s="15" t="n">
        <f aca="false">EPF_Comparativa_2023!G6</f>
        <v>35</v>
      </c>
      <c r="C6" s="15" t="n">
        <f aca="false">IPC_Madrid_Grupos!C6</f>
        <v>7.8</v>
      </c>
      <c r="D6" s="15" t="n">
        <f aca="false">IPC_Madrid_Grupos!O6</f>
        <v>5.9</v>
      </c>
      <c r="E6" s="16" t="n">
        <f aca="false">EPF_Comparativa_2023!B6</f>
        <v>13076.74</v>
      </c>
      <c r="F6" s="16" t="n">
        <f aca="false">EPF_Comparativa_2023!C6</f>
        <v>10367.26</v>
      </c>
      <c r="G6" s="15" t="n">
        <f aca="false">EPF_Comparativa_2023!H6</f>
        <v>31.79</v>
      </c>
      <c r="H6" s="15" t="n">
        <f aca="false">D6-D$11</f>
        <v>0.600000000000001</v>
      </c>
    </row>
    <row r="7" customFormat="false" ht="15" hidden="false" customHeight="false" outlineLevel="0" collapsed="false">
      <c r="A7" s="12" t="s">
        <v>120</v>
      </c>
      <c r="B7" s="15" t="n">
        <f aca="false">EPF_Comparativa_2023!G8</f>
        <v>3.48</v>
      </c>
      <c r="C7" s="15" t="n">
        <f aca="false">IPC_Madrid_Grupos!C8</f>
        <v>2.3</v>
      </c>
      <c r="D7" s="15" t="n">
        <f aca="false">IPC_Madrid_Grupos!O8</f>
        <v>2.6</v>
      </c>
      <c r="E7" s="16" t="n">
        <f aca="false">EPF_Comparativa_2023!B8</f>
        <v>1301.18</v>
      </c>
      <c r="F7" s="16" t="n">
        <f aca="false">EPF_Comparativa_2023!C8</f>
        <v>1242.68</v>
      </c>
      <c r="G7" s="15" t="n">
        <f aca="false">EPF_Comparativa_2023!H8</f>
        <v>3.81</v>
      </c>
      <c r="H7" s="15" t="n">
        <f aca="false">D7-D$11</f>
        <v>-2.7</v>
      </c>
    </row>
    <row r="8" customFormat="false" ht="15" hidden="false" customHeight="false" outlineLevel="0" collapsed="false">
      <c r="A8" s="12" t="s">
        <v>121</v>
      </c>
      <c r="B8" s="15" t="n">
        <f aca="false">EPF_Comparativa_2023!G9</f>
        <v>11.1</v>
      </c>
      <c r="C8" s="15" t="n">
        <f aca="false">IPC_Madrid_Grupos!C9</f>
        <v>3.7</v>
      </c>
      <c r="D8" s="15" t="n">
        <f aca="false">IPC_Madrid_Grupos!O9</f>
        <v>11.5</v>
      </c>
      <c r="E8" s="16" t="n">
        <f aca="false">EPF_Comparativa_2023!B9</f>
        <v>4146.29</v>
      </c>
      <c r="F8" s="16" t="n">
        <f aca="false">EPF_Comparativa_2023!C9</f>
        <v>3777.71</v>
      </c>
      <c r="G8" s="15" t="n">
        <f aca="false">EPF_Comparativa_2023!H9</f>
        <v>11.58</v>
      </c>
      <c r="H8" s="15" t="n">
        <f aca="false">D8-D$11</f>
        <v>6.2</v>
      </c>
    </row>
    <row r="9" customFormat="false" ht="15" hidden="false" customHeight="false" outlineLevel="0" collapsed="false">
      <c r="A9" s="12" t="s">
        <v>124</v>
      </c>
      <c r="B9" s="15" t="n">
        <f aca="false">EPF_Comparativa_2023!G12</f>
        <v>2.38</v>
      </c>
      <c r="C9" s="15" t="n">
        <f aca="false">IPC_Madrid_Grupos!C12</f>
        <v>2.8</v>
      </c>
      <c r="D9" s="15" t="n">
        <f aca="false">IPC_Madrid_Grupos!O12</f>
        <v>2.1</v>
      </c>
      <c r="E9" s="16" t="n">
        <f aca="false">EPF_Comparativa_2023!B12</f>
        <v>889.38</v>
      </c>
      <c r="F9" s="16" t="n">
        <f aca="false">EPF_Comparativa_2023!C12</f>
        <v>485.8</v>
      </c>
      <c r="G9" s="15" t="n">
        <f aca="false">EPF_Comparativa_2023!H12</f>
        <v>1.49</v>
      </c>
      <c r="H9" s="15" t="n">
        <f aca="false">D9-D$11</f>
        <v>-3.2</v>
      </c>
    </row>
    <row r="10" customFormat="false" ht="15" hidden="false" customHeight="false" outlineLevel="0" collapsed="false">
      <c r="A10" s="2" t="s">
        <v>238</v>
      </c>
      <c r="B10" s="20" t="n">
        <f aca="false">SUM(B5:B9)</f>
        <v>65.97</v>
      </c>
      <c r="C10" s="22" t="n">
        <f aca="false">SUMPRODUCT($B5:$B9,C5:C9)/SUM($B5:$B9)</f>
        <v>5.55654085190238</v>
      </c>
      <c r="D10" s="22" t="n">
        <f aca="false">SUMPRODUCT($B5:$B9,D5:D9)/SUM($B5:$B9)</f>
        <v>5.95767773230256</v>
      </c>
      <c r="E10" s="17" t="n">
        <f aca="false">SUM(E5:E9)</f>
        <v>24648.79</v>
      </c>
      <c r="F10" s="17" t="n">
        <f aca="false">SUM(F5:F9)</f>
        <v>21206.94</v>
      </c>
      <c r="G10" s="20" t="n">
        <f aca="false">SUM(G5:G9)</f>
        <v>65.02</v>
      </c>
    </row>
    <row r="11" customFormat="false" ht="15" hidden="false" customHeight="false" outlineLevel="0" collapsed="false">
      <c r="A11" s="12" t="s">
        <v>239</v>
      </c>
      <c r="C11" s="15" t="n">
        <f aca="false">IPC_Madrid_Grupos!C2</f>
        <v>3.5</v>
      </c>
      <c r="D11" s="15" t="n">
        <f aca="false">IPC_Madrid_Grupos!O2</f>
        <v>5.3</v>
      </c>
    </row>
    <row r="12" customFormat="false" ht="15" hidden="false" customHeight="false" outlineLevel="0" collapsed="false">
      <c r="A12" s="12" t="s">
        <v>240</v>
      </c>
      <c r="C12" s="20" t="n">
        <f aca="false">C10-C11</f>
        <v>2.05654085190238</v>
      </c>
      <c r="D12" s="20" t="n">
        <f aca="false">D10-D11</f>
        <v>0.657677732302562</v>
      </c>
    </row>
    <row r="13" customFormat="false" ht="15" hidden="false" customHeight="false" outlineLevel="0" collapsed="false">
      <c r="A13" s="12" t="s">
        <v>241</v>
      </c>
      <c r="B13" s="13" t="n">
        <f aca="false">E10/EPF_Comparativa_2023!B2*100</f>
        <v>65.9755886368667</v>
      </c>
    </row>
    <row r="14" customFormat="false" ht="15" hidden="false" customHeight="false" outlineLevel="0" collapsed="false">
      <c r="A14" s="12" t="s">
        <v>242</v>
      </c>
      <c r="B14" s="13" t="n">
        <f aca="false">F10/EPF_Comparativa_2023!C2*100</f>
        <v>65.0187358239623</v>
      </c>
    </row>
    <row r="16" customFormat="false" ht="60" hidden="false" customHeight="true" outlineLevel="0" collapsed="false">
      <c r="A16" s="23" t="s">
        <v>243</v>
      </c>
      <c r="B16" s="23"/>
      <c r="C16" s="23"/>
      <c r="D16" s="23"/>
      <c r="E16" s="23"/>
      <c r="F16" s="23"/>
      <c r="G16" s="23"/>
      <c r="H16" s="23"/>
    </row>
  </sheetData>
  <mergeCells count="1">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7" min="2" style="0" width="15"/>
  </cols>
  <sheetData>
    <row r="1" customFormat="false" ht="57.75" hidden="false" customHeight="true" outlineLevel="0" collapsed="false">
      <c r="A1" s="4" t="s">
        <v>85</v>
      </c>
      <c r="B1" s="4" t="s">
        <v>244</v>
      </c>
      <c r="C1" s="4" t="s">
        <v>245</v>
      </c>
      <c r="D1" s="4" t="s">
        <v>246</v>
      </c>
      <c r="E1" s="4" t="s">
        <v>247</v>
      </c>
      <c r="F1" s="4" t="s">
        <v>248</v>
      </c>
      <c r="G1" s="4" t="s">
        <v>249</v>
      </c>
      <c r="H1" s="4" t="s">
        <v>250</v>
      </c>
      <c r="I1" s="4" t="s">
        <v>251</v>
      </c>
      <c r="J1" s="4" t="s">
        <v>252</v>
      </c>
      <c r="K1" s="4" t="s">
        <v>253</v>
      </c>
      <c r="L1" s="4" t="s">
        <v>254</v>
      </c>
      <c r="M1" s="4" t="s">
        <v>255</v>
      </c>
      <c r="N1" s="4" t="s">
        <v>256</v>
      </c>
      <c r="O1" s="4" t="s">
        <v>257</v>
      </c>
      <c r="P1" s="4" t="s">
        <v>258</v>
      </c>
      <c r="Q1" s="4" t="s">
        <v>259</v>
      </c>
    </row>
    <row r="2" customFormat="false" ht="15" hidden="false" customHeight="false" outlineLevel="0" collapsed="false">
      <c r="A2" s="12" t="n">
        <v>2008</v>
      </c>
      <c r="B2" s="21" t="n">
        <v>21883.42</v>
      </c>
      <c r="C2" s="21" t="n">
        <v>18244.4</v>
      </c>
      <c r="D2" s="21" t="n">
        <v>25269.61</v>
      </c>
      <c r="E2" s="21" t="n">
        <v>20269.59</v>
      </c>
      <c r="F2" s="13" t="n">
        <f aca="false">IPC_General_Anual!B8</f>
        <v>1.4</v>
      </c>
      <c r="G2" s="13" t="n">
        <f aca="false">IPC_General_Anual!C8</f>
        <v>1.6</v>
      </c>
      <c r="H2" s="19" t="n">
        <v>100</v>
      </c>
      <c r="I2" s="19" t="n">
        <v>100</v>
      </c>
      <c r="J2" s="14" t="n">
        <f aca="false">B2/B$2*100</f>
        <v>100</v>
      </c>
      <c r="K2" s="14" t="n">
        <f aca="false">C2/C$2*100</f>
        <v>100</v>
      </c>
      <c r="L2" s="14" t="n">
        <f aca="false">D2/D$2*100</f>
        <v>100</v>
      </c>
      <c r="M2" s="14" t="n">
        <f aca="false">E2/E$2*100</f>
        <v>100</v>
      </c>
      <c r="N2" s="14" t="n">
        <f aca="false">J2/H2*100</f>
        <v>100</v>
      </c>
      <c r="O2" s="14" t="n">
        <f aca="false">K2/H2*100</f>
        <v>100</v>
      </c>
      <c r="P2" s="14" t="n">
        <f aca="false">L2/I2*100</f>
        <v>100</v>
      </c>
      <c r="Q2" s="14" t="n">
        <f aca="false">M2/I2*100</f>
        <v>100</v>
      </c>
    </row>
    <row r="3" customFormat="false" ht="15" hidden="false" customHeight="false" outlineLevel="0" collapsed="false">
      <c r="A3" s="12" t="n">
        <v>2009</v>
      </c>
      <c r="B3" s="21" t="n">
        <v>22511.47</v>
      </c>
      <c r="C3" s="21" t="n">
        <v>18803.28</v>
      </c>
      <c r="D3" s="21" t="n">
        <v>25860.65</v>
      </c>
      <c r="E3" s="21" t="n">
        <v>20712.42</v>
      </c>
      <c r="F3" s="13" t="n">
        <f aca="false">IPC_General_Anual!B9</f>
        <v>0.8</v>
      </c>
      <c r="G3" s="13" t="n">
        <f aca="false">IPC_General_Anual!C9</f>
        <v>0.9</v>
      </c>
      <c r="H3" s="14" t="n">
        <f aca="false">H2*(1+F3/100)</f>
        <v>100.8</v>
      </c>
      <c r="I3" s="14" t="n">
        <f aca="false">I2*(1+G3/100)</f>
        <v>100.9</v>
      </c>
      <c r="J3" s="14" t="n">
        <f aca="false">B3/B$2*100</f>
        <v>102.869981017592</v>
      </c>
      <c r="K3" s="14" t="n">
        <f aca="false">C3/C$2*100</f>
        <v>103.063296134704</v>
      </c>
      <c r="L3" s="14" t="n">
        <f aca="false">D3/D$2*100</f>
        <v>102.33893597883</v>
      </c>
      <c r="M3" s="14" t="n">
        <f aca="false">E3/E$2*100</f>
        <v>102.184701318576</v>
      </c>
      <c r="N3" s="14" t="n">
        <f aca="false">J3/H3*100</f>
        <v>102.053552596818</v>
      </c>
      <c r="O3" s="14" t="n">
        <f aca="false">K3/H3*100</f>
        <v>102.245333466969</v>
      </c>
      <c r="P3" s="14" t="n">
        <f aca="false">L3/I3*100</f>
        <v>101.426101069207</v>
      </c>
      <c r="Q3" s="14" t="n">
        <f aca="false">M3/I3*100</f>
        <v>101.273242139322</v>
      </c>
    </row>
    <row r="4" customFormat="false" ht="15" hidden="false" customHeight="false" outlineLevel="0" collapsed="false">
      <c r="A4" s="12" t="n">
        <v>2010</v>
      </c>
      <c r="B4" s="21" t="n">
        <v>22790.2</v>
      </c>
      <c r="C4" s="21" t="n">
        <v>19017.09</v>
      </c>
      <c r="D4" s="21" t="n">
        <v>25988.95</v>
      </c>
      <c r="E4" s="21" t="n">
        <v>21319.25</v>
      </c>
      <c r="F4" s="13" t="n">
        <f aca="false">IPC_General_Anual!B10</f>
        <v>3</v>
      </c>
      <c r="G4" s="13" t="n">
        <f aca="false">IPC_General_Anual!C10</f>
        <v>3</v>
      </c>
      <c r="H4" s="14" t="n">
        <f aca="false">H3*(1+F4/100)</f>
        <v>103.824</v>
      </c>
      <c r="I4" s="14" t="n">
        <f aca="false">I3*(1+G4/100)</f>
        <v>103.927</v>
      </c>
      <c r="J4" s="14" t="n">
        <f aca="false">B4/B$2*100</f>
        <v>104.143685036434</v>
      </c>
      <c r="K4" s="14" t="n">
        <f aca="false">C4/C$2*100</f>
        <v>104.235217381772</v>
      </c>
      <c r="L4" s="14" t="n">
        <f aca="false">D4/D$2*100</f>
        <v>102.846660474776</v>
      </c>
      <c r="M4" s="14" t="n">
        <f aca="false">E4/E$2*100</f>
        <v>105.178496457008</v>
      </c>
      <c r="N4" s="14" t="n">
        <f aca="false">J4/H4*100</f>
        <v>100.307910537481</v>
      </c>
      <c r="O4" s="14" t="n">
        <f aca="false">K4/H4*100</f>
        <v>100.396071603648</v>
      </c>
      <c r="P4" s="14" t="n">
        <f aca="false">L4/I4*100</f>
        <v>98.9604823335378</v>
      </c>
      <c r="Q4" s="14" t="n">
        <f aca="false">M4/I4*100</f>
        <v>101.204207238742</v>
      </c>
    </row>
    <row r="5" customFormat="false" ht="15" hidden="false" customHeight="false" outlineLevel="0" collapsed="false">
      <c r="A5" s="12" t="n">
        <v>2011</v>
      </c>
      <c r="B5" s="21" t="n">
        <v>22899.35</v>
      </c>
      <c r="C5" s="21" t="n">
        <v>19303.51</v>
      </c>
      <c r="D5" s="21" t="n">
        <v>25845.2</v>
      </c>
      <c r="E5" s="21" t="n">
        <v>21045.69</v>
      </c>
      <c r="F5" s="13" t="n">
        <f aca="false">IPC_General_Anual!B11</f>
        <v>2.4</v>
      </c>
      <c r="G5" s="13" t="n">
        <f aca="false">IPC_General_Anual!C11</f>
        <v>2.5</v>
      </c>
      <c r="H5" s="14" t="n">
        <f aca="false">H4*(1+F5/100)</f>
        <v>106.315776</v>
      </c>
      <c r="I5" s="14" t="n">
        <f aca="false">I4*(1+G5/100)</f>
        <v>106.525175</v>
      </c>
      <c r="J5" s="14" t="n">
        <f aca="false">B5/B$2*100</f>
        <v>104.642464477673</v>
      </c>
      <c r="K5" s="14" t="n">
        <f aca="false">C5/C$2*100</f>
        <v>105.805123764004</v>
      </c>
      <c r="L5" s="14" t="n">
        <f aca="false">D5/D$2*100</f>
        <v>102.277795343893</v>
      </c>
      <c r="M5" s="14" t="n">
        <f aca="false">E5/E$2*100</f>
        <v>103.828888497498</v>
      </c>
      <c r="N5" s="14" t="n">
        <f aca="false">J5/H5*100</f>
        <v>98.4260929230983</v>
      </c>
      <c r="O5" s="14" t="n">
        <f aca="false">K5/H5*100</f>
        <v>99.5196834795283</v>
      </c>
      <c r="P5" s="14" t="n">
        <f aca="false">L5/I5*100</f>
        <v>96.0127926040894</v>
      </c>
      <c r="Q5" s="14" t="n">
        <f aca="false">M5/I5*100</f>
        <v>97.4688739046878</v>
      </c>
    </row>
    <row r="6" customFormat="false" ht="15" hidden="false" customHeight="false" outlineLevel="0" collapsed="false">
      <c r="A6" s="12" t="n">
        <v>2012</v>
      </c>
      <c r="B6" s="21" t="n">
        <v>22726.44</v>
      </c>
      <c r="C6" s="21" t="n">
        <v>19040.98</v>
      </c>
      <c r="D6" s="21" t="n">
        <v>26044.39</v>
      </c>
      <c r="E6" s="21" t="n">
        <v>21418.48</v>
      </c>
      <c r="F6" s="13" t="n">
        <f aca="false">IPC_General_Anual!B12</f>
        <v>2.9</v>
      </c>
      <c r="G6" s="13" t="n">
        <f aca="false">IPC_General_Anual!C12</f>
        <v>2.5</v>
      </c>
      <c r="H6" s="14" t="n">
        <f aca="false">H5*(1+F6/100)</f>
        <v>109.398933504</v>
      </c>
      <c r="I6" s="14" t="n">
        <f aca="false">I5*(1+G6/100)</f>
        <v>109.188304375</v>
      </c>
      <c r="J6" s="14" t="n">
        <f aca="false">B6/B$2*100</f>
        <v>103.852322900168</v>
      </c>
      <c r="K6" s="14" t="n">
        <f aca="false">C6/C$2*100</f>
        <v>104.366161671527</v>
      </c>
      <c r="L6" s="14" t="n">
        <f aca="false">D6/D$2*100</f>
        <v>103.066054442471</v>
      </c>
      <c r="M6" s="14" t="n">
        <f aca="false">E6/E$2*100</f>
        <v>105.668047553009</v>
      </c>
      <c r="N6" s="14" t="n">
        <f aca="false">J6/H6*100</f>
        <v>94.9299225996303</v>
      </c>
      <c r="O6" s="14" t="n">
        <f aca="false">K6/H6*100</f>
        <v>95.3996152692939</v>
      </c>
      <c r="P6" s="14" t="n">
        <f aca="false">L6/I6*100</f>
        <v>94.3929434864169</v>
      </c>
      <c r="Q6" s="14" t="n">
        <f aca="false">M6/I6*100</f>
        <v>96.7759762896393</v>
      </c>
    </row>
    <row r="7" customFormat="false" ht="15" hidden="false" customHeight="false" outlineLevel="0" collapsed="false">
      <c r="A7" s="12" t="n">
        <v>2013</v>
      </c>
      <c r="B7" s="21" t="n">
        <v>22697.86</v>
      </c>
      <c r="C7" s="21" t="n">
        <v>19029.66</v>
      </c>
      <c r="D7" s="21" t="n">
        <v>26215.36</v>
      </c>
      <c r="E7" s="21" t="n">
        <v>21273.89</v>
      </c>
      <c r="F7" s="13" t="n">
        <f aca="false">IPC_General_Anual!B13</f>
        <v>0.3</v>
      </c>
      <c r="G7" s="13" t="n">
        <f aca="false">IPC_General_Anual!C13</f>
        <v>0.2</v>
      </c>
      <c r="H7" s="14" t="n">
        <f aca="false">H6*(1+F7/100)</f>
        <v>109.727130304512</v>
      </c>
      <c r="I7" s="14" t="n">
        <f aca="false">I6*(1+G7/100)</f>
        <v>109.40668098375</v>
      </c>
      <c r="J7" s="14" t="n">
        <f aca="false">B7/B$2*100</f>
        <v>103.721721741848</v>
      </c>
      <c r="K7" s="14" t="n">
        <f aca="false">C7/C$2*100</f>
        <v>104.30411523536</v>
      </c>
      <c r="L7" s="14" t="n">
        <f aca="false">D7/D$2*100</f>
        <v>103.742637895876</v>
      </c>
      <c r="M7" s="14" t="n">
        <f aca="false">E7/E$2*100</f>
        <v>104.954712946833</v>
      </c>
      <c r="N7" s="14" t="n">
        <f aca="false">J7/H7*100</f>
        <v>94.5269610660577</v>
      </c>
      <c r="O7" s="14" t="n">
        <f aca="false">K7/H7*100</f>
        <v>95.0577263306693</v>
      </c>
      <c r="P7" s="14" t="n">
        <f aca="false">L7/I7*100</f>
        <v>94.8229458777608</v>
      </c>
      <c r="Q7" s="14" t="n">
        <f aca="false">M7/I7*100</f>
        <v>95.9308078840468</v>
      </c>
    </row>
    <row r="8" customFormat="false" ht="15" hidden="false" customHeight="false" outlineLevel="0" collapsed="false">
      <c r="A8" s="12" t="n">
        <v>2014</v>
      </c>
      <c r="B8" s="21" t="n">
        <v>22858.17</v>
      </c>
      <c r="C8" s="21" t="n">
        <v>19263.78</v>
      </c>
      <c r="D8" s="21" t="n">
        <v>26570.35</v>
      </c>
      <c r="E8" s="21" t="n">
        <v>21579.38</v>
      </c>
      <c r="F8" s="13" t="n">
        <f aca="false">IPC_General_Anual!B14</f>
        <v>-1</v>
      </c>
      <c r="G8" s="13" t="n">
        <f aca="false">IPC_General_Anual!C14</f>
        <v>-1.1</v>
      </c>
      <c r="H8" s="14" t="n">
        <f aca="false">H7*(1+F8/100)</f>
        <v>108.629859001467</v>
      </c>
      <c r="I8" s="14" t="n">
        <f aca="false">I7*(1+G8/100)</f>
        <v>108.203207492929</v>
      </c>
      <c r="J8" s="14" t="n">
        <f aca="false">B8/B$2*100</f>
        <v>104.454285481885</v>
      </c>
      <c r="K8" s="14" t="n">
        <f aca="false">C8/C$2*100</f>
        <v>105.587358312688</v>
      </c>
      <c r="L8" s="14" t="n">
        <f aca="false">D8/D$2*100</f>
        <v>105.147447863263</v>
      </c>
      <c r="M8" s="14" t="n">
        <f aca="false">E8/E$2*100</f>
        <v>106.46184752627</v>
      </c>
      <c r="N8" s="14" t="n">
        <f aca="false">J8/H8*100</f>
        <v>96.1561456877845</v>
      </c>
      <c r="O8" s="14" t="n">
        <f aca="false">K8/H8*100</f>
        <v>97.1992040524162</v>
      </c>
      <c r="P8" s="14" t="n">
        <f aca="false">L8/I8*100</f>
        <v>97.1759066108415</v>
      </c>
      <c r="Q8" s="14" t="n">
        <f aca="false">M8/I8*100</f>
        <v>98.3906577198528</v>
      </c>
    </row>
    <row r="9" customFormat="false" ht="15" hidden="false" customHeight="false" outlineLevel="0" collapsed="false">
      <c r="A9" s="12" t="n">
        <v>2015</v>
      </c>
      <c r="B9" s="21" t="n">
        <v>23106.3</v>
      </c>
      <c r="C9" s="21" t="n">
        <v>19466.49</v>
      </c>
      <c r="D9" s="21" t="n">
        <v>26448.04</v>
      </c>
      <c r="E9" s="21" t="n">
        <v>21307.78</v>
      </c>
      <c r="F9" s="13" t="n">
        <f aca="false">IPC_General_Anual!B15</f>
        <v>0</v>
      </c>
      <c r="G9" s="13" t="n">
        <f aca="false">IPC_General_Anual!C15</f>
        <v>0</v>
      </c>
      <c r="H9" s="14" t="n">
        <f aca="false">H8*(1+F9/100)</f>
        <v>108.629859001467</v>
      </c>
      <c r="I9" s="14" t="n">
        <f aca="false">I8*(1+G9/100)</f>
        <v>108.203207492929</v>
      </c>
      <c r="J9" s="14" t="n">
        <f aca="false">B9/B$2*100</f>
        <v>105.588157609734</v>
      </c>
      <c r="K9" s="14" t="n">
        <f aca="false">C9/C$2*100</f>
        <v>106.698438973055</v>
      </c>
      <c r="L9" s="14" t="n">
        <f aca="false">D9/D$2*100</f>
        <v>104.663427729989</v>
      </c>
      <c r="M9" s="14" t="n">
        <f aca="false">E9/E$2*100</f>
        <v>105.121909224607</v>
      </c>
      <c r="N9" s="14" t="n">
        <f aca="false">J9/H9*100</f>
        <v>97.1999398510754</v>
      </c>
      <c r="O9" s="14" t="n">
        <f aca="false">K9/H9*100</f>
        <v>98.2220173659748</v>
      </c>
      <c r="P9" s="14" t="n">
        <f aca="false">L9/I9*100</f>
        <v>96.7285814857463</v>
      </c>
      <c r="Q9" s="14" t="n">
        <f aca="false">M9/I9*100</f>
        <v>97.15230413246</v>
      </c>
    </row>
    <row r="10" customFormat="false" ht="15" hidden="false" customHeight="false" outlineLevel="0" collapsed="false">
      <c r="A10" s="12" t="n">
        <v>2016</v>
      </c>
      <c r="B10" s="21" t="n">
        <v>23156.34</v>
      </c>
      <c r="C10" s="21" t="n">
        <v>19432.62</v>
      </c>
      <c r="D10" s="21" t="n">
        <v>26330.14</v>
      </c>
      <c r="E10" s="21" t="n">
        <v>21165</v>
      </c>
      <c r="F10" s="13" t="n">
        <f aca="false">IPC_General_Anual!B16</f>
        <v>1.6</v>
      </c>
      <c r="G10" s="13" t="n">
        <f aca="false">IPC_General_Anual!C16</f>
        <v>1.4</v>
      </c>
      <c r="H10" s="14" t="n">
        <f aca="false">H9*(1+F10/100)</f>
        <v>110.36793674549</v>
      </c>
      <c r="I10" s="14" t="n">
        <f aca="false">I9*(1+G10/100)</f>
        <v>109.71805239783</v>
      </c>
      <c r="J10" s="14" t="n">
        <f aca="false">B10/B$2*100</f>
        <v>105.816823878535</v>
      </c>
      <c r="K10" s="14" t="n">
        <f aca="false">C10/C$2*100</f>
        <v>106.512792966609</v>
      </c>
      <c r="L10" s="14" t="n">
        <f aca="false">D10/D$2*100</f>
        <v>104.196859389599</v>
      </c>
      <c r="M10" s="14" t="n">
        <f aca="false">E10/E$2*100</f>
        <v>104.417504251443</v>
      </c>
      <c r="N10" s="14" t="n">
        <f aca="false">J10/H10*100</f>
        <v>95.8764175528163</v>
      </c>
      <c r="O10" s="14" t="n">
        <f aca="false">K10/H10*100</f>
        <v>96.5070074764817</v>
      </c>
      <c r="P10" s="14" t="n">
        <f aca="false">L10/I10*100</f>
        <v>94.967835385729</v>
      </c>
      <c r="Q10" s="14" t="n">
        <f aca="false">M10/I10*100</f>
        <v>95.1689370795905</v>
      </c>
    </row>
    <row r="11" customFormat="false" ht="15" hidden="false" customHeight="false" outlineLevel="0" collapsed="false">
      <c r="A11" s="12" t="n">
        <v>2017</v>
      </c>
      <c r="B11" s="21" t="n">
        <v>23646.5</v>
      </c>
      <c r="C11" s="21" t="n">
        <v>19830.12</v>
      </c>
      <c r="D11" s="21" t="n">
        <v>27089.12</v>
      </c>
      <c r="E11" s="21" t="n">
        <v>21608.08</v>
      </c>
      <c r="F11" s="13" t="n">
        <f aca="false">IPC_General_Anual!B17</f>
        <v>1.1</v>
      </c>
      <c r="G11" s="13" t="n">
        <f aca="false">IPC_General_Anual!C17</f>
        <v>1.2</v>
      </c>
      <c r="H11" s="14" t="n">
        <f aca="false">H10*(1+F11/100)</f>
        <v>111.581984049691</v>
      </c>
      <c r="I11" s="14" t="n">
        <f aca="false">I10*(1+G11/100)</f>
        <v>111.034669026604</v>
      </c>
      <c r="J11" s="14" t="n">
        <f aca="false">B11/B$2*100</f>
        <v>108.056693149425</v>
      </c>
      <c r="K11" s="14" t="n">
        <f aca="false">C11/C$2*100</f>
        <v>108.691543706562</v>
      </c>
      <c r="L11" s="14" t="n">
        <f aca="false">D11/D$2*100</f>
        <v>107.200388134205</v>
      </c>
      <c r="M11" s="14" t="n">
        <f aca="false">E11/E$2*100</f>
        <v>106.603438944744</v>
      </c>
      <c r="N11" s="14" t="n">
        <f aca="false">J11/H11*100</f>
        <v>96.8406271583275</v>
      </c>
      <c r="O11" s="14" t="n">
        <f aca="false">K11/H11*100</f>
        <v>97.4095815128708</v>
      </c>
      <c r="P11" s="14" t="n">
        <f aca="false">L11/I11*100</f>
        <v>96.5467714489431</v>
      </c>
      <c r="Q11" s="14" t="n">
        <f aca="false">M11/I11*100</f>
        <v>96.0091473044355</v>
      </c>
    </row>
    <row r="12" customFormat="false" ht="15" hidden="false" customHeight="false" outlineLevel="0" collapsed="false">
      <c r="A12" s="12" t="n">
        <v>2018</v>
      </c>
      <c r="B12" s="21" t="n">
        <v>24009.12</v>
      </c>
      <c r="C12" s="21" t="n">
        <v>20078.44</v>
      </c>
      <c r="D12" s="21" t="n">
        <v>27010.93</v>
      </c>
      <c r="E12" s="21" t="n">
        <v>21477.88</v>
      </c>
      <c r="F12" s="13" t="n">
        <f aca="false">IPC_General_Anual!B18</f>
        <v>1.2</v>
      </c>
      <c r="G12" s="13" t="n">
        <f aca="false">IPC_General_Anual!C18</f>
        <v>1.4</v>
      </c>
      <c r="H12" s="14" t="n">
        <f aca="false">H11*(1+F12/100)</f>
        <v>112.920967858287</v>
      </c>
      <c r="I12" s="14" t="n">
        <f aca="false">I11*(1+G12/100)</f>
        <v>112.589154392976</v>
      </c>
      <c r="J12" s="14" t="n">
        <f aca="false">B12/B$2*100</f>
        <v>109.713746754392</v>
      </c>
      <c r="K12" s="14" t="n">
        <f aca="false">C12/C$2*100</f>
        <v>110.052618885795</v>
      </c>
      <c r="L12" s="14" t="n">
        <f aca="false">D12/D$2*100</f>
        <v>106.890965076232</v>
      </c>
      <c r="M12" s="14" t="n">
        <f aca="false">E12/E$2*100</f>
        <v>105.961097387762</v>
      </c>
      <c r="N12" s="14" t="n">
        <f aca="false">J12/H12*100</f>
        <v>97.159764776441</v>
      </c>
      <c r="O12" s="14" t="n">
        <f aca="false">K12/H12*100</f>
        <v>97.4598615058882</v>
      </c>
      <c r="P12" s="14" t="n">
        <f aca="false">L12/I12*100</f>
        <v>94.9389536252706</v>
      </c>
      <c r="Q12" s="14" t="n">
        <f aca="false">M12/I12*100</f>
        <v>94.1130590766494</v>
      </c>
    </row>
    <row r="13" customFormat="false" ht="15" hidden="false" customHeight="false" outlineLevel="0" collapsed="false">
      <c r="A13" s="12" t="n">
        <v>2019</v>
      </c>
      <c r="B13" s="21" t="n">
        <v>24395.98</v>
      </c>
      <c r="C13" s="21" t="n">
        <v>20351.02</v>
      </c>
      <c r="D13" s="21" t="n">
        <v>27817.76</v>
      </c>
      <c r="E13" s="21" t="n">
        <v>22262.74</v>
      </c>
      <c r="F13" s="13" t="n">
        <f aca="false">IPC_General_Anual!B19</f>
        <v>0.8</v>
      </c>
      <c r="G13" s="13" t="n">
        <f aca="false">IPC_General_Anual!C19</f>
        <v>0.9</v>
      </c>
      <c r="H13" s="14" t="n">
        <f aca="false">H12*(1+F13/100)</f>
        <v>113.824335601153</v>
      </c>
      <c r="I13" s="14" t="n">
        <f aca="false">I12*(1+G13/100)</f>
        <v>113.602456782513</v>
      </c>
      <c r="J13" s="14" t="n">
        <f aca="false">B13/B$2*100</f>
        <v>111.48156915144</v>
      </c>
      <c r="K13" s="14" t="n">
        <f aca="false">C13/C$2*100</f>
        <v>111.54666637434</v>
      </c>
      <c r="L13" s="14" t="n">
        <f aca="false">D13/D$2*100</f>
        <v>110.083851709623</v>
      </c>
      <c r="M13" s="14" t="n">
        <f aca="false">E13/E$2*100</f>
        <v>109.833203335637</v>
      </c>
      <c r="N13" s="14" t="n">
        <f aca="false">J13/H13*100</f>
        <v>97.9417701519272</v>
      </c>
      <c r="O13" s="14" t="n">
        <f aca="false">K13/H13*100</f>
        <v>97.998961105475</v>
      </c>
      <c r="P13" s="14" t="n">
        <f aca="false">L13/I13*100</f>
        <v>96.902703363514</v>
      </c>
      <c r="Q13" s="14" t="n">
        <f aca="false">M13/I13*100</f>
        <v>96.6820669608478</v>
      </c>
    </row>
    <row r="14" customFormat="false" ht="15" hidden="false" customHeight="false" outlineLevel="0" collapsed="false">
      <c r="A14" s="12" t="n">
        <v>2020</v>
      </c>
      <c r="B14" s="21" t="n">
        <v>25165.51</v>
      </c>
      <c r="C14" s="21" t="n">
        <v>20920.12</v>
      </c>
      <c r="D14" s="21" t="n">
        <v>28829.06</v>
      </c>
      <c r="E14" s="21" t="n">
        <v>23231.04</v>
      </c>
      <c r="F14" s="13" t="n">
        <f aca="false">IPC_General_Anual!B20</f>
        <v>-0.5</v>
      </c>
      <c r="G14" s="13" t="n">
        <f aca="false">IPC_General_Anual!C20</f>
        <v>-0.8</v>
      </c>
      <c r="H14" s="14" t="n">
        <f aca="false">H13*(1+F14/100)</f>
        <v>113.255213923148</v>
      </c>
      <c r="I14" s="14" t="n">
        <f aca="false">I13*(1+G14/100)</f>
        <v>112.693637128253</v>
      </c>
      <c r="J14" s="14" t="n">
        <f aca="false">B14/B$2*100</f>
        <v>114.998067029742</v>
      </c>
      <c r="K14" s="14" t="n">
        <f aca="false">C14/C$2*100</f>
        <v>114.66597969788</v>
      </c>
      <c r="L14" s="14" t="n">
        <f aca="false">D14/D$2*100</f>
        <v>114.085892105181</v>
      </c>
      <c r="M14" s="14" t="n">
        <f aca="false">E14/E$2*100</f>
        <v>114.610310322014</v>
      </c>
      <c r="N14" s="14" t="n">
        <f aca="false">J14/H14*100</f>
        <v>101.538872292253</v>
      </c>
      <c r="O14" s="14" t="n">
        <f aca="false">K14/H14*100</f>
        <v>101.245651944722</v>
      </c>
      <c r="P14" s="14" t="n">
        <f aca="false">L14/I14*100</f>
        <v>101.235433527932</v>
      </c>
      <c r="Q14" s="14" t="n">
        <f aca="false">M14/I14*100</f>
        <v>101.700782087262</v>
      </c>
    </row>
    <row r="15" customFormat="false" ht="15" hidden="false" customHeight="false" outlineLevel="0" collapsed="false">
      <c r="A15" s="12" t="n">
        <v>2021</v>
      </c>
      <c r="B15" s="21" t="n">
        <v>25896.82</v>
      </c>
      <c r="C15" s="21" t="n">
        <v>21638.69</v>
      </c>
      <c r="D15" s="21" t="n">
        <v>29512.58</v>
      </c>
      <c r="E15" s="21" t="n">
        <v>24090.61</v>
      </c>
      <c r="F15" s="13" t="n">
        <f aca="false">IPC_General_Anual!B21</f>
        <v>6.5</v>
      </c>
      <c r="G15" s="13" t="n">
        <f aca="false">IPC_General_Anual!C21</f>
        <v>6.2</v>
      </c>
      <c r="H15" s="14" t="n">
        <f aca="false">H14*(1+F15/100)</f>
        <v>120.616802828152</v>
      </c>
      <c r="I15" s="14" t="n">
        <f aca="false">I14*(1+G15/100)</f>
        <v>119.680642630205</v>
      </c>
      <c r="J15" s="14" t="n">
        <f aca="false">B15/B$2*100</f>
        <v>118.339912134392</v>
      </c>
      <c r="K15" s="14" t="n">
        <f aca="false">C15/C$2*100</f>
        <v>118.604558110982</v>
      </c>
      <c r="L15" s="14" t="n">
        <f aca="false">D15/D$2*100</f>
        <v>116.790801282647</v>
      </c>
      <c r="M15" s="14" t="n">
        <f aca="false">E15/E$2*100</f>
        <v>118.850997972825</v>
      </c>
      <c r="N15" s="14" t="n">
        <f aca="false">J15/H15*100</f>
        <v>98.11229394216</v>
      </c>
      <c r="O15" s="14" t="n">
        <f aca="false">K15/H15*100</f>
        <v>98.331704480646</v>
      </c>
      <c r="P15" s="14" t="n">
        <f aca="false">L15/I15*100</f>
        <v>97.5853728021112</v>
      </c>
      <c r="Q15" s="14" t="n">
        <f aca="false">M15/I15*100</f>
        <v>99.3067845901006</v>
      </c>
    </row>
    <row r="16" customFormat="false" ht="15" hidden="false" customHeight="false" outlineLevel="0" collapsed="false">
      <c r="A16" s="12" t="n">
        <v>2022</v>
      </c>
      <c r="B16" s="21" t="n">
        <v>26948.87</v>
      </c>
      <c r="C16" s="21" t="n">
        <v>22383.11</v>
      </c>
      <c r="D16" s="21" t="n">
        <v>31230.73</v>
      </c>
      <c r="E16" s="21" t="n">
        <v>25203.47</v>
      </c>
      <c r="F16" s="13" t="n">
        <f aca="false">IPC_General_Anual!B22</f>
        <v>5.7</v>
      </c>
      <c r="G16" s="13" t="n">
        <f aca="false">IPC_General_Anual!C22</f>
        <v>4.9</v>
      </c>
      <c r="H16" s="14" t="n">
        <f aca="false">H15*(1+F16/100)</f>
        <v>127.491960589357</v>
      </c>
      <c r="I16" s="14" t="n">
        <f aca="false">I15*(1+G16/100)</f>
        <v>125.544994119085</v>
      </c>
      <c r="J16" s="14" t="n">
        <f aca="false">B16/B$2*100</f>
        <v>123.147433079473</v>
      </c>
      <c r="K16" s="14" t="n">
        <f aca="false">C16/C$2*100</f>
        <v>122.684823836355</v>
      </c>
      <c r="L16" s="14" t="n">
        <f aca="false">D16/D$2*100</f>
        <v>123.590075193088</v>
      </c>
      <c r="M16" s="14" t="n">
        <f aca="false">E16/E$2*100</f>
        <v>124.341291560411</v>
      </c>
      <c r="N16" s="14" t="n">
        <f aca="false">J16/H16*100</f>
        <v>96.5923125742201</v>
      </c>
      <c r="O16" s="14" t="n">
        <f aca="false">K16/H16*100</f>
        <v>96.2294589158567</v>
      </c>
      <c r="P16" s="14" t="n">
        <f aca="false">L16/I16*100</f>
        <v>98.4428539427526</v>
      </c>
      <c r="Q16" s="14" t="n">
        <f aca="false">M16/I16*100</f>
        <v>99.0412181966162</v>
      </c>
    </row>
    <row r="17" customFormat="false" ht="15" hidden="false" customHeight="false" outlineLevel="0" collapsed="false">
      <c r="A17" s="12" t="n">
        <v>2023</v>
      </c>
      <c r="B17" s="21" t="n">
        <v>28049.94</v>
      </c>
      <c r="C17" s="21" t="n">
        <v>23349</v>
      </c>
      <c r="D17" s="21" t="n">
        <v>32219.6</v>
      </c>
      <c r="E17" s="21" t="n">
        <v>26100.08</v>
      </c>
      <c r="F17" s="13" t="n">
        <f aca="false">IPC_General_Anual!B23</f>
        <v>3.1</v>
      </c>
      <c r="G17" s="13" t="n">
        <f aca="false">IPC_General_Anual!C23</f>
        <v>2.7</v>
      </c>
      <c r="H17" s="14" t="n">
        <f aca="false">H16*(1+F17/100)</f>
        <v>131.444211367627</v>
      </c>
      <c r="I17" s="14" t="n">
        <f aca="false">I16*(1+G17/100)</f>
        <v>128.9347089603</v>
      </c>
      <c r="J17" s="14" t="n">
        <f aca="false">B17/B$2*100</f>
        <v>128.178959230321</v>
      </c>
      <c r="K17" s="14" t="n">
        <f aca="false">C17/C$2*100</f>
        <v>127.978996294753</v>
      </c>
      <c r="L17" s="14" t="n">
        <f aca="false">D17/D$2*100</f>
        <v>127.503352841615</v>
      </c>
      <c r="M17" s="14" t="n">
        <f aca="false">E17/E$2*100</f>
        <v>128.764716010536</v>
      </c>
      <c r="N17" s="14" t="n">
        <f aca="false">J17/H17*100</f>
        <v>97.5158646369196</v>
      </c>
      <c r="O17" s="14" t="n">
        <f aca="false">K17/H17*100</f>
        <v>97.3637370281893</v>
      </c>
      <c r="P17" s="14" t="n">
        <f aca="false">L17/I17*100</f>
        <v>98.8898597358097</v>
      </c>
      <c r="Q17" s="14" t="n">
        <f aca="false">M17/I17*100</f>
        <v>99.8681557889768</v>
      </c>
    </row>
    <row r="18" customFormat="false" ht="15" hidden="false" customHeight="false" outlineLevel="0" collapsed="false">
      <c r="A18" s="12" t="n">
        <v>2024</v>
      </c>
      <c r="B18" s="21" t="n">
        <v>29540.26</v>
      </c>
      <c r="C18" s="21" t="n">
        <v>24497.17</v>
      </c>
      <c r="D18" s="21" t="n">
        <v>34410.01</v>
      </c>
      <c r="E18" s="21" t="n">
        <v>28037.75</v>
      </c>
      <c r="F18" s="13" t="n">
        <f aca="false">IPC_General_Anual!B24</f>
        <v>2.8</v>
      </c>
      <c r="G18" s="13" t="n">
        <f aca="false">IPC_General_Anual!C24</f>
        <v>2.9</v>
      </c>
      <c r="H18" s="14" t="n">
        <f aca="false">H17*(1+F18/100)</f>
        <v>135.12464928592</v>
      </c>
      <c r="I18" s="14" t="n">
        <f aca="false">I17*(1+G18/100)</f>
        <v>132.673815520148</v>
      </c>
      <c r="J18" s="14" t="n">
        <f aca="false">B18/B$2*100</f>
        <v>134.989229288658</v>
      </c>
      <c r="K18" s="14" t="n">
        <f aca="false">C18/C$2*100</f>
        <v>134.272269847186</v>
      </c>
      <c r="L18" s="14" t="n">
        <f aca="false">D18/D$2*100</f>
        <v>136.171511946564</v>
      </c>
      <c r="M18" s="14" t="n">
        <f aca="false">E18/E$2*100</f>
        <v>138.324208827115</v>
      </c>
      <c r="N18" s="14" t="n">
        <f aca="false">J18/H18*100</f>
        <v>99.8997814255369</v>
      </c>
      <c r="O18" s="14" t="n">
        <f aca="false">K18/H18*100</f>
        <v>99.3691902674761</v>
      </c>
      <c r="P18" s="14" t="n">
        <f aca="false">L18/I18*100</f>
        <v>102.636312532885</v>
      </c>
      <c r="Q18" s="14" t="n">
        <f aca="false">M18/I18*100</f>
        <v>104.258860940129</v>
      </c>
    </row>
    <row r="20" customFormat="false" ht="15" hidden="false" customHeight="false" outlineLevel="0" collapsed="false">
      <c r="A20" s="11"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2"/>
    <col collapsed="false" customWidth="true" hidden="false" outlineLevel="0" max="3" min="3" style="0" width="14"/>
    <col collapsed="false" customWidth="true" hidden="false" outlineLevel="0" max="9" min="4" style="0" width="12"/>
  </cols>
  <sheetData>
    <row r="1" customFormat="false" ht="15" hidden="false" customHeight="false" outlineLevel="0" collapsed="false">
      <c r="A1" s="4" t="s">
        <v>261</v>
      </c>
      <c r="B1" s="4" t="s">
        <v>262</v>
      </c>
      <c r="C1" s="4" t="s">
        <v>28</v>
      </c>
      <c r="D1" s="4" t="s">
        <v>82</v>
      </c>
      <c r="E1" s="4" t="s">
        <v>65</v>
      </c>
    </row>
    <row r="2" customFormat="false" ht="15" hidden="false" customHeight="false" outlineLevel="0" collapsed="false">
      <c r="A2" s="12" t="s">
        <v>263</v>
      </c>
      <c r="B2" s="12" t="s">
        <v>264</v>
      </c>
      <c r="C2" s="24" t="n">
        <v>14082</v>
      </c>
      <c r="D2" s="24" t="n">
        <v>14807</v>
      </c>
      <c r="E2" s="24" t="n">
        <v>15620</v>
      </c>
    </row>
    <row r="3" customFormat="false" ht="15" hidden="false" customHeight="false" outlineLevel="0" collapsed="false">
      <c r="A3" s="12" t="s">
        <v>263</v>
      </c>
      <c r="B3" s="12" t="s">
        <v>265</v>
      </c>
      <c r="C3" s="24" t="n">
        <v>20676</v>
      </c>
      <c r="D3" s="24" t="n">
        <v>21759</v>
      </c>
      <c r="E3" s="24" t="n">
        <v>22943</v>
      </c>
    </row>
    <row r="4" customFormat="false" ht="15" hidden="false" customHeight="false" outlineLevel="0" collapsed="false">
      <c r="A4" s="12" t="s">
        <v>263</v>
      </c>
      <c r="B4" s="12" t="s">
        <v>266</v>
      </c>
      <c r="C4" s="24" t="n">
        <v>16180</v>
      </c>
      <c r="D4" s="24" t="n">
        <v>16917</v>
      </c>
      <c r="E4" s="24" t="n">
        <v>17914</v>
      </c>
    </row>
    <row r="5" customFormat="false" ht="15" hidden="false" customHeight="false" outlineLevel="0" collapsed="false">
      <c r="A5" s="12" t="s">
        <v>263</v>
      </c>
      <c r="B5" s="12" t="s">
        <v>267</v>
      </c>
      <c r="C5" s="24" t="n">
        <v>23574</v>
      </c>
      <c r="D5" s="24" t="n">
        <v>24666</v>
      </c>
      <c r="E5" s="24" t="n">
        <v>26102</v>
      </c>
    </row>
    <row r="6" customFormat="false" ht="15" hidden="false" customHeight="false" outlineLevel="0" collapsed="false">
      <c r="A6" s="12" t="s">
        <v>59</v>
      </c>
      <c r="B6" s="12" t="s">
        <v>264</v>
      </c>
      <c r="C6" s="24" t="n">
        <v>16817</v>
      </c>
      <c r="D6" s="24" t="n">
        <v>17275</v>
      </c>
      <c r="E6" s="24" t="n">
        <v>18169</v>
      </c>
    </row>
    <row r="7" customFormat="false" ht="15" hidden="false" customHeight="false" outlineLevel="0" collapsed="false">
      <c r="A7" s="12" t="s">
        <v>59</v>
      </c>
      <c r="B7" s="12" t="s">
        <v>265</v>
      </c>
      <c r="C7" s="24" t="n">
        <v>24991</v>
      </c>
      <c r="D7" s="24" t="n">
        <v>25712</v>
      </c>
      <c r="E7" s="24" t="n">
        <v>27136</v>
      </c>
    </row>
    <row r="8" customFormat="false" ht="15" hidden="false" customHeight="false" outlineLevel="0" collapsed="false">
      <c r="A8" s="12" t="s">
        <v>59</v>
      </c>
      <c r="B8" s="12" t="s">
        <v>266</v>
      </c>
      <c r="C8" s="24" t="n">
        <v>19041</v>
      </c>
      <c r="D8" s="24" t="n">
        <v>19459</v>
      </c>
      <c r="E8" s="24" t="n">
        <v>20566</v>
      </c>
    </row>
    <row r="9" customFormat="false" ht="15" hidden="false" customHeight="false" outlineLevel="0" collapsed="false">
      <c r="A9" s="12" t="s">
        <v>59</v>
      </c>
      <c r="B9" s="12" t="s">
        <v>267</v>
      </c>
      <c r="C9" s="24" t="n">
        <v>28077</v>
      </c>
      <c r="D9" s="24" t="n">
        <v>28740</v>
      </c>
      <c r="E9" s="24" t="n">
        <v>30471</v>
      </c>
    </row>
    <row r="11" customFormat="false" ht="15" hidden="false" customHeight="false" outlineLevel="0" collapsed="false">
      <c r="A11" s="2" t="s">
        <v>268</v>
      </c>
    </row>
    <row r="12" customFormat="false" ht="15" hidden="false" customHeight="false" outlineLevel="0" collapsed="false">
      <c r="B12" s="12" t="s">
        <v>264</v>
      </c>
      <c r="C12" s="25" t="n">
        <f aca="false">C6/C2</f>
        <v>1.19421957108365</v>
      </c>
      <c r="D12" s="25" t="n">
        <f aca="false">D6/D2</f>
        <v>1.16667792260417</v>
      </c>
      <c r="E12" s="25" t="n">
        <f aca="false">E6/E2</f>
        <v>1.16318822023047</v>
      </c>
    </row>
    <row r="13" customFormat="false" ht="15" hidden="false" customHeight="false" outlineLevel="0" collapsed="false">
      <c r="B13" s="12" t="s">
        <v>265</v>
      </c>
      <c r="C13" s="25" t="n">
        <f aca="false">C7/C3</f>
        <v>1.20869607274134</v>
      </c>
      <c r="D13" s="25" t="n">
        <f aca="false">D7/D3</f>
        <v>1.18167195183602</v>
      </c>
      <c r="E13" s="25" t="n">
        <f aca="false">E7/E3</f>
        <v>1.18275726801203</v>
      </c>
    </row>
    <row r="14" customFormat="false" ht="15" hidden="false" customHeight="false" outlineLevel="0" collapsed="false">
      <c r="B14" s="12" t="s">
        <v>266</v>
      </c>
      <c r="C14" s="25" t="n">
        <f aca="false">C8/C4</f>
        <v>1.17682323856613</v>
      </c>
      <c r="D14" s="25" t="n">
        <f aca="false">D8/D4</f>
        <v>1.15026304900396</v>
      </c>
      <c r="E14" s="25" t="n">
        <f aca="false">E8/E4</f>
        <v>1.14804063860668</v>
      </c>
    </row>
    <row r="15" customFormat="false" ht="15" hidden="false" customHeight="false" outlineLevel="0" collapsed="false">
      <c r="B15" s="12" t="s">
        <v>267</v>
      </c>
      <c r="C15" s="25" t="n">
        <f aca="false">C9/C5</f>
        <v>1.19101552557903</v>
      </c>
      <c r="D15" s="25" t="n">
        <f aca="false">D9/D5</f>
        <v>1.16516662612503</v>
      </c>
      <c r="E15" s="25" t="n">
        <f aca="false">E9/E5</f>
        <v>1.167381809823</v>
      </c>
    </row>
    <row r="18" customFormat="false" ht="15" hidden="false" customHeight="false" outlineLevel="0" collapsed="false">
      <c r="A18" s="4" t="s">
        <v>261</v>
      </c>
      <c r="B18" s="4" t="s">
        <v>269</v>
      </c>
      <c r="C18" s="4" t="s">
        <v>270</v>
      </c>
      <c r="D18" s="4" t="s">
        <v>146</v>
      </c>
      <c r="E18" s="4" t="s">
        <v>147</v>
      </c>
      <c r="F18" s="4" t="s">
        <v>148</v>
      </c>
      <c r="G18" s="4" t="s">
        <v>28</v>
      </c>
      <c r="H18" s="4" t="s">
        <v>82</v>
      </c>
      <c r="I18" s="4" t="s">
        <v>65</v>
      </c>
    </row>
    <row r="19" customFormat="false" ht="15" hidden="false" customHeight="false" outlineLevel="0" collapsed="false">
      <c r="A19" s="12" t="s">
        <v>59</v>
      </c>
      <c r="B19" s="12" t="s">
        <v>271</v>
      </c>
      <c r="C19" s="12" t="s">
        <v>272</v>
      </c>
      <c r="D19" s="19" t="n">
        <v>21.2</v>
      </c>
      <c r="E19" s="19" t="n">
        <v>21.6</v>
      </c>
      <c r="F19" s="19" t="n">
        <v>20.3</v>
      </c>
      <c r="G19" s="19" t="n">
        <v>19.4</v>
      </c>
      <c r="H19" s="19" t="n">
        <v>20.9</v>
      </c>
      <c r="I19" s="19" t="n">
        <v>19.4</v>
      </c>
    </row>
    <row r="20" customFormat="false" ht="15" hidden="false" customHeight="false" outlineLevel="0" collapsed="false">
      <c r="A20" s="12" t="s">
        <v>59</v>
      </c>
      <c r="B20" s="12" t="s">
        <v>273</v>
      </c>
      <c r="C20" s="12" t="s">
        <v>272</v>
      </c>
      <c r="D20" s="19" t="n">
        <v>15.4</v>
      </c>
      <c r="E20" s="19" t="n">
        <v>15.2</v>
      </c>
      <c r="F20" s="19" t="n">
        <v>14.8</v>
      </c>
      <c r="G20" s="19" t="n">
        <v>12.9</v>
      </c>
      <c r="H20" s="19" t="n">
        <v>14.3</v>
      </c>
      <c r="I20" s="19" t="n">
        <v>12.7</v>
      </c>
    </row>
    <row r="21" customFormat="false" ht="15" hidden="false" customHeight="false" outlineLevel="0" collapsed="false">
      <c r="A21" s="12" t="s">
        <v>59</v>
      </c>
      <c r="B21" s="12" t="s">
        <v>274</v>
      </c>
      <c r="C21" s="12" t="s">
        <v>272</v>
      </c>
      <c r="D21" s="19" t="n">
        <v>8.7</v>
      </c>
      <c r="E21" s="19" t="n">
        <v>7.4</v>
      </c>
      <c r="F21" s="19" t="n">
        <v>6.5</v>
      </c>
      <c r="G21" s="19" t="n">
        <v>8.9</v>
      </c>
      <c r="H21" s="19" t="n">
        <v>8.5</v>
      </c>
      <c r="I21" s="19" t="n">
        <v>8.4</v>
      </c>
    </row>
    <row r="22" customFormat="false" ht="15" hidden="false" customHeight="false" outlineLevel="0" collapsed="false">
      <c r="A22" s="12" t="s">
        <v>59</v>
      </c>
      <c r="B22" s="12" t="s">
        <v>275</v>
      </c>
      <c r="C22" s="12" t="s">
        <v>272</v>
      </c>
      <c r="D22" s="19" t="n">
        <v>5.9</v>
      </c>
      <c r="E22" s="19" t="n">
        <v>7.6</v>
      </c>
      <c r="F22" s="19" t="n">
        <v>5.2</v>
      </c>
      <c r="G22" s="19" t="n">
        <v>5.2</v>
      </c>
      <c r="H22" s="19" t="n">
        <v>4.9</v>
      </c>
      <c r="I22" s="19" t="n">
        <v>3.5</v>
      </c>
    </row>
    <row r="23" customFormat="false" ht="15" hidden="false" customHeight="false" outlineLevel="0" collapsed="false">
      <c r="A23" s="12" t="s">
        <v>263</v>
      </c>
      <c r="B23" s="12" t="s">
        <v>271</v>
      </c>
      <c r="C23" s="12" t="s">
        <v>272</v>
      </c>
      <c r="D23" s="19" t="n">
        <v>27</v>
      </c>
      <c r="E23" s="19" t="n">
        <v>27.8</v>
      </c>
      <c r="F23" s="19" t="n">
        <v>26</v>
      </c>
      <c r="G23" s="19" t="n">
        <v>26.5</v>
      </c>
      <c r="H23" s="19" t="n">
        <v>25.8</v>
      </c>
      <c r="I23" s="19" t="n">
        <v>25.7</v>
      </c>
    </row>
    <row r="24" customFormat="false" ht="15" hidden="false" customHeight="false" outlineLevel="0" collapsed="false">
      <c r="A24" s="12" t="s">
        <v>263</v>
      </c>
      <c r="B24" s="12" t="s">
        <v>273</v>
      </c>
      <c r="C24" s="12" t="s">
        <v>272</v>
      </c>
      <c r="D24" s="19" t="n">
        <v>21</v>
      </c>
      <c r="E24" s="19" t="n">
        <v>21.7</v>
      </c>
      <c r="F24" s="19" t="n">
        <v>20.4</v>
      </c>
      <c r="G24" s="19" t="n">
        <v>20.2</v>
      </c>
      <c r="H24" s="19" t="n">
        <v>19.7</v>
      </c>
      <c r="I24" s="19" t="n">
        <v>19.5</v>
      </c>
    </row>
    <row r="25" customFormat="false" ht="15" hidden="false" customHeight="false" outlineLevel="0" collapsed="false">
      <c r="A25" s="12" t="s">
        <v>263</v>
      </c>
      <c r="B25" s="12" t="s">
        <v>274</v>
      </c>
      <c r="C25" s="12" t="s">
        <v>272</v>
      </c>
      <c r="D25" s="19" t="n">
        <v>8.5</v>
      </c>
      <c r="E25" s="19" t="n">
        <v>8.3</v>
      </c>
      <c r="F25" s="19" t="n">
        <v>7.7</v>
      </c>
      <c r="G25" s="19" t="n">
        <v>9</v>
      </c>
      <c r="H25" s="19" t="n">
        <v>8.3</v>
      </c>
      <c r="I25" s="19" t="n">
        <v>8.1</v>
      </c>
    </row>
    <row r="26" customFormat="false" ht="15" hidden="false" customHeight="false" outlineLevel="0" collapsed="false">
      <c r="A26" s="12" t="s">
        <v>263</v>
      </c>
      <c r="B26" s="12" t="s">
        <v>275</v>
      </c>
      <c r="C26" s="12" t="s">
        <v>272</v>
      </c>
      <c r="D26" s="19" t="n">
        <v>10</v>
      </c>
      <c r="E26" s="19" t="n">
        <v>11.6</v>
      </c>
      <c r="F26" s="19" t="n">
        <v>8.7</v>
      </c>
      <c r="G26" s="19" t="n">
        <v>8.4</v>
      </c>
      <c r="H26" s="19" t="n">
        <v>8</v>
      </c>
      <c r="I26" s="19" t="n">
        <v>8</v>
      </c>
    </row>
    <row r="28" customFormat="false" ht="15" hidden="false" customHeight="false" outlineLevel="0" collapsed="false">
      <c r="A28" s="2" t="s">
        <v>276</v>
      </c>
    </row>
    <row r="29" customFormat="false" ht="15" hidden="false" customHeight="false" outlineLevel="0" collapsed="false">
      <c r="B29" s="12" t="s">
        <v>271</v>
      </c>
      <c r="D29" s="14" t="n">
        <f aca="false">D19-D23</f>
        <v>-5.8</v>
      </c>
      <c r="E29" s="14" t="n">
        <f aca="false">E19-E23</f>
        <v>-6.2</v>
      </c>
      <c r="F29" s="14" t="n">
        <f aca="false">F19-F23</f>
        <v>-5.7</v>
      </c>
      <c r="G29" s="14" t="n">
        <f aca="false">G19-G23</f>
        <v>-7.1</v>
      </c>
      <c r="H29" s="14" t="n">
        <f aca="false">H19-H23</f>
        <v>-4.9</v>
      </c>
      <c r="I29" s="14" t="n">
        <f aca="false">I19-I23</f>
        <v>-6.3</v>
      </c>
    </row>
    <row r="30" customFormat="false" ht="15" hidden="false" customHeight="false" outlineLevel="0" collapsed="false">
      <c r="B30" s="12" t="s">
        <v>273</v>
      </c>
      <c r="D30" s="14" t="n">
        <f aca="false">D20-D24</f>
        <v>-5.6</v>
      </c>
      <c r="E30" s="14" t="n">
        <f aca="false">E20-E24</f>
        <v>-6.5</v>
      </c>
      <c r="F30" s="14" t="n">
        <f aca="false">F20-F24</f>
        <v>-5.6</v>
      </c>
      <c r="G30" s="14" t="n">
        <f aca="false">G20-G24</f>
        <v>-7.3</v>
      </c>
      <c r="H30" s="14" t="n">
        <f aca="false">H20-H24</f>
        <v>-5.4</v>
      </c>
      <c r="I30" s="14" t="n">
        <f aca="false">I20-I24</f>
        <v>-6.8</v>
      </c>
    </row>
    <row r="31" customFormat="false" ht="15" hidden="false" customHeight="false" outlineLevel="0" collapsed="false">
      <c r="B31" s="12" t="s">
        <v>274</v>
      </c>
      <c r="D31" s="14" t="n">
        <f aca="false">D21-D25</f>
        <v>0.199999999999999</v>
      </c>
      <c r="E31" s="14" t="n">
        <f aca="false">E21-E25</f>
        <v>-0.9</v>
      </c>
      <c r="F31" s="14" t="n">
        <f aca="false">F21-F25</f>
        <v>-1.2</v>
      </c>
      <c r="G31" s="14" t="n">
        <f aca="false">G21-G25</f>
        <v>-0.0999999999999996</v>
      </c>
      <c r="H31" s="14" t="n">
        <f aca="false">H21-H25</f>
        <v>0.199999999999999</v>
      </c>
      <c r="I31" s="14" t="n">
        <f aca="false">I21-I25</f>
        <v>0.300000000000001</v>
      </c>
    </row>
    <row r="32" customFormat="false" ht="15" hidden="false" customHeight="false" outlineLevel="0" collapsed="false">
      <c r="B32" s="12" t="s">
        <v>275</v>
      </c>
      <c r="D32" s="14" t="n">
        <f aca="false">D22-D26</f>
        <v>-4.1</v>
      </c>
      <c r="E32" s="14" t="n">
        <f aca="false">E22-E26</f>
        <v>-4</v>
      </c>
      <c r="F32" s="14" t="n">
        <f aca="false">F22-F26</f>
        <v>-3.5</v>
      </c>
      <c r="G32" s="14" t="n">
        <f aca="false">G22-G26</f>
        <v>-3.2</v>
      </c>
      <c r="H32" s="14" t="n">
        <f aca="false">H22-H26</f>
        <v>-3.1</v>
      </c>
      <c r="I32" s="14" t="n">
        <f aca="false">I22-I26</f>
        <v>-4.5</v>
      </c>
    </row>
    <row r="35" customFormat="false" ht="15" hidden="false" customHeight="false" outlineLevel="0" collapsed="false">
      <c r="A35" s="11"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6"/>
    <col collapsed="false" customWidth="true" hidden="false" outlineLevel="0" max="4" min="4" style="0" width="70"/>
    <col collapsed="false" customWidth="true" hidden="false" outlineLevel="0" max="5" min="5" style="0" width="32"/>
    <col collapsed="false" customWidth="true" hidden="false" outlineLevel="0" max="6" min="6" style="0" width="16"/>
    <col collapsed="false" customWidth="true" hidden="false" outlineLevel="0" max="7" min="7" style="0" width="60"/>
  </cols>
  <sheetData>
    <row r="1" customFormat="false" ht="23.85" hidden="false" customHeight="false" outlineLevel="0" collapsed="false">
      <c r="A1" s="4" t="s">
        <v>278</v>
      </c>
      <c r="B1" s="4" t="s">
        <v>279</v>
      </c>
      <c r="C1" s="4" t="s">
        <v>280</v>
      </c>
      <c r="D1" s="4" t="s">
        <v>281</v>
      </c>
      <c r="E1" s="4" t="s">
        <v>7</v>
      </c>
      <c r="F1" s="4" t="s">
        <v>282</v>
      </c>
      <c r="G1" s="4" t="s">
        <v>283</v>
      </c>
    </row>
    <row r="2" customFormat="false" ht="23.85" hidden="false" customHeight="false" outlineLevel="0" collapsed="false">
      <c r="A2" s="5" t="s">
        <v>284</v>
      </c>
      <c r="B2" s="5" t="s">
        <v>285</v>
      </c>
      <c r="C2" s="5" t="s">
        <v>286</v>
      </c>
      <c r="D2" s="5" t="s">
        <v>287</v>
      </c>
      <c r="E2" s="5" t="s">
        <v>288</v>
      </c>
      <c r="F2" s="5" t="s">
        <v>289</v>
      </c>
      <c r="G2" s="5" t="s">
        <v>290</v>
      </c>
    </row>
    <row r="3" customFormat="false" ht="23.85" hidden="false" customHeight="false" outlineLevel="0" collapsed="false">
      <c r="A3" s="5" t="s">
        <v>291</v>
      </c>
      <c r="B3" s="5" t="s">
        <v>285</v>
      </c>
      <c r="C3" s="5" t="s">
        <v>292</v>
      </c>
      <c r="D3" s="5" t="s">
        <v>293</v>
      </c>
      <c r="E3" s="5" t="s">
        <v>288</v>
      </c>
      <c r="F3" s="5" t="s">
        <v>289</v>
      </c>
      <c r="G3" s="5" t="s">
        <v>290</v>
      </c>
    </row>
    <row r="4" customFormat="false" ht="23.85" hidden="false" customHeight="false" outlineLevel="0" collapsed="false">
      <c r="A4" s="5" t="s">
        <v>294</v>
      </c>
      <c r="B4" s="5" t="s">
        <v>285</v>
      </c>
      <c r="C4" s="5" t="s">
        <v>295</v>
      </c>
      <c r="D4" s="5" t="s">
        <v>296</v>
      </c>
      <c r="E4" s="5" t="s">
        <v>19</v>
      </c>
      <c r="F4" s="5" t="s">
        <v>289</v>
      </c>
      <c r="G4" s="5" t="s">
        <v>297</v>
      </c>
    </row>
    <row r="5" customFormat="false" ht="23.85" hidden="false" customHeight="false" outlineLevel="0" collapsed="false">
      <c r="A5" s="5" t="s">
        <v>298</v>
      </c>
      <c r="B5" s="5" t="s">
        <v>299</v>
      </c>
      <c r="C5" s="5" t="s">
        <v>300</v>
      </c>
      <c r="D5" s="5" t="s">
        <v>301</v>
      </c>
      <c r="E5" s="5" t="s">
        <v>302</v>
      </c>
      <c r="F5" s="5" t="s">
        <v>289</v>
      </c>
      <c r="G5" s="5" t="s">
        <v>303</v>
      </c>
    </row>
    <row r="6" customFormat="false" ht="23.85" hidden="false" customHeight="false" outlineLevel="0" collapsed="false">
      <c r="A6" s="5" t="s">
        <v>304</v>
      </c>
      <c r="B6" s="5" t="s">
        <v>285</v>
      </c>
      <c r="C6" s="5" t="s">
        <v>305</v>
      </c>
      <c r="D6" s="5" t="s">
        <v>306</v>
      </c>
      <c r="E6" s="5" t="s">
        <v>307</v>
      </c>
      <c r="F6" s="5" t="s">
        <v>289</v>
      </c>
      <c r="G6" s="5" t="s">
        <v>308</v>
      </c>
    </row>
    <row r="7" customFormat="false" ht="15" hidden="false" customHeight="false" outlineLevel="0" collapsed="false">
      <c r="A7" s="5" t="s">
        <v>309</v>
      </c>
      <c r="B7" s="5" t="s">
        <v>285</v>
      </c>
      <c r="C7" s="5" t="s">
        <v>310</v>
      </c>
      <c r="D7" s="5" t="s">
        <v>311</v>
      </c>
      <c r="E7" s="5" t="s">
        <v>312</v>
      </c>
      <c r="F7" s="5" t="s">
        <v>289</v>
      </c>
      <c r="G7" s="5"/>
    </row>
    <row r="8" customFormat="false" ht="23.85" hidden="false" customHeight="false" outlineLevel="0" collapsed="false">
      <c r="A8" s="5" t="s">
        <v>313</v>
      </c>
      <c r="B8" s="5" t="s">
        <v>285</v>
      </c>
      <c r="C8" s="5" t="s">
        <v>314</v>
      </c>
      <c r="D8" s="5" t="s">
        <v>315</v>
      </c>
      <c r="E8" s="5" t="s">
        <v>37</v>
      </c>
      <c r="F8" s="5" t="s">
        <v>289</v>
      </c>
      <c r="G8" s="5" t="s">
        <v>308</v>
      </c>
    </row>
    <row r="9" customFormat="false" ht="23.85" hidden="false" customHeight="false" outlineLevel="0" collapsed="false">
      <c r="A9" s="5" t="s">
        <v>316</v>
      </c>
      <c r="B9" s="5" t="s">
        <v>285</v>
      </c>
      <c r="C9" s="5" t="s">
        <v>317</v>
      </c>
      <c r="D9" s="5" t="s">
        <v>318</v>
      </c>
      <c r="E9" s="5" t="s">
        <v>34</v>
      </c>
      <c r="F9" s="5" t="s">
        <v>289</v>
      </c>
      <c r="G9" s="5"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2026-10-21T11:00:24Z</dcterms:created>
  <dc:creator>openpyxl</dc:creator>
  <dc:description/>
  <dc:language>en-US</dc:language>
  <cp:lastModifiedBy/>
  <dcterms:modified xsi:type="dcterms:W3CDTF">2026-10-21T11:00:24Z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